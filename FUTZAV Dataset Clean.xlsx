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a632ba35ab642167/Desktop/Aptech Class Project/final project/"/>
    </mc:Choice>
  </mc:AlternateContent>
  <xr:revisionPtr revIDLastSave="203" documentId="11_B7947C50EC58F2587767FBEEADB9CE86785095D2" xr6:coauthVersionLast="47" xr6:coauthVersionMax="47" xr10:uidLastSave="{D42958C7-4055-4432-B97F-2B9DE0867D9F}"/>
  <bookViews>
    <workbookView xWindow="-120" yWindow="-120" windowWidth="29040" windowHeight="15720" activeTab="2" xr2:uid="{00000000-000D-0000-FFFF-FFFF00000000}"/>
  </bookViews>
  <sheets>
    <sheet name="Poultry dataset" sheetId="2" r:id="rId1"/>
    <sheet name="Pivot Table" sheetId="6" r:id="rId2"/>
    <sheet name="FUTZAV Dashboard" sheetId="8" r:id="rId3"/>
    <sheet name="Summary" sheetId="1" r:id="rId4"/>
    <sheet name="DAX Measures" sheetId="4" r:id="rId5"/>
  </sheets>
  <definedNames>
    <definedName name="_xlchart.v1.0" hidden="1">'FUTZAV Dashboard'!#REF!</definedName>
    <definedName name="_xlchart.v1.1" hidden="1">'FUTZAV Dashboard'!#REF!</definedName>
    <definedName name="_xlchart.v1.2" hidden="1">'FUTZAV Dashboard'!#REF!</definedName>
    <definedName name="_xlchart.v1.3" hidden="1">'FUTZAV Dashboard'!$F$22:$F$28</definedName>
    <definedName name="_xlchart.v1.4" hidden="1">'FUTZAV Dashboard'!$G$21</definedName>
    <definedName name="_xlchart.v1.5" hidden="1">'FUTZAV Dashboard'!$G$22:$G$28</definedName>
    <definedName name="Slicer_Product_Type">#N/A</definedName>
    <definedName name="Slicer_Sales_Channel">#N/A</definedName>
    <definedName name="Slicer_State">#N/A</definedName>
    <definedName name="Slicer_Suppli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501" i="2" l="1"/>
  <c r="AA1500" i="2"/>
  <c r="AA1499" i="2"/>
  <c r="AA1498" i="2"/>
  <c r="AA1497" i="2"/>
  <c r="AA1496" i="2"/>
  <c r="AA1495" i="2"/>
  <c r="AA1494" i="2"/>
  <c r="AA1493" i="2"/>
  <c r="AA1492" i="2"/>
  <c r="AA1491" i="2"/>
  <c r="AA1490" i="2"/>
  <c r="AA1489" i="2"/>
  <c r="AA1488" i="2"/>
  <c r="AA1487" i="2"/>
  <c r="AA1486" i="2"/>
  <c r="AA1485" i="2"/>
  <c r="AA1484" i="2"/>
  <c r="AA1483" i="2"/>
  <c r="AA1482" i="2"/>
  <c r="AA1481" i="2"/>
  <c r="AA1480" i="2"/>
  <c r="AA1479" i="2"/>
  <c r="AA1478" i="2"/>
  <c r="AA1477" i="2"/>
  <c r="AA1476" i="2"/>
  <c r="AA1475" i="2"/>
  <c r="AA1474" i="2"/>
  <c r="AA1473" i="2"/>
  <c r="AA1472" i="2"/>
  <c r="AA1471" i="2"/>
  <c r="AA1470" i="2"/>
  <c r="AA1469" i="2"/>
  <c r="AA1468" i="2"/>
  <c r="AA1467" i="2"/>
  <c r="AA1466" i="2"/>
  <c r="AA1465" i="2"/>
  <c r="AA1464" i="2"/>
  <c r="AA1463" i="2"/>
  <c r="AA1462" i="2"/>
  <c r="AA1461" i="2"/>
  <c r="AA1460" i="2"/>
  <c r="AA1459" i="2"/>
  <c r="AA1458" i="2"/>
  <c r="AA1457" i="2"/>
  <c r="AA1456" i="2"/>
  <c r="AA1455" i="2"/>
  <c r="AA1454" i="2"/>
  <c r="AA1453" i="2"/>
  <c r="AA1452" i="2"/>
  <c r="AA1451" i="2"/>
  <c r="AA1450" i="2"/>
  <c r="AA1449" i="2"/>
  <c r="AA1448" i="2"/>
  <c r="AA1447" i="2"/>
  <c r="AA1446" i="2"/>
  <c r="AA1445" i="2"/>
  <c r="AA1444" i="2"/>
  <c r="AA1443" i="2"/>
  <c r="AA1442" i="2"/>
  <c r="AA1441" i="2"/>
  <c r="AA1440" i="2"/>
  <c r="AA1439" i="2"/>
  <c r="AA1438" i="2"/>
  <c r="AA1437" i="2"/>
  <c r="AA1436" i="2"/>
  <c r="AA1435" i="2"/>
  <c r="AA1434" i="2"/>
  <c r="AA1433" i="2"/>
  <c r="AA1432" i="2"/>
  <c r="AA1431" i="2"/>
  <c r="AA1430" i="2"/>
  <c r="AA1429" i="2"/>
  <c r="AA1428" i="2"/>
  <c r="AA1427" i="2"/>
  <c r="AA1426" i="2"/>
  <c r="AA1425" i="2"/>
  <c r="AA1424" i="2"/>
  <c r="AA1423" i="2"/>
  <c r="AA1422" i="2"/>
  <c r="AA1421" i="2"/>
  <c r="AA1420" i="2"/>
  <c r="AA1419" i="2"/>
  <c r="AA1418" i="2"/>
  <c r="AA1417" i="2"/>
  <c r="AA1416" i="2"/>
  <c r="AA1415" i="2"/>
  <c r="AA1414" i="2"/>
  <c r="AA1413" i="2"/>
  <c r="AA1412" i="2"/>
  <c r="AA1411" i="2"/>
  <c r="AA1410" i="2"/>
  <c r="AA1409" i="2"/>
  <c r="AA1408" i="2"/>
  <c r="AA1407" i="2"/>
  <c r="AA1406" i="2"/>
  <c r="AA1405" i="2"/>
  <c r="AA1404" i="2"/>
  <c r="AA1403" i="2"/>
  <c r="AA1402" i="2"/>
  <c r="AA1401" i="2"/>
  <c r="AA1400" i="2"/>
  <c r="AA1399" i="2"/>
  <c r="AA1398" i="2"/>
  <c r="AA1397" i="2"/>
  <c r="AA1396" i="2"/>
  <c r="AA1395" i="2"/>
  <c r="AA1394" i="2"/>
  <c r="AA1393" i="2"/>
  <c r="AA1392" i="2"/>
  <c r="AA1391" i="2"/>
  <c r="AA1390" i="2"/>
  <c r="AA1389" i="2"/>
  <c r="AA1388" i="2"/>
  <c r="AA1387" i="2"/>
  <c r="AA1386" i="2"/>
  <c r="AA1385" i="2"/>
  <c r="AA1384" i="2"/>
  <c r="AA1383" i="2"/>
  <c r="AA1382" i="2"/>
  <c r="AA1381" i="2"/>
  <c r="AA1380" i="2"/>
  <c r="AA1379" i="2"/>
  <c r="AA1378" i="2"/>
  <c r="AA1377" i="2"/>
  <c r="AA1376" i="2"/>
  <c r="AA1375" i="2"/>
  <c r="AA1374" i="2"/>
  <c r="AA1373" i="2"/>
  <c r="AA1372" i="2"/>
  <c r="AA1371" i="2"/>
  <c r="AA1370" i="2"/>
  <c r="AA1369" i="2"/>
  <c r="AA1368" i="2"/>
  <c r="AA1367" i="2"/>
  <c r="AA1366" i="2"/>
  <c r="AA1365" i="2"/>
  <c r="AA1364" i="2"/>
  <c r="AA1363" i="2"/>
  <c r="AA1362" i="2"/>
  <c r="AA1361" i="2"/>
  <c r="AA1360" i="2"/>
  <c r="AA1359" i="2"/>
  <c r="AA1358" i="2"/>
  <c r="AA1357" i="2"/>
  <c r="AA1356" i="2"/>
  <c r="AA1355" i="2"/>
  <c r="AA1354" i="2"/>
  <c r="AA1353" i="2"/>
  <c r="AA1352" i="2"/>
  <c r="AA1351" i="2"/>
  <c r="AA1350" i="2"/>
  <c r="AA1349" i="2"/>
  <c r="AA1348" i="2"/>
  <c r="AA1347" i="2"/>
  <c r="AA1346" i="2"/>
  <c r="AA1345" i="2"/>
  <c r="AA1344" i="2"/>
  <c r="AA1343" i="2"/>
  <c r="AA1342" i="2"/>
  <c r="AA1341" i="2"/>
  <c r="AA1340" i="2"/>
  <c r="AA1339" i="2"/>
  <c r="AA1338" i="2"/>
  <c r="AA1337" i="2"/>
  <c r="AA1336" i="2"/>
  <c r="AA1335" i="2"/>
  <c r="AA1334" i="2"/>
  <c r="AA1333" i="2"/>
  <c r="AA1332" i="2"/>
  <c r="AA1331" i="2"/>
  <c r="AA1330" i="2"/>
  <c r="AA1329" i="2"/>
  <c r="AA1328" i="2"/>
  <c r="AA1327" i="2"/>
  <c r="AA1326" i="2"/>
  <c r="AA1325" i="2"/>
  <c r="AA1324" i="2"/>
  <c r="AA1323" i="2"/>
  <c r="AA1322" i="2"/>
  <c r="AA1321" i="2"/>
  <c r="AA1320" i="2"/>
  <c r="AA1319" i="2"/>
  <c r="AA1318" i="2"/>
  <c r="AA1317" i="2"/>
  <c r="AA1316" i="2"/>
  <c r="AA1315" i="2"/>
  <c r="AA1314" i="2"/>
  <c r="AA1313" i="2"/>
  <c r="AC1312" i="2"/>
  <c r="AA1312" i="2"/>
  <c r="AB1312" i="2" s="1"/>
  <c r="AA1311" i="2"/>
  <c r="AA1310" i="2"/>
  <c r="AA1309" i="2"/>
  <c r="AA1308" i="2"/>
  <c r="AA1307" i="2"/>
  <c r="AA1306" i="2"/>
  <c r="AA1305" i="2"/>
  <c r="AA1304" i="2"/>
  <c r="AA1303" i="2"/>
  <c r="AA1302" i="2"/>
  <c r="AA1301" i="2"/>
  <c r="AA1300" i="2"/>
  <c r="AA1299" i="2"/>
  <c r="AA1298" i="2"/>
  <c r="AA1297" i="2"/>
  <c r="AA1296" i="2"/>
  <c r="AA1295" i="2"/>
  <c r="AA1294" i="2"/>
  <c r="AA1293" i="2"/>
  <c r="AA1292" i="2"/>
  <c r="AA1291" i="2"/>
  <c r="AA1290" i="2"/>
  <c r="AA1289" i="2"/>
  <c r="AA1288" i="2"/>
  <c r="AA1287" i="2"/>
  <c r="AA1286" i="2"/>
  <c r="AA1285" i="2"/>
  <c r="AA1284" i="2"/>
  <c r="AA1283" i="2"/>
  <c r="AA1282" i="2"/>
  <c r="AA1281" i="2"/>
  <c r="AA1280" i="2"/>
  <c r="AA1279" i="2"/>
  <c r="AA1278" i="2"/>
  <c r="AA1277" i="2"/>
  <c r="AA1276" i="2"/>
  <c r="AA1275" i="2"/>
  <c r="AA1274" i="2"/>
  <c r="AA1273" i="2"/>
  <c r="AA1272" i="2"/>
  <c r="AA1271" i="2"/>
  <c r="AA1270" i="2"/>
  <c r="AA1269" i="2"/>
  <c r="AA1268" i="2"/>
  <c r="AA1267" i="2"/>
  <c r="AA1266" i="2"/>
  <c r="AA1265" i="2"/>
  <c r="AA1264" i="2"/>
  <c r="AA1263" i="2"/>
  <c r="AA1262" i="2"/>
  <c r="AA1261" i="2"/>
  <c r="AA1260" i="2"/>
  <c r="AA1259" i="2"/>
  <c r="AA1258" i="2"/>
  <c r="AA1257" i="2"/>
  <c r="AA1256" i="2"/>
  <c r="AA1255" i="2"/>
  <c r="AA1254" i="2"/>
  <c r="AA1253" i="2"/>
  <c r="AA1252" i="2"/>
  <c r="AA1251" i="2"/>
  <c r="AA1250" i="2"/>
  <c r="AA1249" i="2"/>
  <c r="AA1248" i="2"/>
  <c r="AA1247" i="2"/>
  <c r="AA1246" i="2"/>
  <c r="AA1245" i="2"/>
  <c r="AA1244" i="2"/>
  <c r="AA1243" i="2"/>
  <c r="AA1242" i="2"/>
  <c r="AA1241" i="2"/>
  <c r="AA1240" i="2"/>
  <c r="AA1239" i="2"/>
  <c r="AA1238" i="2"/>
  <c r="AA1237" i="2"/>
  <c r="AA1236" i="2"/>
  <c r="AA1235" i="2"/>
  <c r="AA1234" i="2"/>
  <c r="AA1233" i="2"/>
  <c r="AA1232" i="2"/>
  <c r="AA1231" i="2"/>
  <c r="AA1230" i="2"/>
  <c r="AA1229" i="2"/>
  <c r="AA1228" i="2"/>
  <c r="AA1227" i="2"/>
  <c r="AA1226" i="2"/>
  <c r="AA1225" i="2"/>
  <c r="AA1224" i="2"/>
  <c r="AA1223" i="2"/>
  <c r="AA1222" i="2"/>
  <c r="AA1221" i="2"/>
  <c r="AA1220" i="2"/>
  <c r="AA1219" i="2"/>
  <c r="AA1218" i="2"/>
  <c r="AA1217" i="2"/>
  <c r="AA1216" i="2"/>
  <c r="AA1215" i="2"/>
  <c r="AA1214" i="2"/>
  <c r="AA1213" i="2"/>
  <c r="AA1212" i="2"/>
  <c r="AA1211" i="2"/>
  <c r="AA1210" i="2"/>
  <c r="AA1209" i="2"/>
  <c r="AA1208" i="2"/>
  <c r="AA1207" i="2"/>
  <c r="AA1206" i="2"/>
  <c r="AA1205" i="2"/>
  <c r="AA1204" i="2"/>
  <c r="AA1203" i="2"/>
  <c r="AA1202" i="2"/>
  <c r="AA1201" i="2"/>
  <c r="AA1200" i="2"/>
  <c r="AA1199" i="2"/>
  <c r="AA1198" i="2"/>
  <c r="AA1197" i="2"/>
  <c r="AA1196" i="2"/>
  <c r="AA1195" i="2"/>
  <c r="AA1194" i="2"/>
  <c r="AA1193" i="2"/>
  <c r="AA1192" i="2"/>
  <c r="AA1191" i="2"/>
  <c r="AA1190" i="2"/>
  <c r="AA1189" i="2"/>
  <c r="AA1188" i="2"/>
  <c r="AA1187" i="2"/>
  <c r="AA1186" i="2"/>
  <c r="AA1185" i="2"/>
  <c r="AA1184" i="2"/>
  <c r="AA1183" i="2"/>
  <c r="AA1182" i="2"/>
  <c r="AA1181" i="2"/>
  <c r="AA1180" i="2"/>
  <c r="AA1179" i="2"/>
  <c r="AA1178" i="2"/>
  <c r="AA1177" i="2"/>
  <c r="AA1176" i="2"/>
  <c r="AA1175" i="2"/>
  <c r="AA1174" i="2"/>
  <c r="AA1173" i="2"/>
  <c r="AA1172" i="2"/>
  <c r="AA1171" i="2"/>
  <c r="AA1170" i="2"/>
  <c r="AA1169" i="2"/>
  <c r="AA1168" i="2"/>
  <c r="AA1167" i="2"/>
  <c r="AA1166" i="2"/>
  <c r="AA1165" i="2"/>
  <c r="AA1164" i="2"/>
  <c r="AA1163" i="2"/>
  <c r="AA1162" i="2"/>
  <c r="AA1161" i="2"/>
  <c r="AA1160" i="2"/>
  <c r="AA1159" i="2"/>
  <c r="AA1158" i="2"/>
  <c r="AA1157" i="2"/>
  <c r="AA1156" i="2"/>
  <c r="AA1155" i="2"/>
  <c r="AA1154" i="2"/>
  <c r="AA1153" i="2"/>
  <c r="AA1152" i="2"/>
  <c r="AA1151" i="2"/>
  <c r="AA1150" i="2"/>
  <c r="AA1149" i="2"/>
  <c r="AA1148" i="2"/>
  <c r="AA1147" i="2"/>
  <c r="AA1146" i="2"/>
  <c r="AA1145" i="2"/>
  <c r="AA1144" i="2"/>
  <c r="AA1143" i="2"/>
  <c r="AA1142" i="2"/>
  <c r="AA1141" i="2"/>
  <c r="AA1140" i="2"/>
  <c r="AA1139" i="2"/>
  <c r="AA1138" i="2"/>
  <c r="AA1137" i="2"/>
  <c r="AA1136" i="2"/>
  <c r="AA1135" i="2"/>
  <c r="AA1134" i="2"/>
  <c r="AA1133" i="2"/>
  <c r="AA1132" i="2"/>
  <c r="AA1131" i="2"/>
  <c r="AA1130" i="2"/>
  <c r="AA1129" i="2"/>
  <c r="AA1128" i="2"/>
  <c r="AA1127" i="2"/>
  <c r="AA1126" i="2"/>
  <c r="AA1125" i="2"/>
  <c r="AA1124" i="2"/>
  <c r="AC1123" i="2"/>
  <c r="AB1123" i="2"/>
  <c r="AA1123" i="2"/>
  <c r="AA1122" i="2"/>
  <c r="AA1121" i="2"/>
  <c r="AA1120" i="2"/>
  <c r="AA1119" i="2"/>
  <c r="AA1118" i="2"/>
  <c r="AA1117" i="2"/>
  <c r="AA1116" i="2"/>
  <c r="AA1115" i="2"/>
  <c r="AA1114" i="2"/>
  <c r="AA1113" i="2"/>
  <c r="AA1112" i="2"/>
  <c r="AA1111" i="2"/>
  <c r="AA1110" i="2"/>
  <c r="AA1109" i="2"/>
  <c r="AA1108" i="2"/>
  <c r="AA1107" i="2"/>
  <c r="AA1106" i="2"/>
  <c r="AA1105" i="2"/>
  <c r="AA1104" i="2"/>
  <c r="AA1103" i="2"/>
  <c r="AA1102" i="2"/>
  <c r="AA1101" i="2"/>
  <c r="AA1100" i="2"/>
  <c r="AA1099" i="2"/>
  <c r="AA1098" i="2"/>
  <c r="AA1097" i="2"/>
  <c r="AA1096" i="2"/>
  <c r="AA1095" i="2"/>
  <c r="AA1094" i="2"/>
  <c r="AA1093" i="2"/>
  <c r="AA1092" i="2"/>
  <c r="AA1091" i="2"/>
  <c r="AA1090" i="2"/>
  <c r="AA1089" i="2"/>
  <c r="AA1088" i="2"/>
  <c r="AA1087" i="2"/>
  <c r="AA1086" i="2"/>
  <c r="AA1085" i="2"/>
  <c r="AA1084" i="2"/>
  <c r="AA1083" i="2"/>
  <c r="AA1082" i="2"/>
  <c r="AA1081" i="2"/>
  <c r="AA1080" i="2"/>
  <c r="AA1079" i="2"/>
  <c r="AA1078" i="2"/>
  <c r="AA1077" i="2"/>
  <c r="AA1076" i="2"/>
  <c r="AA1075" i="2"/>
  <c r="AA1074" i="2"/>
  <c r="AA1073" i="2"/>
  <c r="AA1072" i="2"/>
  <c r="AA1071" i="2"/>
  <c r="AA1070" i="2"/>
  <c r="AA1069" i="2"/>
  <c r="AA1068" i="2"/>
  <c r="AA1067" i="2"/>
  <c r="AA1066" i="2"/>
  <c r="AA1065" i="2"/>
  <c r="AA1064" i="2"/>
  <c r="AA1063" i="2"/>
  <c r="AA1062" i="2"/>
  <c r="AA1061" i="2"/>
  <c r="AA1060" i="2"/>
  <c r="AA1059" i="2"/>
  <c r="AA1058" i="2"/>
  <c r="AA1057" i="2"/>
  <c r="AA1056" i="2"/>
  <c r="AA1055" i="2"/>
  <c r="AA1054" i="2"/>
  <c r="AA1053" i="2"/>
  <c r="AA1052" i="2"/>
  <c r="AA1051" i="2"/>
  <c r="AA1050" i="2"/>
  <c r="AA1049" i="2"/>
  <c r="AA1048" i="2"/>
  <c r="AA1047" i="2"/>
  <c r="AA1046" i="2"/>
  <c r="AA1045" i="2"/>
  <c r="AA1044" i="2"/>
  <c r="AA1043" i="2"/>
  <c r="AA1042" i="2"/>
  <c r="AA1041" i="2"/>
  <c r="AA1040" i="2"/>
  <c r="AA1039" i="2"/>
  <c r="AA1038" i="2"/>
  <c r="AA1037" i="2"/>
  <c r="AA1036" i="2"/>
  <c r="AA1035" i="2"/>
  <c r="AA1034" i="2"/>
  <c r="AA1033" i="2"/>
  <c r="AA1032" i="2"/>
  <c r="AA1031" i="2"/>
  <c r="AA1030" i="2"/>
  <c r="AA1029" i="2"/>
  <c r="AA1028" i="2"/>
  <c r="AA1027" i="2"/>
  <c r="AA1026" i="2"/>
  <c r="AA1025" i="2"/>
  <c r="AA1024" i="2"/>
  <c r="AA1023" i="2"/>
  <c r="AA1022" i="2"/>
  <c r="AA1021" i="2"/>
  <c r="AA1020" i="2"/>
  <c r="AA1019" i="2"/>
  <c r="AA1018" i="2"/>
  <c r="AA1017" i="2"/>
  <c r="AA1016" i="2"/>
  <c r="AA1015" i="2"/>
  <c r="AA1014" i="2"/>
  <c r="AA1013" i="2"/>
  <c r="AA1012" i="2"/>
  <c r="AA1011" i="2"/>
  <c r="AA1010" i="2"/>
  <c r="AA1009" i="2"/>
  <c r="AA1008" i="2"/>
  <c r="AA1007" i="2"/>
  <c r="AA1006" i="2"/>
  <c r="AA1005" i="2"/>
  <c r="AA1004" i="2"/>
  <c r="AA1003" i="2"/>
  <c r="AA1002" i="2"/>
  <c r="AA1001" i="2"/>
  <c r="AA1000" i="2"/>
  <c r="AA999" i="2"/>
  <c r="AA998" i="2"/>
  <c r="AA997" i="2"/>
  <c r="AA996" i="2"/>
  <c r="AA995" i="2"/>
  <c r="AA994" i="2"/>
  <c r="AA993" i="2"/>
  <c r="AA992" i="2"/>
  <c r="AA991" i="2"/>
  <c r="AA990" i="2"/>
  <c r="AA989" i="2"/>
  <c r="AA988" i="2"/>
  <c r="AA987" i="2"/>
  <c r="AA986" i="2"/>
  <c r="AA985" i="2"/>
  <c r="AA984" i="2"/>
  <c r="AA983" i="2"/>
  <c r="AA982" i="2"/>
  <c r="AA981" i="2"/>
  <c r="AA980" i="2"/>
  <c r="AA979" i="2"/>
  <c r="AA978" i="2"/>
  <c r="AA977" i="2"/>
  <c r="AA976" i="2"/>
  <c r="AA975" i="2"/>
  <c r="AA974" i="2"/>
  <c r="AA973" i="2"/>
  <c r="AA972" i="2"/>
  <c r="AA971" i="2"/>
  <c r="AA970" i="2"/>
  <c r="AA969" i="2"/>
  <c r="AA968" i="2"/>
  <c r="AA967" i="2"/>
  <c r="AA966" i="2"/>
  <c r="AA965" i="2"/>
  <c r="AA964" i="2"/>
  <c r="AA963" i="2"/>
  <c r="AA962" i="2"/>
  <c r="AA961" i="2"/>
  <c r="AA960" i="2"/>
  <c r="AA959" i="2"/>
  <c r="AA958" i="2"/>
  <c r="AA957" i="2"/>
  <c r="AA956" i="2"/>
  <c r="AA955" i="2"/>
  <c r="AA954" i="2"/>
  <c r="AA953" i="2"/>
  <c r="AA952" i="2"/>
  <c r="AA951" i="2"/>
  <c r="AA950" i="2"/>
  <c r="AA949" i="2"/>
  <c r="AA948" i="2"/>
  <c r="AA947" i="2"/>
  <c r="AA946" i="2"/>
  <c r="AA945" i="2"/>
  <c r="AA944" i="2"/>
  <c r="AA943" i="2"/>
  <c r="AA942" i="2"/>
  <c r="AA941" i="2"/>
  <c r="AA940" i="2"/>
  <c r="AA939" i="2"/>
  <c r="AA938" i="2"/>
  <c r="AA937" i="2"/>
  <c r="AA936" i="2"/>
  <c r="AA935" i="2"/>
  <c r="AA934" i="2"/>
  <c r="AA933" i="2"/>
  <c r="AA932" i="2"/>
  <c r="AA931" i="2"/>
  <c r="AA930" i="2"/>
  <c r="AA929" i="2"/>
  <c r="AA928" i="2"/>
  <c r="AA927" i="2"/>
  <c r="AA926" i="2"/>
  <c r="AA925" i="2"/>
  <c r="AA924" i="2"/>
  <c r="AA923" i="2"/>
  <c r="AA922" i="2"/>
  <c r="AA921" i="2"/>
  <c r="AA920" i="2"/>
  <c r="AA919" i="2"/>
  <c r="AA918" i="2"/>
  <c r="AA917" i="2"/>
  <c r="AA916" i="2"/>
  <c r="AA915" i="2"/>
  <c r="AA914" i="2"/>
  <c r="AA913" i="2"/>
  <c r="AA912" i="2"/>
  <c r="AA911" i="2"/>
  <c r="AA910" i="2"/>
  <c r="AA909" i="2"/>
  <c r="AA908" i="2"/>
  <c r="AA907" i="2"/>
  <c r="AA906" i="2"/>
  <c r="AA905" i="2"/>
  <c r="AA904" i="2"/>
  <c r="AA903" i="2"/>
  <c r="AA902" i="2"/>
  <c r="AA901" i="2"/>
  <c r="AA900" i="2"/>
  <c r="AA899" i="2"/>
  <c r="AA898" i="2"/>
  <c r="AA897" i="2"/>
  <c r="AA896" i="2"/>
  <c r="AA895" i="2"/>
  <c r="AA894" i="2"/>
  <c r="AA893" i="2"/>
  <c r="AA892" i="2"/>
  <c r="AA891" i="2"/>
  <c r="AA890" i="2"/>
  <c r="AA889" i="2"/>
  <c r="AA888" i="2"/>
  <c r="AA887" i="2"/>
  <c r="AA886" i="2"/>
  <c r="AA885" i="2"/>
  <c r="AA884" i="2"/>
  <c r="AA883" i="2"/>
  <c r="AA882" i="2"/>
  <c r="AA881" i="2"/>
  <c r="AA880" i="2"/>
  <c r="AA879" i="2"/>
  <c r="AA878" i="2"/>
  <c r="AA877" i="2"/>
  <c r="AA876" i="2"/>
  <c r="AA875" i="2"/>
  <c r="AA874" i="2"/>
  <c r="AA873" i="2"/>
  <c r="AA872" i="2"/>
  <c r="AA871" i="2"/>
  <c r="AA870" i="2"/>
  <c r="AA869" i="2"/>
  <c r="AA868" i="2"/>
  <c r="AA867" i="2"/>
  <c r="AA866" i="2"/>
  <c r="AA865" i="2"/>
  <c r="AA864" i="2"/>
  <c r="AA863" i="2"/>
  <c r="AA862" i="2"/>
  <c r="AA861" i="2"/>
  <c r="AA860" i="2"/>
  <c r="AA859" i="2"/>
  <c r="AA858" i="2"/>
  <c r="AA857" i="2"/>
  <c r="AA856" i="2"/>
  <c r="AA855" i="2"/>
  <c r="AA854" i="2"/>
  <c r="AA853" i="2"/>
  <c r="AA852" i="2"/>
  <c r="AA851" i="2"/>
  <c r="AA850" i="2"/>
  <c r="AA849" i="2"/>
  <c r="AA848" i="2"/>
  <c r="AA847" i="2"/>
  <c r="AA846" i="2"/>
  <c r="AA845" i="2"/>
  <c r="AA844" i="2"/>
  <c r="AA843" i="2"/>
  <c r="AA842" i="2"/>
  <c r="AA841" i="2"/>
  <c r="AA840" i="2"/>
  <c r="AA839" i="2"/>
  <c r="AA838" i="2"/>
  <c r="AA837" i="2"/>
  <c r="AA836" i="2"/>
  <c r="AA835" i="2"/>
  <c r="AA834" i="2"/>
  <c r="AA833" i="2"/>
  <c r="AA832" i="2"/>
  <c r="AA831" i="2"/>
  <c r="AA830" i="2"/>
  <c r="AA829" i="2"/>
  <c r="AA828" i="2"/>
  <c r="AA827" i="2"/>
  <c r="AA826" i="2"/>
  <c r="AA825" i="2"/>
  <c r="AA824" i="2"/>
  <c r="AA823" i="2"/>
  <c r="AA822" i="2"/>
  <c r="AA821" i="2"/>
  <c r="AA820" i="2"/>
  <c r="AA819" i="2"/>
  <c r="AA818" i="2"/>
  <c r="AA817" i="2"/>
  <c r="AA816" i="2"/>
  <c r="AA815" i="2"/>
  <c r="AA814" i="2"/>
  <c r="AA813" i="2"/>
  <c r="AA812" i="2"/>
  <c r="AA811" i="2"/>
  <c r="AA810" i="2"/>
  <c r="AA809" i="2"/>
  <c r="AA808" i="2"/>
  <c r="AA807" i="2"/>
  <c r="AA806" i="2"/>
  <c r="AA805" i="2"/>
  <c r="AA804" i="2"/>
  <c r="AA803" i="2"/>
  <c r="AA802" i="2"/>
  <c r="AA801" i="2"/>
  <c r="AA800" i="2"/>
  <c r="AA799" i="2"/>
  <c r="AA798" i="2"/>
  <c r="AA797" i="2"/>
  <c r="AA796" i="2"/>
  <c r="AA795" i="2"/>
  <c r="AA794" i="2"/>
  <c r="AA793" i="2"/>
  <c r="AA792" i="2"/>
  <c r="AA791" i="2"/>
  <c r="AA790" i="2"/>
  <c r="AA789" i="2"/>
  <c r="AA788" i="2"/>
  <c r="AA787" i="2"/>
  <c r="AA786" i="2"/>
  <c r="AA785" i="2"/>
  <c r="AA784" i="2"/>
  <c r="AA783" i="2"/>
  <c r="AA782" i="2"/>
  <c r="AA781" i="2"/>
  <c r="AA780" i="2"/>
  <c r="AA779" i="2"/>
  <c r="AA778" i="2"/>
  <c r="AA777" i="2"/>
  <c r="AA776" i="2"/>
  <c r="AA775" i="2"/>
  <c r="AA774" i="2"/>
  <c r="AA773" i="2"/>
  <c r="AA772" i="2"/>
  <c r="AA771" i="2"/>
  <c r="AA770" i="2"/>
  <c r="AA769" i="2"/>
  <c r="AA768" i="2"/>
  <c r="AA767" i="2"/>
  <c r="AA766" i="2"/>
  <c r="AA765" i="2"/>
  <c r="AA764" i="2"/>
  <c r="AA763" i="2"/>
  <c r="AA762" i="2"/>
  <c r="AA761" i="2"/>
  <c r="AA760" i="2"/>
  <c r="AA759" i="2"/>
  <c r="AA758" i="2"/>
  <c r="AA757" i="2"/>
  <c r="AA756" i="2"/>
  <c r="AA755" i="2"/>
  <c r="AA754" i="2"/>
  <c r="AA753" i="2"/>
  <c r="AA752" i="2"/>
  <c r="AA751" i="2"/>
  <c r="AA750" i="2"/>
  <c r="AA749" i="2"/>
  <c r="AA748" i="2"/>
  <c r="AA747" i="2"/>
  <c r="AA746" i="2"/>
  <c r="AA745" i="2"/>
  <c r="AC744" i="2"/>
  <c r="AA744" i="2"/>
  <c r="AB744" i="2" s="1"/>
  <c r="AA743" i="2"/>
  <c r="AA742" i="2"/>
  <c r="AA741" i="2"/>
  <c r="AA740" i="2"/>
  <c r="AA739" i="2"/>
  <c r="AA738" i="2"/>
  <c r="AA737" i="2"/>
  <c r="AA736" i="2"/>
  <c r="AA735" i="2"/>
  <c r="AA734" i="2"/>
  <c r="AA733" i="2"/>
  <c r="AA732" i="2"/>
  <c r="AA731" i="2"/>
  <c r="AA730" i="2"/>
  <c r="AA729" i="2"/>
  <c r="AA728" i="2"/>
  <c r="AA727" i="2"/>
  <c r="AA726" i="2"/>
  <c r="AA725" i="2"/>
  <c r="AA724" i="2"/>
  <c r="AA723" i="2"/>
  <c r="AA722" i="2"/>
  <c r="AA721" i="2"/>
  <c r="AA720" i="2"/>
  <c r="AA719" i="2"/>
  <c r="AA718" i="2"/>
  <c r="AA717" i="2"/>
  <c r="AA716" i="2"/>
  <c r="AA715" i="2"/>
  <c r="AA714" i="2"/>
  <c r="AA713" i="2"/>
  <c r="AA712" i="2"/>
  <c r="AA711" i="2"/>
  <c r="AA710" i="2"/>
  <c r="AA709" i="2"/>
  <c r="AA708" i="2"/>
  <c r="AA707" i="2"/>
  <c r="AA706" i="2"/>
  <c r="AA705" i="2"/>
  <c r="AA704" i="2"/>
  <c r="AA703" i="2"/>
  <c r="AA702" i="2"/>
  <c r="AA701" i="2"/>
  <c r="AA700" i="2"/>
  <c r="AA699" i="2"/>
  <c r="AA698" i="2"/>
  <c r="AA697" i="2"/>
  <c r="AA696" i="2"/>
  <c r="AA695" i="2"/>
  <c r="AA694" i="2"/>
  <c r="AA693" i="2"/>
  <c r="AA692" i="2"/>
  <c r="AA691" i="2"/>
  <c r="AA690" i="2"/>
  <c r="AA689" i="2"/>
  <c r="AA688" i="2"/>
  <c r="AA687" i="2"/>
  <c r="AA686" i="2"/>
  <c r="AA685" i="2"/>
  <c r="AA684" i="2"/>
  <c r="AA683" i="2"/>
  <c r="AA682" i="2"/>
  <c r="AA681" i="2"/>
  <c r="AA680" i="2"/>
  <c r="AA679" i="2"/>
  <c r="AA678" i="2"/>
  <c r="AA677" i="2"/>
  <c r="AA676" i="2"/>
  <c r="AA675" i="2"/>
  <c r="AA674" i="2"/>
  <c r="AA673" i="2"/>
  <c r="AA672" i="2"/>
  <c r="AA671" i="2"/>
  <c r="AA670" i="2"/>
  <c r="AA669" i="2"/>
  <c r="AA668" i="2"/>
  <c r="AA667" i="2"/>
  <c r="AA666" i="2"/>
  <c r="AA665" i="2"/>
  <c r="AA664" i="2"/>
  <c r="AA663" i="2"/>
  <c r="AA662" i="2"/>
  <c r="AA661" i="2"/>
  <c r="AA660" i="2"/>
  <c r="AA659" i="2"/>
  <c r="AA658" i="2"/>
  <c r="AA657" i="2"/>
  <c r="AA656" i="2"/>
  <c r="AA655" i="2"/>
  <c r="AA654" i="2"/>
  <c r="AA653" i="2"/>
  <c r="AA652" i="2"/>
  <c r="AA651" i="2"/>
  <c r="AA650" i="2"/>
  <c r="AA649" i="2"/>
  <c r="AA648" i="2"/>
  <c r="AA647" i="2"/>
  <c r="AA646" i="2"/>
  <c r="AA645" i="2"/>
  <c r="AA644" i="2"/>
  <c r="AA643" i="2"/>
  <c r="AA642" i="2"/>
  <c r="AA641" i="2"/>
  <c r="AA640" i="2"/>
  <c r="AA639" i="2"/>
  <c r="AA638" i="2"/>
  <c r="AA637" i="2"/>
  <c r="AA636" i="2"/>
  <c r="AA635" i="2"/>
  <c r="AA634" i="2"/>
  <c r="AA633" i="2"/>
  <c r="AA632" i="2"/>
  <c r="AA631" i="2"/>
  <c r="AA630" i="2"/>
  <c r="AA629" i="2"/>
  <c r="AA628" i="2"/>
  <c r="AA627" i="2"/>
  <c r="AA626" i="2"/>
  <c r="AA625" i="2"/>
  <c r="AA624" i="2"/>
  <c r="AA623" i="2"/>
  <c r="AA622" i="2"/>
  <c r="AA621" i="2"/>
  <c r="AA620" i="2"/>
  <c r="AA619" i="2"/>
  <c r="AA618" i="2"/>
  <c r="AA617" i="2"/>
  <c r="AA616" i="2"/>
  <c r="AA615" i="2"/>
  <c r="AA614" i="2"/>
  <c r="AA613" i="2"/>
  <c r="AA612" i="2"/>
  <c r="AA611" i="2"/>
  <c r="AA610" i="2"/>
  <c r="AA609" i="2"/>
  <c r="AA608" i="2"/>
  <c r="AA607" i="2"/>
  <c r="AA606" i="2"/>
  <c r="AA605" i="2"/>
  <c r="AA604" i="2"/>
  <c r="AA603" i="2"/>
  <c r="AA602" i="2"/>
  <c r="AA601" i="2"/>
  <c r="AA600" i="2"/>
  <c r="AA599" i="2"/>
  <c r="AA598" i="2"/>
  <c r="AA597" i="2"/>
  <c r="AA596" i="2"/>
  <c r="AA595" i="2"/>
  <c r="AA594" i="2"/>
  <c r="AA593" i="2"/>
  <c r="AA592" i="2"/>
  <c r="AA591" i="2"/>
  <c r="AA590" i="2"/>
  <c r="AA589" i="2"/>
  <c r="AA588" i="2"/>
  <c r="AA587" i="2"/>
  <c r="AA586" i="2"/>
  <c r="AA585" i="2"/>
  <c r="AA584" i="2"/>
  <c r="AA583" i="2"/>
  <c r="AA582" i="2"/>
  <c r="AA581" i="2"/>
  <c r="AA580" i="2"/>
  <c r="AA579" i="2"/>
  <c r="AA578" i="2"/>
  <c r="AA577" i="2"/>
  <c r="AA576" i="2"/>
  <c r="AA575" i="2"/>
  <c r="AA574" i="2"/>
  <c r="AA573" i="2"/>
  <c r="AA572" i="2"/>
  <c r="AA571" i="2"/>
  <c r="AA570" i="2"/>
  <c r="AA569" i="2"/>
  <c r="AA568" i="2"/>
  <c r="AA567" i="2"/>
  <c r="AA566" i="2"/>
  <c r="AA565" i="2"/>
  <c r="AA564" i="2"/>
  <c r="AA563" i="2"/>
  <c r="AA562" i="2"/>
  <c r="AA561" i="2"/>
  <c r="AA560" i="2"/>
  <c r="AA559" i="2"/>
  <c r="AA558" i="2"/>
  <c r="AA557" i="2"/>
  <c r="AA556" i="2"/>
  <c r="AC555" i="2"/>
  <c r="AB555" i="2"/>
  <c r="AA555" i="2"/>
  <c r="AA554" i="2"/>
  <c r="AA553" i="2"/>
  <c r="AA552" i="2"/>
  <c r="AA551" i="2"/>
  <c r="AA550" i="2"/>
  <c r="AA549" i="2"/>
  <c r="AA548" i="2"/>
  <c r="AA547" i="2"/>
  <c r="AA546" i="2"/>
  <c r="AA545" i="2"/>
  <c r="AA544" i="2"/>
  <c r="AA543" i="2"/>
  <c r="AA542" i="2"/>
  <c r="AA541" i="2"/>
  <c r="AA540" i="2"/>
  <c r="AA539" i="2"/>
  <c r="AA538" i="2"/>
  <c r="AA537" i="2"/>
  <c r="AA536" i="2"/>
  <c r="AA535" i="2"/>
  <c r="AA534" i="2"/>
  <c r="AA533" i="2"/>
  <c r="AA532" i="2"/>
  <c r="AA531" i="2"/>
  <c r="AA530" i="2"/>
  <c r="AA529" i="2"/>
  <c r="AA528" i="2"/>
  <c r="AA527" i="2"/>
  <c r="AA526" i="2"/>
  <c r="AA525" i="2"/>
  <c r="AA524" i="2"/>
  <c r="AA523" i="2"/>
  <c r="AA522" i="2"/>
  <c r="AA521" i="2"/>
  <c r="AA520" i="2"/>
  <c r="AA519" i="2"/>
  <c r="AA518" i="2"/>
  <c r="AA517" i="2"/>
  <c r="AA516" i="2"/>
  <c r="AA515" i="2"/>
  <c r="AA514" i="2"/>
  <c r="AA513" i="2"/>
  <c r="AA512" i="2"/>
  <c r="AA511" i="2"/>
  <c r="AA510" i="2"/>
  <c r="AA509" i="2"/>
  <c r="AA508" i="2"/>
  <c r="AA507" i="2"/>
  <c r="AA506" i="2"/>
  <c r="AA505" i="2"/>
  <c r="AA504" i="2"/>
  <c r="AA503" i="2"/>
  <c r="AA502" i="2"/>
  <c r="AA501" i="2"/>
  <c r="AA500" i="2"/>
  <c r="AA499" i="2"/>
  <c r="AA498" i="2"/>
  <c r="AA497" i="2"/>
  <c r="AA496" i="2"/>
  <c r="AA495" i="2"/>
  <c r="AA494" i="2"/>
  <c r="AA493" i="2"/>
  <c r="AA492" i="2"/>
  <c r="AA491" i="2"/>
  <c r="AA490" i="2"/>
  <c r="AA489" i="2"/>
  <c r="AA488" i="2"/>
  <c r="AA487" i="2"/>
  <c r="AA486" i="2"/>
  <c r="AA485" i="2"/>
  <c r="AA484" i="2"/>
  <c r="AA483" i="2"/>
  <c r="AA482" i="2"/>
  <c r="AA481" i="2"/>
  <c r="AA480" i="2"/>
  <c r="AA479" i="2"/>
  <c r="AA478" i="2"/>
  <c r="AA477" i="2"/>
  <c r="AA476" i="2"/>
  <c r="AA475" i="2"/>
  <c r="AA474" i="2"/>
  <c r="AA473" i="2"/>
  <c r="AA472" i="2"/>
  <c r="AA471" i="2"/>
  <c r="AA470" i="2"/>
  <c r="AA469" i="2"/>
  <c r="AA468" i="2"/>
  <c r="AA467" i="2"/>
  <c r="AA466" i="2"/>
  <c r="AA465" i="2"/>
  <c r="AA464" i="2"/>
  <c r="AA463" i="2"/>
  <c r="AA462" i="2"/>
  <c r="AA461" i="2"/>
  <c r="AA460" i="2"/>
  <c r="AA459" i="2"/>
  <c r="AA458" i="2"/>
  <c r="AA457" i="2"/>
  <c r="AA456" i="2"/>
  <c r="AA455" i="2"/>
  <c r="AA454" i="2"/>
  <c r="AA453" i="2"/>
  <c r="AA452" i="2"/>
  <c r="AA451" i="2"/>
  <c r="AA450" i="2"/>
  <c r="AA449" i="2"/>
  <c r="AA448" i="2"/>
  <c r="AA447" i="2"/>
  <c r="AA446" i="2"/>
  <c r="AA445" i="2"/>
  <c r="AA444" i="2"/>
  <c r="AA443" i="2"/>
  <c r="AA442" i="2"/>
  <c r="AA441" i="2"/>
  <c r="AA440" i="2"/>
  <c r="AA439" i="2"/>
  <c r="AA438" i="2"/>
  <c r="AA437" i="2"/>
  <c r="AA436" i="2"/>
  <c r="AA435" i="2"/>
  <c r="AA434" i="2"/>
  <c r="AA433" i="2"/>
  <c r="AA432" i="2"/>
  <c r="AA431" i="2"/>
  <c r="AA430" i="2"/>
  <c r="AA429" i="2"/>
  <c r="AA428" i="2"/>
  <c r="AA427" i="2"/>
  <c r="AA426" i="2"/>
  <c r="AA425" i="2"/>
  <c r="AA424" i="2"/>
  <c r="AA423" i="2"/>
  <c r="AA422" i="2"/>
  <c r="AA421" i="2"/>
  <c r="AA420" i="2"/>
  <c r="AA419" i="2"/>
  <c r="AA418" i="2"/>
  <c r="AA417" i="2"/>
  <c r="AA416" i="2"/>
  <c r="AA415" i="2"/>
  <c r="AA414" i="2"/>
  <c r="AA413" i="2"/>
  <c r="AA412" i="2"/>
  <c r="AA411" i="2"/>
  <c r="AA410" i="2"/>
  <c r="AA409" i="2"/>
  <c r="AA408" i="2"/>
  <c r="AA407" i="2"/>
  <c r="AA406" i="2"/>
  <c r="AA405" i="2"/>
  <c r="AA404" i="2"/>
  <c r="AA403" i="2"/>
  <c r="AA402" i="2"/>
  <c r="AA401" i="2"/>
  <c r="AA400" i="2"/>
  <c r="AA399" i="2"/>
  <c r="AA398" i="2"/>
  <c r="AA397" i="2"/>
  <c r="AA396" i="2"/>
  <c r="AA395" i="2"/>
  <c r="AA394" i="2"/>
  <c r="AA393" i="2"/>
  <c r="AA392" i="2"/>
  <c r="AA391" i="2"/>
  <c r="AA390" i="2"/>
  <c r="AA389" i="2"/>
  <c r="AA388" i="2"/>
  <c r="AA387" i="2"/>
  <c r="AA386" i="2"/>
  <c r="AA385" i="2"/>
  <c r="AA384" i="2"/>
  <c r="AA383" i="2"/>
  <c r="AA382" i="2"/>
  <c r="AA381" i="2"/>
  <c r="AA380" i="2"/>
  <c r="AA379" i="2"/>
  <c r="AA378" i="2"/>
  <c r="AA377" i="2"/>
  <c r="AA376" i="2"/>
  <c r="AA375" i="2"/>
  <c r="AA374" i="2"/>
  <c r="AA373" i="2"/>
  <c r="AA372" i="2"/>
  <c r="AA371" i="2"/>
  <c r="AA370" i="2"/>
  <c r="AA369" i="2"/>
  <c r="AA368" i="2"/>
  <c r="AA367" i="2"/>
  <c r="AA366" i="2"/>
  <c r="AA365" i="2"/>
  <c r="AA364" i="2"/>
  <c r="AA363" i="2"/>
  <c r="AA362" i="2"/>
  <c r="AA361" i="2"/>
  <c r="AA360" i="2"/>
  <c r="AA359" i="2"/>
  <c r="AA358" i="2"/>
  <c r="AA357" i="2"/>
  <c r="AA356" i="2"/>
  <c r="AA355" i="2"/>
  <c r="AA354" i="2"/>
  <c r="AA353" i="2"/>
  <c r="AA352" i="2"/>
  <c r="AA351" i="2"/>
  <c r="AA350" i="2"/>
  <c r="AA349" i="2"/>
  <c r="AA348" i="2"/>
  <c r="AA347" i="2"/>
  <c r="AA346" i="2"/>
  <c r="AA345" i="2"/>
  <c r="AA344" i="2"/>
  <c r="AA343" i="2"/>
  <c r="AA342" i="2"/>
  <c r="AA341" i="2"/>
  <c r="AA340" i="2"/>
  <c r="AA339" i="2"/>
  <c r="AA338" i="2"/>
  <c r="AA337" i="2"/>
  <c r="AA336" i="2"/>
  <c r="AA335" i="2"/>
  <c r="AA334" i="2"/>
  <c r="AA333" i="2"/>
  <c r="AA332" i="2"/>
  <c r="AA331" i="2"/>
  <c r="AA330" i="2"/>
  <c r="AA329" i="2"/>
  <c r="AA328" i="2"/>
  <c r="AA327" i="2"/>
  <c r="AA326" i="2"/>
  <c r="AA325" i="2"/>
  <c r="AA324" i="2"/>
  <c r="AA323" i="2"/>
  <c r="AA322" i="2"/>
  <c r="AA321" i="2"/>
  <c r="AA320" i="2"/>
  <c r="AA319" i="2"/>
  <c r="AA318" i="2"/>
  <c r="AA317" i="2"/>
  <c r="AA316" i="2"/>
  <c r="AA315" i="2"/>
  <c r="AA314" i="2"/>
  <c r="AA313" i="2"/>
  <c r="AA312" i="2"/>
  <c r="AA311" i="2"/>
  <c r="AA310" i="2"/>
  <c r="AA309" i="2"/>
  <c r="AA308" i="2"/>
  <c r="AA307" i="2"/>
  <c r="AA306" i="2"/>
  <c r="AA305" i="2"/>
  <c r="AA304" i="2"/>
  <c r="AA303" i="2"/>
  <c r="AA302" i="2"/>
  <c r="AA301" i="2"/>
  <c r="AA300" i="2"/>
  <c r="AA299" i="2"/>
  <c r="AA298" i="2"/>
  <c r="AA297" i="2"/>
  <c r="AA296" i="2"/>
  <c r="AA295" i="2"/>
  <c r="AA294" i="2"/>
  <c r="AA293" i="2"/>
  <c r="AA292" i="2"/>
  <c r="AA291" i="2"/>
  <c r="AA290" i="2"/>
  <c r="AA289" i="2"/>
  <c r="AA288" i="2"/>
  <c r="AA287" i="2"/>
  <c r="AA286" i="2"/>
  <c r="AA285" i="2"/>
  <c r="AA284" i="2"/>
  <c r="AA283" i="2"/>
  <c r="AA282" i="2"/>
  <c r="AA281" i="2"/>
  <c r="AA280" i="2"/>
  <c r="AA279" i="2"/>
  <c r="AA278" i="2"/>
  <c r="AA277" i="2"/>
  <c r="AA276" i="2"/>
  <c r="AA275" i="2"/>
  <c r="AA274" i="2"/>
  <c r="AA273" i="2"/>
  <c r="AA272" i="2"/>
  <c r="AA271" i="2"/>
  <c r="AA270" i="2"/>
  <c r="AA269" i="2"/>
  <c r="AA268" i="2"/>
  <c r="AA267" i="2"/>
  <c r="AA266" i="2"/>
  <c r="AA265" i="2"/>
  <c r="AA264" i="2"/>
  <c r="AA263" i="2"/>
  <c r="AA262" i="2"/>
  <c r="AA261" i="2"/>
  <c r="AA260" i="2"/>
  <c r="AA259" i="2"/>
  <c r="AA258" i="2"/>
  <c r="AA257" i="2"/>
  <c r="AA256" i="2"/>
  <c r="AA255" i="2"/>
  <c r="AA254" i="2"/>
  <c r="AA253" i="2"/>
  <c r="AA252" i="2"/>
  <c r="AA251" i="2"/>
  <c r="AA250" i="2"/>
  <c r="AA249" i="2"/>
  <c r="AA248" i="2"/>
  <c r="AA247" i="2"/>
  <c r="AA246" i="2"/>
  <c r="AA245" i="2"/>
  <c r="AA244" i="2"/>
  <c r="AC243" i="2"/>
  <c r="AA243" i="2"/>
  <c r="AB243" i="2" s="1"/>
  <c r="AA242" i="2"/>
  <c r="AA241" i="2"/>
  <c r="AA240" i="2"/>
  <c r="AA239" i="2"/>
  <c r="AA238" i="2"/>
  <c r="AA237" i="2"/>
  <c r="AA236" i="2"/>
  <c r="AA235" i="2"/>
  <c r="AA234" i="2"/>
  <c r="AA233" i="2"/>
  <c r="AA232" i="2"/>
  <c r="AA231" i="2"/>
  <c r="AA230" i="2"/>
  <c r="AA229" i="2"/>
  <c r="AA228" i="2"/>
  <c r="AA227" i="2"/>
  <c r="AA226" i="2"/>
  <c r="AA225" i="2"/>
  <c r="AA224" i="2"/>
  <c r="AA223" i="2"/>
  <c r="AA222" i="2"/>
  <c r="AA221" i="2"/>
  <c r="AA220" i="2"/>
  <c r="AA219" i="2"/>
  <c r="AA218" i="2"/>
  <c r="AA217" i="2"/>
  <c r="AA216" i="2"/>
  <c r="AA215" i="2"/>
  <c r="AA214" i="2"/>
  <c r="AA213" i="2"/>
  <c r="AA212" i="2"/>
  <c r="AA211" i="2"/>
  <c r="AA210" i="2"/>
  <c r="AA209" i="2"/>
  <c r="AA208" i="2"/>
  <c r="AA207" i="2"/>
  <c r="AA206" i="2"/>
  <c r="AA205" i="2"/>
  <c r="AA204" i="2"/>
  <c r="AA203" i="2"/>
  <c r="AA202" i="2"/>
  <c r="AA201" i="2"/>
  <c r="AA200" i="2"/>
  <c r="AA199" i="2"/>
  <c r="AA198" i="2"/>
  <c r="AA197" i="2"/>
  <c r="AA196" i="2"/>
  <c r="AA195" i="2"/>
  <c r="AA194" i="2"/>
  <c r="AA193" i="2"/>
  <c r="AA192" i="2"/>
  <c r="AA191" i="2"/>
  <c r="AA190" i="2"/>
  <c r="AA189" i="2"/>
  <c r="AA188" i="2"/>
  <c r="AA187" i="2"/>
  <c r="AA186" i="2"/>
  <c r="AA185" i="2"/>
  <c r="AA184" i="2"/>
  <c r="AA183" i="2"/>
  <c r="AA182" i="2"/>
  <c r="AA181" i="2"/>
  <c r="AA180" i="2"/>
  <c r="AA179" i="2"/>
  <c r="AA178" i="2"/>
  <c r="AA177" i="2"/>
  <c r="AC176" i="2"/>
  <c r="AA176" i="2"/>
  <c r="AB176" i="2" s="1"/>
  <c r="AA175" i="2"/>
  <c r="AA174" i="2"/>
  <c r="AA173" i="2"/>
  <c r="AA172" i="2"/>
  <c r="AA171" i="2"/>
  <c r="AA170" i="2"/>
  <c r="AA169" i="2"/>
  <c r="AA168" i="2"/>
  <c r="AA167" i="2"/>
  <c r="AA166" i="2"/>
  <c r="AA165" i="2"/>
  <c r="AA164" i="2"/>
  <c r="AA163" i="2"/>
  <c r="AA162" i="2"/>
  <c r="AA161" i="2"/>
  <c r="AA160" i="2"/>
  <c r="AA159" i="2"/>
  <c r="AA158" i="2"/>
  <c r="AA157" i="2"/>
  <c r="AA156" i="2"/>
  <c r="AA155" i="2"/>
  <c r="AA154" i="2"/>
  <c r="AA153" i="2"/>
  <c r="AA152" i="2"/>
  <c r="AA151" i="2"/>
  <c r="AA150" i="2"/>
  <c r="AA149" i="2"/>
  <c r="AA148" i="2"/>
  <c r="AA147" i="2"/>
  <c r="AA146" i="2"/>
  <c r="AA145" i="2"/>
  <c r="AA144" i="2"/>
  <c r="AA143" i="2"/>
  <c r="AA142" i="2"/>
  <c r="AA141" i="2"/>
  <c r="AA140" i="2"/>
  <c r="AA139" i="2"/>
  <c r="AA138" i="2"/>
  <c r="AA137" i="2"/>
  <c r="AA136" i="2"/>
  <c r="AA135" i="2"/>
  <c r="AA134" i="2"/>
  <c r="AA133" i="2"/>
  <c r="AA132" i="2"/>
  <c r="AA131" i="2"/>
  <c r="AA130" i="2"/>
  <c r="AA129" i="2"/>
  <c r="AA128" i="2"/>
  <c r="AA127" i="2"/>
  <c r="AA126" i="2"/>
  <c r="AA125" i="2"/>
  <c r="AA124" i="2"/>
  <c r="AA123" i="2"/>
  <c r="AA122" i="2"/>
  <c r="AA121" i="2"/>
  <c r="AA120" i="2"/>
  <c r="AA119" i="2"/>
  <c r="AA118" i="2"/>
  <c r="AA117" i="2"/>
  <c r="AA116" i="2"/>
  <c r="AA115" i="2"/>
  <c r="AA114" i="2"/>
  <c r="AA113" i="2"/>
  <c r="AA112" i="2"/>
  <c r="AA111" i="2"/>
  <c r="AA110" i="2"/>
  <c r="AA109" i="2"/>
  <c r="AA108" i="2"/>
  <c r="AA107" i="2"/>
  <c r="AA106" i="2"/>
  <c r="AA105" i="2"/>
  <c r="AA104" i="2"/>
  <c r="AA103" i="2"/>
  <c r="AA102" i="2"/>
  <c r="AA101" i="2"/>
  <c r="AA100" i="2"/>
  <c r="AA99" i="2"/>
  <c r="AA98" i="2"/>
  <c r="AA97" i="2"/>
  <c r="AA96" i="2"/>
  <c r="AA95" i="2"/>
  <c r="AA94" i="2"/>
  <c r="AA93" i="2"/>
  <c r="AA92" i="2"/>
  <c r="AA91" i="2"/>
  <c r="AA90" i="2"/>
  <c r="AA89" i="2"/>
  <c r="AA88" i="2"/>
  <c r="AA87" i="2"/>
  <c r="AA86" i="2"/>
  <c r="AA85" i="2"/>
  <c r="AA84" i="2"/>
  <c r="AA83" i="2"/>
  <c r="AA82" i="2"/>
  <c r="AA81" i="2"/>
  <c r="AA80" i="2"/>
  <c r="AA79" i="2"/>
  <c r="AA78" i="2"/>
  <c r="AA77" i="2"/>
  <c r="AA76" i="2"/>
  <c r="AA75" i="2"/>
  <c r="AA74" i="2"/>
  <c r="AA73" i="2"/>
  <c r="AA72" i="2"/>
  <c r="AA71" i="2"/>
  <c r="AA70" i="2"/>
  <c r="AA69" i="2"/>
  <c r="AA68" i="2"/>
  <c r="AA67" i="2"/>
  <c r="AA66" i="2"/>
  <c r="AA65" i="2"/>
  <c r="AA64" i="2"/>
  <c r="AA63" i="2"/>
  <c r="AA62" i="2"/>
  <c r="AA61" i="2"/>
  <c r="AA60" i="2"/>
  <c r="AA59" i="2"/>
  <c r="AA58" i="2"/>
  <c r="AA57" i="2"/>
  <c r="AA56" i="2"/>
  <c r="AA55" i="2"/>
  <c r="AA54" i="2"/>
  <c r="AA53" i="2"/>
  <c r="AA52" i="2"/>
  <c r="AA51" i="2"/>
  <c r="AA50" i="2"/>
  <c r="AA49" i="2"/>
  <c r="AA48" i="2"/>
  <c r="AA47" i="2"/>
  <c r="AA46" i="2"/>
  <c r="AA45" i="2"/>
  <c r="AA44" i="2"/>
  <c r="AA43" i="2"/>
  <c r="AA42" i="2"/>
  <c r="AA41" i="2"/>
  <c r="AA40" i="2"/>
  <c r="AA39" i="2"/>
  <c r="AA38" i="2"/>
  <c r="AA37" i="2"/>
  <c r="AA36" i="2"/>
  <c r="AA35" i="2"/>
  <c r="AA34" i="2"/>
  <c r="AA33" i="2"/>
  <c r="AA32" i="2"/>
  <c r="AA31" i="2"/>
  <c r="AA30" i="2"/>
  <c r="AA29" i="2"/>
  <c r="AA28" i="2"/>
  <c r="AA27" i="2"/>
  <c r="AA26" i="2"/>
  <c r="AA25" i="2"/>
  <c r="AA24" i="2"/>
  <c r="AA23" i="2"/>
  <c r="AA22" i="2"/>
  <c r="AA21" i="2"/>
  <c r="AA20" i="2"/>
  <c r="AA19" i="2"/>
  <c r="AA18" i="2"/>
  <c r="AA17" i="2"/>
  <c r="AA16" i="2"/>
  <c r="AA15" i="2"/>
  <c r="AA14" i="2"/>
  <c r="AA13" i="2"/>
  <c r="AA12" i="2"/>
  <c r="AA11" i="2"/>
  <c r="AA10" i="2"/>
  <c r="AA9" i="2"/>
  <c r="AA8" i="2"/>
  <c r="AA7" i="2"/>
  <c r="AA6" i="2"/>
  <c r="AA5" i="2"/>
  <c r="AA4" i="2"/>
  <c r="AA3" i="2"/>
  <c r="AA2" i="2"/>
  <c r="H19" i="1"/>
  <c r="G19" i="1"/>
  <c r="H18" i="1"/>
  <c r="G18" i="1"/>
  <c r="D18" i="1"/>
  <c r="B18" i="1"/>
  <c r="C18" i="1" s="1"/>
  <c r="H17" i="1"/>
  <c r="G17" i="1"/>
  <c r="D17" i="1"/>
  <c r="B17" i="1"/>
  <c r="C17" i="1" s="1"/>
  <c r="H16" i="1"/>
  <c r="G16" i="1"/>
  <c r="D16" i="1"/>
  <c r="B16" i="1"/>
  <c r="C16" i="1" s="1"/>
  <c r="H15" i="1"/>
  <c r="G15" i="1"/>
  <c r="D15" i="1"/>
  <c r="B15" i="1"/>
  <c r="C15" i="1" s="1"/>
  <c r="H14" i="1"/>
  <c r="G14" i="1"/>
  <c r="D14" i="1"/>
  <c r="B14" i="1"/>
  <c r="C14" i="1" s="1"/>
  <c r="G10" i="1"/>
  <c r="H10" i="1" s="1"/>
  <c r="G9" i="1"/>
  <c r="H9" i="1" s="1"/>
  <c r="B9" i="1"/>
  <c r="G8" i="1"/>
  <c r="H8" i="1" s="1"/>
  <c r="B8" i="1"/>
  <c r="G7" i="1"/>
  <c r="H7" i="1" s="1"/>
  <c r="B7" i="1"/>
  <c r="G6" i="1"/>
  <c r="H6" i="1" s="1"/>
  <c r="B6" i="1"/>
  <c r="G5" i="1"/>
  <c r="H5" i="1" s="1"/>
  <c r="B5" i="1"/>
  <c r="AC1501" i="2" l="1"/>
  <c r="AB1501" i="2"/>
  <c r="AC1500" i="2"/>
  <c r="AB1500" i="2"/>
  <c r="AC1499" i="2"/>
  <c r="AB1499" i="2"/>
  <c r="AC1498" i="2"/>
  <c r="AB1498" i="2"/>
  <c r="AC1497" i="2"/>
  <c r="AB1497" i="2"/>
  <c r="AC1496" i="2"/>
  <c r="AB1496" i="2"/>
  <c r="AC1495" i="2"/>
  <c r="AB1495" i="2"/>
  <c r="AC1494" i="2"/>
  <c r="AB1494" i="2"/>
  <c r="AC1493" i="2"/>
  <c r="AB1493" i="2"/>
  <c r="AC1492" i="2"/>
  <c r="AB1492" i="2"/>
  <c r="AC1491" i="2"/>
  <c r="AB1491" i="2"/>
  <c r="AC1490" i="2"/>
  <c r="AB1490" i="2"/>
  <c r="AC1489" i="2"/>
  <c r="AB1489" i="2"/>
  <c r="AC1488" i="2"/>
  <c r="AB1488" i="2"/>
  <c r="AC1487" i="2"/>
  <c r="AB1487" i="2"/>
  <c r="AC1486" i="2"/>
  <c r="AB1486" i="2"/>
  <c r="AC1485" i="2"/>
  <c r="AB1485" i="2"/>
  <c r="AC1484" i="2"/>
  <c r="AB1484" i="2"/>
  <c r="AC1483" i="2"/>
  <c r="AB1483" i="2"/>
  <c r="AC1482" i="2"/>
  <c r="AB1482" i="2"/>
  <c r="AC1481" i="2"/>
  <c r="AB1481" i="2"/>
  <c r="AC1480" i="2"/>
  <c r="AB1480" i="2"/>
  <c r="AC1479" i="2"/>
  <c r="AB1479" i="2"/>
  <c r="AC1478" i="2"/>
  <c r="AB1478" i="2"/>
  <c r="AC1477" i="2"/>
  <c r="AB1477" i="2"/>
  <c r="AC1476" i="2"/>
  <c r="AB1476" i="2"/>
  <c r="AC1475" i="2"/>
  <c r="AB1475" i="2"/>
  <c r="AC1474" i="2"/>
  <c r="AB1474" i="2"/>
  <c r="AC1473" i="2"/>
  <c r="AB1473" i="2"/>
  <c r="AC1472" i="2"/>
  <c r="AB1472" i="2"/>
  <c r="AC1471" i="2"/>
  <c r="AB1471" i="2"/>
  <c r="AC1470" i="2"/>
  <c r="AB1470" i="2"/>
  <c r="AC1469" i="2"/>
  <c r="AB1469" i="2"/>
  <c r="AC1468" i="2"/>
  <c r="AB1468" i="2"/>
  <c r="AC1467" i="2"/>
  <c r="AB1467" i="2"/>
  <c r="AC1466" i="2"/>
  <c r="AB1466" i="2"/>
  <c r="AC1465" i="2"/>
  <c r="AB1465" i="2"/>
  <c r="AC1464" i="2"/>
  <c r="AB1464" i="2"/>
  <c r="AC1463" i="2"/>
  <c r="AB1463" i="2"/>
  <c r="AC1462" i="2"/>
  <c r="AB1462" i="2"/>
  <c r="AC1461" i="2"/>
  <c r="AB1461" i="2"/>
  <c r="AC1460" i="2"/>
  <c r="AB1460" i="2"/>
  <c r="AC1459" i="2"/>
  <c r="AB1459" i="2"/>
  <c r="AC1458" i="2"/>
  <c r="AB1458" i="2"/>
  <c r="AC1457" i="2"/>
  <c r="AB1457" i="2"/>
  <c r="AC1456" i="2"/>
  <c r="AB1456" i="2"/>
  <c r="AC1455" i="2"/>
  <c r="AB1455" i="2"/>
  <c r="AC1454" i="2"/>
  <c r="AB1454" i="2"/>
  <c r="AC1453" i="2"/>
  <c r="AB1453" i="2"/>
  <c r="AC1452" i="2"/>
  <c r="AB1452" i="2"/>
  <c r="AC1451" i="2"/>
  <c r="AB1451" i="2"/>
  <c r="AC1450" i="2"/>
  <c r="AB1450" i="2"/>
  <c r="AC1449" i="2"/>
  <c r="AB1449" i="2"/>
  <c r="AC1448" i="2"/>
  <c r="AB1448" i="2"/>
  <c r="AC1447" i="2"/>
  <c r="AB1447" i="2"/>
  <c r="AC1446" i="2"/>
  <c r="AB1446" i="2"/>
  <c r="AC1445" i="2"/>
  <c r="AB1445" i="2"/>
  <c r="AC1444" i="2"/>
  <c r="AB1444" i="2"/>
  <c r="AC1443" i="2"/>
  <c r="AB1443" i="2"/>
  <c r="AC1442" i="2"/>
  <c r="AB1442" i="2"/>
  <c r="AC1441" i="2"/>
  <c r="AB1441" i="2"/>
  <c r="AC1440" i="2"/>
  <c r="AB1440" i="2"/>
  <c r="AC1439" i="2"/>
  <c r="AB1439" i="2"/>
  <c r="AC1438" i="2"/>
  <c r="AB1438" i="2"/>
  <c r="AC1437" i="2"/>
  <c r="AB1437" i="2"/>
  <c r="AC1436" i="2"/>
  <c r="AB1436" i="2"/>
  <c r="AC1435" i="2"/>
  <c r="AB1435" i="2"/>
  <c r="AC1434" i="2"/>
  <c r="AB1434" i="2"/>
  <c r="AC1433" i="2"/>
  <c r="AB1433" i="2"/>
  <c r="AC1432" i="2"/>
  <c r="AB1432" i="2"/>
  <c r="AC1431" i="2"/>
  <c r="AB1431" i="2"/>
  <c r="AC1430" i="2"/>
  <c r="AB1430" i="2"/>
  <c r="AC1429" i="2"/>
  <c r="AB1429" i="2"/>
  <c r="AC1428" i="2"/>
  <c r="AB1428" i="2"/>
  <c r="AC1427" i="2"/>
  <c r="AB1427" i="2"/>
  <c r="AC1426" i="2"/>
  <c r="AB1426" i="2"/>
  <c r="AC1425" i="2"/>
  <c r="AB1425" i="2"/>
  <c r="AC1424" i="2"/>
  <c r="AB1424" i="2"/>
  <c r="AC1423" i="2"/>
  <c r="AB1423" i="2"/>
  <c r="AC1422" i="2"/>
  <c r="AB1422" i="2"/>
  <c r="AC1421" i="2"/>
  <c r="AB1421" i="2"/>
  <c r="AC1420" i="2"/>
  <c r="AB1420" i="2"/>
  <c r="AC1419" i="2"/>
  <c r="AB1419" i="2"/>
  <c r="AC1418" i="2"/>
  <c r="AB1418" i="2"/>
  <c r="AC1417" i="2"/>
  <c r="AB1417" i="2"/>
  <c r="AC1416" i="2"/>
  <c r="AB1416" i="2"/>
  <c r="AC1415" i="2"/>
  <c r="AB1415" i="2"/>
  <c r="AC1414" i="2"/>
  <c r="AB1414" i="2"/>
  <c r="AC1413" i="2"/>
  <c r="AB1413" i="2"/>
  <c r="AC1412" i="2"/>
  <c r="AB1412" i="2"/>
  <c r="AC1411" i="2"/>
  <c r="AB1411" i="2"/>
  <c r="AC1410" i="2"/>
  <c r="AB1410" i="2"/>
  <c r="AC1409" i="2"/>
  <c r="AB1409" i="2"/>
  <c r="AC1408" i="2"/>
  <c r="AB1408" i="2"/>
  <c r="AC1407" i="2"/>
  <c r="AB1407" i="2"/>
  <c r="AC1406" i="2"/>
  <c r="AB1406" i="2"/>
  <c r="AC1405" i="2"/>
  <c r="AB1405" i="2"/>
  <c r="AC1404" i="2"/>
  <c r="AB1404" i="2"/>
  <c r="AC1403" i="2"/>
  <c r="AB1403" i="2"/>
  <c r="AC1402" i="2"/>
  <c r="AB1402" i="2"/>
  <c r="AC1401" i="2"/>
  <c r="AB1401" i="2"/>
  <c r="AC1400" i="2"/>
  <c r="AB1400" i="2"/>
  <c r="AC1399" i="2"/>
  <c r="AB1399" i="2"/>
  <c r="AC1398" i="2"/>
  <c r="AB1398" i="2"/>
  <c r="AC1397" i="2"/>
  <c r="AB1397" i="2"/>
  <c r="AC1396" i="2"/>
  <c r="AB1396" i="2"/>
  <c r="AC1395" i="2"/>
  <c r="AB1395" i="2"/>
  <c r="AC1394" i="2"/>
  <c r="AB1394" i="2"/>
  <c r="AC1393" i="2"/>
  <c r="AB1393" i="2"/>
  <c r="AC1392" i="2"/>
  <c r="AB1392" i="2"/>
  <c r="AC1391" i="2"/>
  <c r="AB1391" i="2"/>
  <c r="AC1390" i="2"/>
  <c r="AB1390" i="2"/>
  <c r="AC1389" i="2"/>
  <c r="AB1389" i="2"/>
  <c r="AC1388" i="2"/>
  <c r="AB1388" i="2"/>
  <c r="AC1387" i="2"/>
  <c r="AB1387" i="2"/>
  <c r="AC1386" i="2"/>
  <c r="AB1386" i="2"/>
  <c r="AC1385" i="2"/>
  <c r="AB1385" i="2"/>
  <c r="AC1384" i="2"/>
  <c r="AB1384" i="2"/>
  <c r="AC1383" i="2"/>
  <c r="AB1383" i="2"/>
  <c r="AC1382" i="2"/>
  <c r="AB1382" i="2"/>
  <c r="AC1381" i="2"/>
  <c r="AB1381" i="2"/>
  <c r="AC1380" i="2"/>
  <c r="AB1380" i="2"/>
  <c r="AC1379" i="2"/>
  <c r="AB1379" i="2"/>
  <c r="AC1378" i="2"/>
  <c r="AB1378" i="2"/>
  <c r="AC1377" i="2"/>
  <c r="AB1377" i="2"/>
  <c r="AC1376" i="2"/>
  <c r="AB1376" i="2"/>
  <c r="AC1375" i="2"/>
  <c r="AB1375" i="2"/>
  <c r="AC1374" i="2"/>
  <c r="AB1374" i="2"/>
  <c r="AC1373" i="2"/>
  <c r="AB1373" i="2"/>
  <c r="AC1372" i="2"/>
  <c r="AB1372" i="2"/>
  <c r="AC1371" i="2"/>
  <c r="AB1371" i="2"/>
  <c r="AC1370" i="2"/>
  <c r="AB1370" i="2"/>
  <c r="AC1369" i="2"/>
  <c r="AB1369" i="2"/>
  <c r="AC1368" i="2"/>
  <c r="AB1368" i="2"/>
  <c r="AC1367" i="2"/>
  <c r="AB1367" i="2"/>
  <c r="AC1366" i="2"/>
  <c r="AB1366" i="2"/>
  <c r="AC1365" i="2"/>
  <c r="AB1365" i="2"/>
  <c r="AC1364" i="2"/>
  <c r="AB1364" i="2"/>
  <c r="AC1363" i="2"/>
  <c r="AB1363" i="2"/>
  <c r="AC1362" i="2"/>
  <c r="AB1362" i="2"/>
  <c r="AC1361" i="2"/>
  <c r="AB1361" i="2"/>
  <c r="AC1360" i="2"/>
  <c r="AB1360" i="2"/>
  <c r="AC1359" i="2"/>
  <c r="AB1359" i="2"/>
  <c r="AC1358" i="2"/>
  <c r="AB1358" i="2"/>
  <c r="AC1357" i="2"/>
  <c r="AB1357" i="2"/>
  <c r="AC1356" i="2"/>
  <c r="AB1356" i="2"/>
  <c r="AC1355" i="2"/>
  <c r="AB1355" i="2"/>
  <c r="AC1354" i="2"/>
  <c r="AB1354" i="2"/>
  <c r="AC1353" i="2"/>
  <c r="AB1353" i="2"/>
  <c r="AC1352" i="2"/>
  <c r="AB1352" i="2"/>
  <c r="AC1351" i="2"/>
  <c r="AB1351" i="2"/>
  <c r="AC1350" i="2"/>
  <c r="AB1350" i="2"/>
  <c r="AC1349" i="2"/>
  <c r="AB1349" i="2"/>
  <c r="AC1348" i="2"/>
  <c r="AB1348" i="2"/>
  <c r="AC1347" i="2"/>
  <c r="AB1347" i="2"/>
  <c r="AC1346" i="2"/>
  <c r="AB1346" i="2"/>
  <c r="AC1345" i="2"/>
  <c r="AB1345" i="2"/>
  <c r="AC1344" i="2"/>
  <c r="AB1344" i="2"/>
  <c r="AC1343" i="2"/>
  <c r="AB1343" i="2"/>
  <c r="AC1342" i="2"/>
  <c r="AB1342" i="2"/>
  <c r="AC1341" i="2"/>
  <c r="AB1341" i="2"/>
  <c r="AC1340" i="2"/>
  <c r="AB1340" i="2"/>
  <c r="AC1339" i="2"/>
  <c r="AB1339" i="2"/>
  <c r="AC1338" i="2"/>
  <c r="AB1338" i="2"/>
  <c r="AC1337" i="2"/>
  <c r="AB1337" i="2"/>
  <c r="AC1336" i="2"/>
  <c r="AB1336" i="2"/>
  <c r="AC1335" i="2"/>
  <c r="AB1335" i="2"/>
  <c r="AC1334" i="2"/>
  <c r="AB1334" i="2"/>
  <c r="AC1333" i="2"/>
  <c r="AB1333" i="2"/>
  <c r="AC1332" i="2"/>
  <c r="AB1332" i="2"/>
  <c r="AC1331" i="2"/>
  <c r="AB1331" i="2"/>
  <c r="AC1330" i="2"/>
  <c r="AB1330" i="2"/>
  <c r="AC1329" i="2"/>
  <c r="AB1329" i="2"/>
  <c r="AC1328" i="2"/>
  <c r="AB1328" i="2"/>
  <c r="AC1327" i="2"/>
  <c r="AB1327" i="2"/>
  <c r="AC1326" i="2"/>
  <c r="AB1326" i="2"/>
  <c r="AC1325" i="2"/>
  <c r="AB1325" i="2"/>
  <c r="AC1324" i="2"/>
  <c r="AB1324" i="2"/>
  <c r="AC1323" i="2"/>
  <c r="AB1323" i="2"/>
  <c r="AC1322" i="2"/>
  <c r="AB1322" i="2"/>
  <c r="AC1321" i="2"/>
  <c r="AB1321" i="2"/>
  <c r="AC1320" i="2"/>
  <c r="AB1320" i="2"/>
  <c r="AC1319" i="2"/>
  <c r="AB1319" i="2"/>
  <c r="AC1318" i="2"/>
  <c r="AB1318" i="2"/>
  <c r="AC1317" i="2"/>
  <c r="AB1317" i="2"/>
  <c r="AC1316" i="2"/>
  <c r="AB1316" i="2"/>
  <c r="AC1315" i="2"/>
  <c r="AB1315" i="2"/>
  <c r="AC1314" i="2"/>
  <c r="AB1314" i="2"/>
  <c r="AC1313" i="2"/>
  <c r="AB1313" i="2"/>
  <c r="AB1311" i="2"/>
  <c r="AC1311" i="2"/>
  <c r="AB1310" i="2"/>
  <c r="AC1310" i="2"/>
  <c r="AB1309" i="2"/>
  <c r="AC1309" i="2"/>
  <c r="AB1308" i="2"/>
  <c r="AC1308" i="2"/>
  <c r="AC1307" i="2"/>
  <c r="AB1307" i="2"/>
  <c r="AB1306" i="2"/>
  <c r="AC1306" i="2"/>
  <c r="AC1305" i="2"/>
  <c r="AB1305" i="2"/>
  <c r="AC1304" i="2"/>
  <c r="AB1304" i="2"/>
  <c r="AC1303" i="2"/>
  <c r="AB1303" i="2"/>
  <c r="AC1302" i="2"/>
  <c r="AB1302" i="2"/>
  <c r="AC1301" i="2"/>
  <c r="AB1301" i="2"/>
  <c r="AB1300" i="2"/>
  <c r="AC1300" i="2"/>
  <c r="AC1299" i="2"/>
  <c r="AB1299" i="2"/>
  <c r="AC1298" i="2"/>
  <c r="AB1298" i="2"/>
  <c r="AC1297" i="2"/>
  <c r="AB1297" i="2"/>
  <c r="AC1296" i="2"/>
  <c r="AB1296" i="2"/>
  <c r="AB1295" i="2"/>
  <c r="AC1295" i="2"/>
  <c r="AB1294" i="2"/>
  <c r="AC1294" i="2"/>
  <c r="AB1293" i="2"/>
  <c r="AC1293" i="2"/>
  <c r="AC1292" i="2"/>
  <c r="AB1292" i="2"/>
  <c r="AB1291" i="2"/>
  <c r="AC1291" i="2"/>
  <c r="AB1290" i="2"/>
  <c r="AC1290" i="2"/>
  <c r="AB1289" i="2"/>
  <c r="AC1289" i="2"/>
  <c r="AC1288" i="2"/>
  <c r="AB1288" i="2"/>
  <c r="AC1287" i="2"/>
  <c r="AB1287" i="2"/>
  <c r="AC1286" i="2"/>
  <c r="AB1286" i="2"/>
  <c r="AC1285" i="2"/>
  <c r="AB1285" i="2"/>
  <c r="AC1284" i="2"/>
  <c r="AB1284" i="2"/>
  <c r="AC1283" i="2"/>
  <c r="AB1283" i="2"/>
  <c r="AC1282" i="2"/>
  <c r="AB1282" i="2"/>
  <c r="AC1281" i="2"/>
  <c r="AB1281" i="2"/>
  <c r="AC1280" i="2"/>
  <c r="AB1280" i="2"/>
  <c r="AC1279" i="2"/>
  <c r="AB1279" i="2"/>
  <c r="AC1278" i="2"/>
  <c r="AB1278" i="2"/>
  <c r="AC1277" i="2"/>
  <c r="AB1277" i="2"/>
  <c r="AC1276" i="2"/>
  <c r="AB1276" i="2"/>
  <c r="AC1275" i="2"/>
  <c r="AB1275" i="2"/>
  <c r="AC1274" i="2"/>
  <c r="AB1274" i="2"/>
  <c r="AC1273" i="2"/>
  <c r="AB1273" i="2"/>
  <c r="AB1272" i="2"/>
  <c r="AC1272" i="2"/>
  <c r="AB1271" i="2"/>
  <c r="AC1271" i="2"/>
  <c r="AC1270" i="2"/>
  <c r="AB1270" i="2"/>
  <c r="AB1269" i="2"/>
  <c r="AC1269" i="2"/>
  <c r="AB1268" i="2"/>
  <c r="AC1268" i="2"/>
  <c r="AB1267" i="2"/>
  <c r="AC1267" i="2"/>
  <c r="AB1266" i="2"/>
  <c r="AC1266" i="2"/>
  <c r="AC1265" i="2"/>
  <c r="AB1265" i="2"/>
  <c r="AC1264" i="2"/>
  <c r="AB1264" i="2"/>
  <c r="AC1263" i="2"/>
  <c r="AB1263" i="2"/>
  <c r="AC1262" i="2"/>
  <c r="AB1262" i="2"/>
  <c r="AC1261" i="2"/>
  <c r="AB1261" i="2"/>
  <c r="AC1260" i="2"/>
  <c r="AB1260" i="2"/>
  <c r="AC1259" i="2"/>
  <c r="AB1259" i="2"/>
  <c r="AC1258" i="2"/>
  <c r="AB1258" i="2"/>
  <c r="AC1257" i="2"/>
  <c r="AB1257" i="2"/>
  <c r="AC1256" i="2"/>
  <c r="AB1256" i="2"/>
  <c r="AC1255" i="2"/>
  <c r="AB1255" i="2"/>
  <c r="AC1254" i="2"/>
  <c r="AB1254" i="2"/>
  <c r="AB1253" i="2"/>
  <c r="AC1253" i="2"/>
  <c r="AC1252" i="2"/>
  <c r="AB1252" i="2"/>
  <c r="AC1251" i="2"/>
  <c r="AB1251" i="2"/>
  <c r="AC1250" i="2"/>
  <c r="AB1250" i="2"/>
  <c r="AC1249" i="2"/>
  <c r="AB1249" i="2"/>
  <c r="AC1248" i="2"/>
  <c r="AB1248" i="2"/>
  <c r="AC1247" i="2"/>
  <c r="AB1247" i="2"/>
  <c r="AB1246" i="2"/>
  <c r="AC1246" i="2"/>
  <c r="AB1245" i="2"/>
  <c r="AC1245" i="2"/>
  <c r="AB1244" i="2"/>
  <c r="AC1244" i="2"/>
  <c r="AB1243" i="2"/>
  <c r="AC1243" i="2"/>
  <c r="AB1242" i="2"/>
  <c r="AC1242" i="2"/>
  <c r="AB1241" i="2"/>
  <c r="AC1241" i="2"/>
  <c r="AC1240" i="2"/>
  <c r="AB1240" i="2"/>
  <c r="AB1239" i="2"/>
  <c r="AC1239" i="2"/>
  <c r="AC1238" i="2"/>
  <c r="AB1238" i="2"/>
  <c r="AC1237" i="2"/>
  <c r="AB1237" i="2"/>
  <c r="AC1236" i="2"/>
  <c r="AB1236" i="2"/>
  <c r="AC1235" i="2"/>
  <c r="AB1235" i="2"/>
  <c r="AC1234" i="2"/>
  <c r="AB1234" i="2"/>
  <c r="AB1233" i="2"/>
  <c r="AC1233" i="2"/>
  <c r="AC1232" i="2"/>
  <c r="AB1232" i="2"/>
  <c r="AC1231" i="2"/>
  <c r="AB1231" i="2"/>
  <c r="AC1230" i="2"/>
  <c r="AB1230" i="2"/>
  <c r="AC1229" i="2"/>
  <c r="AB1229" i="2"/>
  <c r="AC1228" i="2"/>
  <c r="AB1228" i="2"/>
  <c r="AC1227" i="2"/>
  <c r="AB1227" i="2"/>
  <c r="AB1226" i="2"/>
  <c r="AC1226" i="2"/>
  <c r="AC1225" i="2"/>
  <c r="AB1225" i="2"/>
  <c r="AC1224" i="2"/>
  <c r="AB1224" i="2"/>
  <c r="AC1223" i="2"/>
  <c r="AB1223" i="2"/>
  <c r="AC1222" i="2"/>
  <c r="AB1222" i="2"/>
  <c r="AC1221" i="2"/>
  <c r="AB1221" i="2"/>
  <c r="AC1220" i="2"/>
  <c r="AB1220" i="2"/>
  <c r="AB1219" i="2"/>
  <c r="AC1219" i="2"/>
  <c r="AB1218" i="2"/>
  <c r="AC1218" i="2"/>
  <c r="AB1217" i="2"/>
  <c r="AC1217" i="2"/>
  <c r="AB1216" i="2"/>
  <c r="AC1216" i="2"/>
  <c r="AB1215" i="2"/>
  <c r="AC1215" i="2"/>
  <c r="AB1214" i="2"/>
  <c r="AC1214" i="2"/>
  <c r="AB1213" i="2"/>
  <c r="AC1213" i="2"/>
  <c r="AB1212" i="2"/>
  <c r="AC1212" i="2"/>
  <c r="AC1211" i="2"/>
  <c r="AB1211" i="2"/>
  <c r="AC1210" i="2"/>
  <c r="AB1210" i="2"/>
  <c r="AB1209" i="2"/>
  <c r="AC1209" i="2"/>
  <c r="AC1208" i="2"/>
  <c r="AB1208" i="2"/>
  <c r="AC1207" i="2"/>
  <c r="AB1207" i="2"/>
  <c r="AC1206" i="2"/>
  <c r="AB1206" i="2"/>
  <c r="AB1205" i="2"/>
  <c r="AC1205" i="2"/>
  <c r="AB1204" i="2"/>
  <c r="AC1204" i="2"/>
  <c r="AB1203" i="2"/>
  <c r="AC1203" i="2"/>
  <c r="AB1202" i="2"/>
  <c r="AC1202" i="2"/>
  <c r="AC1201" i="2"/>
  <c r="AB1201" i="2"/>
  <c r="AB1200" i="2"/>
  <c r="AC1200" i="2"/>
  <c r="AC1199" i="2"/>
  <c r="AB1199" i="2"/>
  <c r="AB1198" i="2"/>
  <c r="AC1198" i="2"/>
  <c r="AC1197" i="2"/>
  <c r="AB1197" i="2"/>
  <c r="AC1196" i="2"/>
  <c r="AB1196" i="2"/>
  <c r="AC1195" i="2"/>
  <c r="AB1195" i="2"/>
  <c r="AC1194" i="2"/>
  <c r="AB1194" i="2"/>
  <c r="AC1193" i="2"/>
  <c r="AB1193" i="2"/>
  <c r="AC1192" i="2"/>
  <c r="AB1192" i="2"/>
  <c r="AC1191" i="2"/>
  <c r="AB1191" i="2"/>
  <c r="AB1190" i="2"/>
  <c r="AC1190" i="2"/>
  <c r="AC1189" i="2"/>
  <c r="AB1189" i="2"/>
  <c r="AC1188" i="2"/>
  <c r="AB1188" i="2"/>
  <c r="AC1187" i="2"/>
  <c r="AB1187" i="2"/>
  <c r="AC1186" i="2"/>
  <c r="AB1186" i="2"/>
  <c r="AB1185" i="2"/>
  <c r="AC1185" i="2"/>
  <c r="AC1184" i="2"/>
  <c r="AB1184" i="2"/>
  <c r="AC1183" i="2"/>
  <c r="AB1183" i="2"/>
  <c r="AC1182" i="2"/>
  <c r="AB1182" i="2"/>
  <c r="AC1181" i="2"/>
  <c r="AB1181" i="2"/>
  <c r="AC1180" i="2"/>
  <c r="AB1180" i="2"/>
  <c r="AC1179" i="2"/>
  <c r="AB1179" i="2"/>
  <c r="AB1178" i="2"/>
  <c r="AC1178" i="2"/>
  <c r="AB1177" i="2"/>
  <c r="AC1177" i="2"/>
  <c r="AC1176" i="2"/>
  <c r="AB1176" i="2"/>
  <c r="AB1175" i="2"/>
  <c r="AC1175" i="2"/>
  <c r="AB1174" i="2"/>
  <c r="AC1174" i="2"/>
  <c r="AB1173" i="2"/>
  <c r="AC1173" i="2"/>
  <c r="AC1172" i="2"/>
  <c r="AB1172" i="2"/>
  <c r="AB1171" i="2"/>
  <c r="AC1171" i="2"/>
  <c r="AB1170" i="2"/>
  <c r="AC1170" i="2"/>
  <c r="AC1169" i="2"/>
  <c r="AB1169" i="2"/>
  <c r="AC1168" i="2"/>
  <c r="AB1168" i="2"/>
  <c r="AC1167" i="2"/>
  <c r="AB1167" i="2"/>
  <c r="AC1166" i="2"/>
  <c r="AB1166" i="2"/>
  <c r="AC1165" i="2"/>
  <c r="AB1165" i="2"/>
  <c r="AC1164" i="2"/>
  <c r="AB1164" i="2"/>
  <c r="AC1163" i="2"/>
  <c r="AB1163" i="2"/>
  <c r="AC1162" i="2"/>
  <c r="AB1162" i="2"/>
  <c r="AC1161" i="2"/>
  <c r="AB1161" i="2"/>
  <c r="AC1160" i="2"/>
  <c r="AB1160" i="2"/>
  <c r="AC1159" i="2"/>
  <c r="AB1159" i="2"/>
  <c r="AC1158" i="2"/>
  <c r="AB1158" i="2"/>
  <c r="AC1157" i="2"/>
  <c r="AB1157" i="2"/>
  <c r="AB1156" i="2"/>
  <c r="AC1156" i="2"/>
  <c r="AC1155" i="2"/>
  <c r="AB1155" i="2"/>
  <c r="AC1154" i="2"/>
  <c r="AB1154" i="2"/>
  <c r="AC1153" i="2"/>
  <c r="AB1153" i="2"/>
  <c r="AC1152" i="2"/>
  <c r="AB1152" i="2"/>
  <c r="AC1151" i="2"/>
  <c r="AB1151" i="2"/>
  <c r="AC1150" i="2"/>
  <c r="AB1150" i="2"/>
  <c r="AC1149" i="2"/>
  <c r="AB1149" i="2"/>
  <c r="AB1148" i="2"/>
  <c r="AC1148" i="2"/>
  <c r="AB1147" i="2"/>
  <c r="AC1147" i="2"/>
  <c r="AB1146" i="2"/>
  <c r="AC1146" i="2"/>
  <c r="AB1145" i="2"/>
  <c r="AC1145" i="2"/>
  <c r="AB1144" i="2"/>
  <c r="AC1144" i="2"/>
  <c r="AB1143" i="2"/>
  <c r="AC1143" i="2"/>
  <c r="AB1142" i="2"/>
  <c r="AC1142" i="2"/>
  <c r="AB1141" i="2"/>
  <c r="AC1141" i="2"/>
  <c r="AB1140" i="2"/>
  <c r="AC1140" i="2"/>
  <c r="AC1139" i="2"/>
  <c r="AB1139" i="2"/>
  <c r="AC1138" i="2"/>
  <c r="AB1138" i="2"/>
  <c r="AC1137" i="2"/>
  <c r="AB1137" i="2"/>
  <c r="AC1136" i="2"/>
  <c r="AB1136" i="2"/>
  <c r="AB1135" i="2"/>
  <c r="AC1135" i="2"/>
  <c r="AC1134" i="2"/>
  <c r="AB1134" i="2"/>
  <c r="AC1133" i="2"/>
  <c r="AB1133" i="2"/>
  <c r="AC1132" i="2"/>
  <c r="AB1132" i="2"/>
  <c r="AC1131" i="2"/>
  <c r="AB1131" i="2"/>
  <c r="AC1130" i="2"/>
  <c r="AB1130" i="2"/>
  <c r="AC1129" i="2"/>
  <c r="AB1129" i="2"/>
  <c r="AC1128" i="2"/>
  <c r="AB1128" i="2"/>
  <c r="AB1127" i="2"/>
  <c r="AC1127" i="2"/>
  <c r="AC1126" i="2"/>
  <c r="AB1126" i="2"/>
  <c r="AC1125" i="2"/>
  <c r="AB1125" i="2"/>
  <c r="AC1124" i="2"/>
  <c r="AB1124" i="2"/>
  <c r="AC1122" i="2"/>
  <c r="AB1122" i="2"/>
  <c r="AB1121" i="2"/>
  <c r="AC1121" i="2"/>
  <c r="AC1120" i="2"/>
  <c r="AB1120" i="2"/>
  <c r="AC1119" i="2"/>
  <c r="AB1119" i="2"/>
  <c r="AC1118" i="2"/>
  <c r="AB1118" i="2"/>
  <c r="AC1117" i="2"/>
  <c r="AB1117" i="2"/>
  <c r="AB1116" i="2"/>
  <c r="AC1116" i="2"/>
  <c r="AC1115" i="2"/>
  <c r="AB1115" i="2"/>
  <c r="AC1114" i="2"/>
  <c r="AB1114" i="2"/>
  <c r="AC1113" i="2"/>
  <c r="AB1113" i="2"/>
  <c r="AC1112" i="2"/>
  <c r="AB1112" i="2"/>
  <c r="AC1111" i="2"/>
  <c r="AB1111" i="2"/>
  <c r="AB1110" i="2"/>
  <c r="AC1110" i="2"/>
  <c r="AC1109" i="2"/>
  <c r="AB1109" i="2"/>
  <c r="AB1108" i="2"/>
  <c r="AC1108" i="2"/>
  <c r="AC1107" i="2"/>
  <c r="AB1107" i="2"/>
  <c r="AB1106" i="2"/>
  <c r="AC1106" i="2"/>
  <c r="AC1105" i="2"/>
  <c r="AB1105" i="2"/>
  <c r="AC1104" i="2"/>
  <c r="AB1104" i="2"/>
  <c r="AC1103" i="2"/>
  <c r="AB1103" i="2"/>
  <c r="AC1102" i="2"/>
  <c r="AB1102" i="2"/>
  <c r="AC1101" i="2"/>
  <c r="AB1101" i="2"/>
  <c r="AC1100" i="2"/>
  <c r="AB1100" i="2"/>
  <c r="AC1099" i="2"/>
  <c r="AB1099" i="2"/>
  <c r="AC1098" i="2"/>
  <c r="AB1098" i="2"/>
  <c r="AC1097" i="2"/>
  <c r="AB1097" i="2"/>
  <c r="AB1096" i="2"/>
  <c r="AC1096" i="2"/>
  <c r="AB1095" i="2"/>
  <c r="AC1095" i="2"/>
  <c r="AC1094" i="2"/>
  <c r="AB1094" i="2"/>
  <c r="AC1093" i="2"/>
  <c r="AB1093" i="2"/>
  <c r="AC1092" i="2"/>
  <c r="AB1092" i="2"/>
  <c r="AC1091" i="2"/>
  <c r="AB1091" i="2"/>
  <c r="AC1090" i="2"/>
  <c r="AB1090" i="2"/>
  <c r="AC1089" i="2"/>
  <c r="AB1089" i="2"/>
  <c r="AB1088" i="2"/>
  <c r="AC1088" i="2"/>
  <c r="AB1087" i="2"/>
  <c r="AC1087" i="2"/>
  <c r="AC1086" i="2"/>
  <c r="AB1086" i="2"/>
  <c r="AB1085" i="2"/>
  <c r="AC1085" i="2"/>
  <c r="AB1084" i="2"/>
  <c r="AC1084" i="2"/>
  <c r="AB1083" i="2"/>
  <c r="AC1083" i="2"/>
  <c r="AB1082" i="2"/>
  <c r="AC1082" i="2"/>
  <c r="AB1081" i="2"/>
  <c r="AC1081" i="2"/>
  <c r="AB1080" i="2"/>
  <c r="AC1080" i="2"/>
  <c r="AB1079" i="2"/>
  <c r="AC1079" i="2"/>
  <c r="AC1078" i="2"/>
  <c r="AB1078" i="2"/>
  <c r="AC1077" i="2"/>
  <c r="AB1077" i="2"/>
  <c r="AC1076" i="2"/>
  <c r="AB1076" i="2"/>
  <c r="AC1075" i="2"/>
  <c r="AB1075" i="2"/>
  <c r="AC1074" i="2"/>
  <c r="AB1074" i="2"/>
  <c r="AC1073" i="2"/>
  <c r="AB1073" i="2"/>
  <c r="AC1072" i="2"/>
  <c r="AB1072" i="2"/>
  <c r="AB1071" i="2"/>
  <c r="AC1071" i="2"/>
  <c r="AB1070" i="2"/>
  <c r="AC1070" i="2"/>
  <c r="AB1069" i="2"/>
  <c r="AC1069" i="2"/>
  <c r="AB1068" i="2"/>
  <c r="AC1068" i="2"/>
  <c r="AB1067" i="2"/>
  <c r="AC1067" i="2"/>
  <c r="AB1066" i="2"/>
  <c r="AC1066" i="2"/>
  <c r="AB1065" i="2"/>
  <c r="AC1065" i="2"/>
  <c r="AB1064" i="2"/>
  <c r="AC1064" i="2"/>
  <c r="AB1063" i="2"/>
  <c r="AC1063" i="2"/>
  <c r="AB1062" i="2"/>
  <c r="AC1062" i="2"/>
  <c r="AB1061" i="2"/>
  <c r="AC1061" i="2"/>
  <c r="AB1060" i="2"/>
  <c r="AC1060" i="2"/>
  <c r="AC1059" i="2"/>
  <c r="AB1059" i="2"/>
  <c r="AB1058" i="2"/>
  <c r="AC1058" i="2"/>
  <c r="AB1057" i="2"/>
  <c r="AC1057" i="2"/>
  <c r="AB1056" i="2"/>
  <c r="AC1056" i="2"/>
  <c r="AB1055" i="2"/>
  <c r="AC1055" i="2"/>
  <c r="AC1054" i="2"/>
  <c r="AB1054" i="2"/>
  <c r="AC1053" i="2"/>
  <c r="AB1053" i="2"/>
  <c r="AC1052" i="2"/>
  <c r="AB1052" i="2"/>
  <c r="AB1051" i="2"/>
  <c r="AC1051" i="2"/>
  <c r="AB1050" i="2"/>
  <c r="AC1050" i="2"/>
  <c r="AB1049" i="2"/>
  <c r="AC1049" i="2"/>
  <c r="AB1048" i="2"/>
  <c r="AC1048" i="2"/>
  <c r="AB1047" i="2"/>
  <c r="AC1047" i="2"/>
  <c r="AB1046" i="2"/>
  <c r="AC1046" i="2"/>
  <c r="AB1045" i="2"/>
  <c r="AC1045" i="2"/>
  <c r="AC1044" i="2"/>
  <c r="AB1044" i="2"/>
  <c r="AB1043" i="2"/>
  <c r="AC1043" i="2"/>
  <c r="AC1042" i="2"/>
  <c r="AB1042" i="2"/>
  <c r="AB1041" i="2"/>
  <c r="AC1041" i="2"/>
  <c r="AC1040" i="2"/>
  <c r="AB1040" i="2"/>
  <c r="AC1039" i="2"/>
  <c r="AB1039" i="2"/>
  <c r="AC1038" i="2"/>
  <c r="AB1038" i="2"/>
  <c r="AB1037" i="2"/>
  <c r="AC1037" i="2"/>
  <c r="AC1036" i="2"/>
  <c r="AB1036" i="2"/>
  <c r="AC1035" i="2"/>
  <c r="AB1035" i="2"/>
  <c r="AC1034" i="2"/>
  <c r="AB1034" i="2"/>
  <c r="AC1033" i="2"/>
  <c r="AB1033" i="2"/>
  <c r="AB1032" i="2"/>
  <c r="AC1032" i="2"/>
  <c r="AB1031" i="2"/>
  <c r="AC1031" i="2"/>
  <c r="AB1030" i="2"/>
  <c r="AC1030" i="2"/>
  <c r="AB1029" i="2"/>
  <c r="AC1029" i="2"/>
  <c r="AC1028" i="2"/>
  <c r="AB1028" i="2"/>
  <c r="AB1027" i="2"/>
  <c r="AC1027" i="2"/>
  <c r="AB1026" i="2"/>
  <c r="AC1026" i="2"/>
  <c r="AB1025" i="2"/>
  <c r="AC1025" i="2"/>
  <c r="AB1024" i="2"/>
  <c r="AC1024" i="2"/>
  <c r="AB1023" i="2"/>
  <c r="AC1023" i="2"/>
  <c r="AB1022" i="2"/>
  <c r="AC1022" i="2"/>
  <c r="AB1021" i="2"/>
  <c r="AC1021" i="2"/>
  <c r="AC1020" i="2"/>
  <c r="AB1020" i="2"/>
  <c r="AB1019" i="2"/>
  <c r="AC1019" i="2"/>
  <c r="AB1018" i="2"/>
  <c r="AC1018" i="2"/>
  <c r="AB1017" i="2"/>
  <c r="AC1017" i="2"/>
  <c r="AB1016" i="2"/>
  <c r="AC1016" i="2"/>
  <c r="AB1015" i="2"/>
  <c r="AC1015" i="2"/>
  <c r="AB1014" i="2"/>
  <c r="AC1014" i="2"/>
  <c r="AB1013" i="2"/>
  <c r="AC1013" i="2"/>
  <c r="AB1012" i="2"/>
  <c r="AC1012" i="2"/>
  <c r="AC1011" i="2"/>
  <c r="AB1011" i="2"/>
  <c r="AC1010" i="2"/>
  <c r="AB1010" i="2"/>
  <c r="AC1009" i="2"/>
  <c r="AB1009" i="2"/>
  <c r="AC1008" i="2"/>
  <c r="AB1008" i="2"/>
  <c r="AC1007" i="2"/>
  <c r="AB1007" i="2"/>
  <c r="AC1006" i="2"/>
  <c r="AB1006" i="2"/>
  <c r="AC1005" i="2"/>
  <c r="AB1005" i="2"/>
  <c r="AC1004" i="2"/>
  <c r="AB1004" i="2"/>
  <c r="AC1003" i="2"/>
  <c r="AB1003" i="2"/>
  <c r="AB1002" i="2"/>
  <c r="AC1002" i="2"/>
  <c r="AC1001" i="2"/>
  <c r="AB1001" i="2"/>
  <c r="AB1000" i="2"/>
  <c r="AC1000" i="2"/>
  <c r="AC999" i="2"/>
  <c r="AB999" i="2"/>
  <c r="AC998" i="2"/>
  <c r="AB998" i="2"/>
  <c r="AC997" i="2"/>
  <c r="AB997" i="2"/>
  <c r="AB996" i="2"/>
  <c r="AC996" i="2"/>
  <c r="AC995" i="2"/>
  <c r="AB995" i="2"/>
  <c r="AC994" i="2"/>
  <c r="AB994" i="2"/>
  <c r="AC993" i="2"/>
  <c r="AB993" i="2"/>
  <c r="AC992" i="2"/>
  <c r="AB992" i="2"/>
  <c r="AC991" i="2"/>
  <c r="AB991" i="2"/>
  <c r="AC990" i="2"/>
  <c r="AB990" i="2"/>
  <c r="AC989" i="2"/>
  <c r="AB989" i="2"/>
  <c r="AC988" i="2"/>
  <c r="AB988" i="2"/>
  <c r="AC987" i="2"/>
  <c r="AB987" i="2"/>
  <c r="AC986" i="2"/>
  <c r="AB986" i="2"/>
  <c r="AC985" i="2"/>
  <c r="AB985" i="2"/>
  <c r="AC984" i="2"/>
  <c r="AB984" i="2"/>
  <c r="AC983" i="2"/>
  <c r="AB983" i="2"/>
  <c r="AC982" i="2"/>
  <c r="AB982" i="2"/>
  <c r="AC981" i="2"/>
  <c r="AB981" i="2"/>
  <c r="AC980" i="2"/>
  <c r="AB980" i="2"/>
  <c r="AC979" i="2"/>
  <c r="AB979" i="2"/>
  <c r="AB978" i="2"/>
  <c r="AC978" i="2"/>
  <c r="AB977" i="2"/>
  <c r="AC977" i="2"/>
  <c r="AC976" i="2"/>
  <c r="AB976" i="2"/>
  <c r="AB975" i="2"/>
  <c r="AC975" i="2"/>
  <c r="AB974" i="2"/>
  <c r="AC974" i="2"/>
  <c r="AB973" i="2"/>
  <c r="AC973" i="2"/>
  <c r="AB972" i="2"/>
  <c r="AC972" i="2"/>
  <c r="AC971" i="2"/>
  <c r="AB971" i="2"/>
  <c r="AC970" i="2"/>
  <c r="AB970" i="2"/>
  <c r="AC969" i="2"/>
  <c r="AB969" i="2"/>
  <c r="AC968" i="2"/>
  <c r="AB968" i="2"/>
  <c r="AC967" i="2"/>
  <c r="AB967" i="2"/>
  <c r="AB966" i="2"/>
  <c r="AC966" i="2"/>
  <c r="AB965" i="2"/>
  <c r="AC965" i="2"/>
  <c r="AC964" i="2"/>
  <c r="AB964" i="2"/>
  <c r="AB963" i="2"/>
  <c r="AC963" i="2"/>
  <c r="AB962" i="2"/>
  <c r="AC962" i="2"/>
  <c r="AB961" i="2"/>
  <c r="AC961" i="2"/>
  <c r="AB960" i="2"/>
  <c r="AC960" i="2"/>
  <c r="AB959" i="2"/>
  <c r="AC959" i="2"/>
  <c r="AC958" i="2"/>
  <c r="AB958" i="2"/>
  <c r="AC957" i="2"/>
  <c r="AB957" i="2"/>
  <c r="AC956" i="2"/>
  <c r="AB956" i="2"/>
  <c r="AB955" i="2"/>
  <c r="AC955" i="2"/>
  <c r="AB954" i="2"/>
  <c r="AC954" i="2"/>
  <c r="AB953" i="2"/>
  <c r="AC953" i="2"/>
  <c r="AB952" i="2"/>
  <c r="AC952" i="2"/>
  <c r="AC951" i="2"/>
  <c r="AB951" i="2"/>
  <c r="AC950" i="2"/>
  <c r="AB950" i="2"/>
  <c r="AB949" i="2"/>
  <c r="AC949" i="2"/>
  <c r="AC948" i="2"/>
  <c r="AB948" i="2"/>
  <c r="AC947" i="2"/>
  <c r="AB947" i="2"/>
  <c r="AB946" i="2"/>
  <c r="AC946" i="2"/>
  <c r="AB945" i="2"/>
  <c r="AC945" i="2"/>
  <c r="AB944" i="2"/>
  <c r="AC944" i="2"/>
  <c r="AB943" i="2"/>
  <c r="AC943" i="2"/>
  <c r="AB942" i="2"/>
  <c r="AC942" i="2"/>
  <c r="AB941" i="2"/>
  <c r="AC941" i="2"/>
  <c r="AC940" i="2"/>
  <c r="AB940" i="2"/>
  <c r="AB939" i="2"/>
  <c r="AC939" i="2"/>
  <c r="AB938" i="2"/>
  <c r="AC938" i="2"/>
  <c r="AB937" i="2"/>
  <c r="AC937" i="2"/>
  <c r="AB936" i="2"/>
  <c r="AC936" i="2"/>
  <c r="AC935" i="2"/>
  <c r="AB935" i="2"/>
  <c r="AB934" i="2"/>
  <c r="AC934" i="2"/>
  <c r="AB933" i="2"/>
  <c r="AC933" i="2"/>
  <c r="AC932" i="2"/>
  <c r="AB932" i="2"/>
  <c r="AC931" i="2"/>
  <c r="AB931" i="2"/>
  <c r="AB930" i="2"/>
  <c r="AC930" i="2"/>
  <c r="AC929" i="2"/>
  <c r="AB929" i="2"/>
  <c r="AB928" i="2"/>
  <c r="AC928" i="2"/>
  <c r="AB927" i="2"/>
  <c r="AC927" i="2"/>
  <c r="AB926" i="2"/>
  <c r="AC926" i="2"/>
  <c r="AC925" i="2"/>
  <c r="AB925" i="2"/>
  <c r="AB924" i="2"/>
  <c r="AC924" i="2"/>
  <c r="AB923" i="2"/>
  <c r="AC923" i="2"/>
  <c r="AC922" i="2"/>
  <c r="AB922" i="2"/>
  <c r="AB921" i="2"/>
  <c r="AC921" i="2"/>
  <c r="AC920" i="2"/>
  <c r="AB920" i="2"/>
  <c r="AC919" i="2"/>
  <c r="AB919" i="2"/>
  <c r="AB918" i="2"/>
  <c r="AC918" i="2"/>
  <c r="AC917" i="2"/>
  <c r="AB917" i="2"/>
  <c r="AC916" i="2"/>
  <c r="AB916" i="2"/>
  <c r="AB915" i="2"/>
  <c r="AC915" i="2"/>
  <c r="AC914" i="2"/>
  <c r="AB914" i="2"/>
  <c r="AC913" i="2"/>
  <c r="AB913" i="2"/>
  <c r="AB912" i="2"/>
  <c r="AC912" i="2"/>
  <c r="AB911" i="2"/>
  <c r="AC911" i="2"/>
  <c r="AB910" i="2"/>
  <c r="AC910" i="2"/>
  <c r="AB909" i="2"/>
  <c r="AC909" i="2"/>
  <c r="AC908" i="2"/>
  <c r="AB908" i="2"/>
  <c r="AC907" i="2"/>
  <c r="AB907" i="2"/>
  <c r="AC906" i="2"/>
  <c r="AB906" i="2"/>
  <c r="AB905" i="2"/>
  <c r="AC905" i="2"/>
  <c r="AC904" i="2"/>
  <c r="AB904" i="2"/>
  <c r="AB903" i="2"/>
  <c r="AC903" i="2"/>
  <c r="AC902" i="2"/>
  <c r="AB902" i="2"/>
  <c r="AC901" i="2"/>
  <c r="AB901" i="2"/>
  <c r="AC900" i="2"/>
  <c r="AB900" i="2"/>
  <c r="AC899" i="2"/>
  <c r="AB899" i="2"/>
  <c r="AC898" i="2"/>
  <c r="AB898" i="2"/>
  <c r="AB897" i="2"/>
  <c r="AC897" i="2"/>
  <c r="AB896" i="2"/>
  <c r="AC896" i="2"/>
  <c r="AB895" i="2"/>
  <c r="AC895" i="2"/>
  <c r="AC894" i="2"/>
  <c r="AB894" i="2"/>
  <c r="AC893" i="2"/>
  <c r="AB893" i="2"/>
  <c r="AB892" i="2"/>
  <c r="AC892" i="2"/>
  <c r="AB891" i="2"/>
  <c r="AC891" i="2"/>
  <c r="AB890" i="2"/>
  <c r="AC890" i="2"/>
  <c r="AB889" i="2"/>
  <c r="AC889" i="2"/>
  <c r="AB888" i="2"/>
  <c r="AC888" i="2"/>
  <c r="AB887" i="2"/>
  <c r="AC887" i="2"/>
  <c r="AB886" i="2"/>
  <c r="AC886" i="2"/>
  <c r="AC885" i="2"/>
  <c r="AB885" i="2"/>
  <c r="AC884" i="2"/>
  <c r="AB884" i="2"/>
  <c r="AC883" i="2"/>
  <c r="AB883" i="2"/>
  <c r="AC882" i="2"/>
  <c r="AB882" i="2"/>
  <c r="AC881" i="2"/>
  <c r="AB881" i="2"/>
  <c r="AC880" i="2"/>
  <c r="AB880" i="2"/>
  <c r="AC879" i="2"/>
  <c r="AB879" i="2"/>
  <c r="AC878" i="2"/>
  <c r="AB878" i="2"/>
  <c r="AC877" i="2"/>
  <c r="AB877" i="2"/>
  <c r="AC876" i="2"/>
  <c r="AB876" i="2"/>
  <c r="AC875" i="2"/>
  <c r="AB875" i="2"/>
  <c r="AC874" i="2"/>
  <c r="AB874" i="2"/>
  <c r="AC873" i="2"/>
  <c r="AB873" i="2"/>
  <c r="AC872" i="2"/>
  <c r="AB872" i="2"/>
  <c r="AC871" i="2"/>
  <c r="AB871" i="2"/>
  <c r="AC870" i="2"/>
  <c r="AB870" i="2"/>
  <c r="AC869" i="2"/>
  <c r="AB869" i="2"/>
  <c r="AC868" i="2"/>
  <c r="AB868" i="2"/>
  <c r="AC867" i="2"/>
  <c r="AB867" i="2"/>
  <c r="AB866" i="2"/>
  <c r="AC866" i="2"/>
  <c r="AB865" i="2"/>
  <c r="AC865" i="2"/>
  <c r="AB864" i="2"/>
  <c r="AC864" i="2"/>
  <c r="AB863" i="2"/>
  <c r="AC863" i="2"/>
  <c r="AC862" i="2"/>
  <c r="AB862" i="2"/>
  <c r="AC861" i="2"/>
  <c r="AB861" i="2"/>
  <c r="AC860" i="2"/>
  <c r="AB860" i="2"/>
  <c r="AC859" i="2"/>
  <c r="AB859" i="2"/>
  <c r="AC858" i="2"/>
  <c r="AB858" i="2"/>
  <c r="AC857" i="2"/>
  <c r="AB857" i="2"/>
  <c r="AC856" i="2"/>
  <c r="AB856" i="2"/>
  <c r="AC855" i="2"/>
  <c r="AB855" i="2"/>
  <c r="AC854" i="2"/>
  <c r="AB854" i="2"/>
  <c r="AC853" i="2"/>
  <c r="AB853" i="2"/>
  <c r="AC852" i="2"/>
  <c r="AB852" i="2"/>
  <c r="AC851" i="2"/>
  <c r="AB851" i="2"/>
  <c r="AC850" i="2"/>
  <c r="AB850" i="2"/>
  <c r="AC849" i="2"/>
  <c r="AB849" i="2"/>
  <c r="AC848" i="2"/>
  <c r="AB848" i="2"/>
  <c r="AC847" i="2"/>
  <c r="AB847" i="2"/>
  <c r="AC846" i="2"/>
  <c r="AB846" i="2"/>
  <c r="AC845" i="2"/>
  <c r="AB845" i="2"/>
  <c r="AC844" i="2"/>
  <c r="AB844" i="2"/>
  <c r="AC843" i="2"/>
  <c r="AB843" i="2"/>
  <c r="AB842" i="2"/>
  <c r="AC842" i="2"/>
  <c r="AC841" i="2"/>
  <c r="AB841" i="2"/>
  <c r="AB840" i="2"/>
  <c r="AC840" i="2"/>
  <c r="AC839" i="2"/>
  <c r="AB839" i="2"/>
  <c r="AC838" i="2"/>
  <c r="AB838" i="2"/>
  <c r="AB837" i="2"/>
  <c r="AC837" i="2"/>
  <c r="AC836" i="2"/>
  <c r="AB836" i="2"/>
  <c r="AC835" i="2"/>
  <c r="AB835" i="2"/>
  <c r="AC834" i="2"/>
  <c r="AB834" i="2"/>
  <c r="AC833" i="2"/>
  <c r="AB833" i="2"/>
  <c r="AC832" i="2"/>
  <c r="AB832" i="2"/>
  <c r="AC831" i="2"/>
  <c r="AB831" i="2"/>
  <c r="AC830" i="2"/>
  <c r="AB830" i="2"/>
  <c r="AC829" i="2"/>
  <c r="AB829" i="2"/>
  <c r="AB828" i="2"/>
  <c r="AC828" i="2"/>
  <c r="AB827" i="2"/>
  <c r="AC827" i="2"/>
  <c r="AB826" i="2"/>
  <c r="AC826" i="2"/>
  <c r="AB825" i="2"/>
  <c r="AC825" i="2"/>
  <c r="AB824" i="2"/>
  <c r="AC824" i="2"/>
  <c r="AB823" i="2"/>
  <c r="AC823" i="2"/>
  <c r="AC822" i="2"/>
  <c r="AB822" i="2"/>
  <c r="AC821" i="2"/>
  <c r="AB821" i="2"/>
  <c r="AC820" i="2"/>
  <c r="AB820" i="2"/>
  <c r="AB819" i="2"/>
  <c r="AC819" i="2"/>
  <c r="AC818" i="2"/>
  <c r="AB818" i="2"/>
  <c r="AC817" i="2"/>
  <c r="AB817" i="2"/>
  <c r="AB816" i="2"/>
  <c r="AC816" i="2"/>
  <c r="AC815" i="2"/>
  <c r="AB815" i="2"/>
  <c r="AC814" i="2"/>
  <c r="AB814" i="2"/>
  <c r="AC813" i="2"/>
  <c r="AB813" i="2"/>
  <c r="AB812" i="2"/>
  <c r="AC812" i="2"/>
  <c r="AB811" i="2"/>
  <c r="AC811" i="2"/>
  <c r="AC810" i="2"/>
  <c r="AB810" i="2"/>
  <c r="AC809" i="2"/>
  <c r="AB809" i="2"/>
  <c r="AB808" i="2"/>
  <c r="AC808" i="2"/>
  <c r="AB807" i="2"/>
  <c r="AC807" i="2"/>
  <c r="AB806" i="2"/>
  <c r="AC806" i="2"/>
  <c r="AC805" i="2"/>
  <c r="AB805" i="2"/>
  <c r="AC804" i="2"/>
  <c r="AB804" i="2"/>
  <c r="AB803" i="2"/>
  <c r="AC803" i="2"/>
  <c r="AB802" i="2"/>
  <c r="AC802" i="2"/>
  <c r="AB801" i="2"/>
  <c r="AC801" i="2"/>
  <c r="AB800" i="2"/>
  <c r="AC800" i="2"/>
  <c r="AC799" i="2"/>
  <c r="AB799" i="2"/>
  <c r="AB798" i="2"/>
  <c r="AC798" i="2"/>
  <c r="AB797" i="2"/>
  <c r="AC797" i="2"/>
  <c r="AC796" i="2"/>
  <c r="AB796" i="2"/>
  <c r="AB795" i="2"/>
  <c r="AC795" i="2"/>
  <c r="AB794" i="2"/>
  <c r="AC794" i="2"/>
  <c r="AC793" i="2"/>
  <c r="AB793" i="2"/>
  <c r="AB792" i="2"/>
  <c r="AC792" i="2"/>
  <c r="AC791" i="2"/>
  <c r="AB791" i="2"/>
  <c r="AC790" i="2"/>
  <c r="AB790" i="2"/>
  <c r="AB789" i="2"/>
  <c r="AC789" i="2"/>
  <c r="AC788" i="2"/>
  <c r="AB788" i="2"/>
  <c r="AB787" i="2"/>
  <c r="AC787" i="2"/>
  <c r="AC786" i="2"/>
  <c r="AB786" i="2"/>
  <c r="AB785" i="2"/>
  <c r="AC785" i="2"/>
  <c r="AB784" i="2"/>
  <c r="AC784" i="2"/>
  <c r="AB783" i="2"/>
  <c r="AC783" i="2"/>
  <c r="AC782" i="2"/>
  <c r="AB782" i="2"/>
  <c r="AB781" i="2"/>
  <c r="AC781" i="2"/>
  <c r="AC780" i="2"/>
  <c r="AB780" i="2"/>
  <c r="AC779" i="2"/>
  <c r="AB779" i="2"/>
  <c r="AC778" i="2"/>
  <c r="AB778" i="2"/>
  <c r="AC777" i="2"/>
  <c r="AB777" i="2"/>
  <c r="AB776" i="2"/>
  <c r="AC776" i="2"/>
  <c r="AC775" i="2"/>
  <c r="AB775" i="2"/>
  <c r="AC774" i="2"/>
  <c r="AB774" i="2"/>
  <c r="AC773" i="2"/>
  <c r="AB773" i="2"/>
  <c r="AB772" i="2"/>
  <c r="AC772" i="2"/>
  <c r="AB771" i="2"/>
  <c r="AC771" i="2"/>
  <c r="AC770" i="2"/>
  <c r="AB770" i="2"/>
  <c r="AB769" i="2"/>
  <c r="AC769" i="2"/>
  <c r="AC768" i="2"/>
  <c r="AB768" i="2"/>
  <c r="AC767" i="2"/>
  <c r="AB767" i="2"/>
  <c r="AC766" i="2"/>
  <c r="AB766" i="2"/>
  <c r="AB765" i="2"/>
  <c r="AC765" i="2"/>
  <c r="AC764" i="2"/>
  <c r="AB764" i="2"/>
  <c r="AC763" i="2"/>
  <c r="AB763" i="2"/>
  <c r="AC762" i="2"/>
  <c r="AB762" i="2"/>
  <c r="AC761" i="2"/>
  <c r="AB761" i="2"/>
  <c r="AC760" i="2"/>
  <c r="AB760" i="2"/>
  <c r="AC759" i="2"/>
  <c r="AB759" i="2"/>
  <c r="AC758" i="2"/>
  <c r="AB758" i="2"/>
  <c r="AC757" i="2"/>
  <c r="AB757" i="2"/>
  <c r="AC756" i="2"/>
  <c r="AB756" i="2"/>
  <c r="AC755" i="2"/>
  <c r="AB755" i="2"/>
  <c r="AB754" i="2"/>
  <c r="AC754" i="2"/>
  <c r="AC753" i="2"/>
  <c r="AB753" i="2"/>
  <c r="AB752" i="2"/>
  <c r="AC752" i="2"/>
  <c r="AC751" i="2"/>
  <c r="AB751" i="2"/>
  <c r="AC750" i="2"/>
  <c r="AB750" i="2"/>
  <c r="AC749" i="2"/>
  <c r="AB749" i="2"/>
  <c r="AC748" i="2"/>
  <c r="AB748" i="2"/>
  <c r="AC747" i="2"/>
  <c r="AB747" i="2"/>
  <c r="AC746" i="2"/>
  <c r="AB746" i="2"/>
  <c r="AC745" i="2"/>
  <c r="AB745" i="2"/>
  <c r="AC743" i="2"/>
  <c r="AB743" i="2"/>
  <c r="AC742" i="2"/>
  <c r="AB742" i="2"/>
  <c r="AC741" i="2"/>
  <c r="AB741" i="2"/>
  <c r="AB740" i="2"/>
  <c r="AC740" i="2"/>
  <c r="AC739" i="2"/>
  <c r="AB739" i="2"/>
  <c r="AC738" i="2"/>
  <c r="AB738" i="2"/>
  <c r="AC737" i="2"/>
  <c r="AB737" i="2"/>
  <c r="AC736" i="2"/>
  <c r="AB736" i="2"/>
  <c r="AC735" i="2"/>
  <c r="AB735" i="2"/>
  <c r="AC734" i="2"/>
  <c r="AB734" i="2"/>
  <c r="AC733" i="2"/>
  <c r="AB733" i="2"/>
  <c r="AC732" i="2"/>
  <c r="AB732" i="2"/>
  <c r="AC731" i="2"/>
  <c r="AB731" i="2"/>
  <c r="AC730" i="2"/>
  <c r="AB730" i="2"/>
  <c r="AC729" i="2"/>
  <c r="AB729" i="2"/>
  <c r="AC728" i="2"/>
  <c r="AB728" i="2"/>
  <c r="AC727" i="2"/>
  <c r="AB727" i="2"/>
  <c r="AC726" i="2"/>
  <c r="AB726" i="2"/>
  <c r="AC725" i="2"/>
  <c r="AB725" i="2"/>
  <c r="AC724" i="2"/>
  <c r="AB724" i="2"/>
  <c r="AC723" i="2"/>
  <c r="AB723" i="2"/>
  <c r="AC722" i="2"/>
  <c r="AB722" i="2"/>
  <c r="AC721" i="2"/>
  <c r="AB721" i="2"/>
  <c r="AC720" i="2"/>
  <c r="AB720" i="2"/>
  <c r="AB719" i="2"/>
  <c r="AC719" i="2"/>
  <c r="AC718" i="2"/>
  <c r="AB718" i="2"/>
  <c r="AC717" i="2"/>
  <c r="AB717" i="2"/>
  <c r="AC716" i="2"/>
  <c r="AB716" i="2"/>
  <c r="AC715" i="2"/>
  <c r="AB715" i="2"/>
  <c r="AC714" i="2"/>
  <c r="AB714" i="2"/>
  <c r="AC713" i="2"/>
  <c r="AB713" i="2"/>
  <c r="AC712" i="2"/>
  <c r="AB712" i="2"/>
  <c r="AC711" i="2"/>
  <c r="AB711" i="2"/>
  <c r="AC710" i="2"/>
  <c r="AB710" i="2"/>
  <c r="AC709" i="2"/>
  <c r="AB709" i="2"/>
  <c r="AC708" i="2"/>
  <c r="AB708" i="2"/>
  <c r="AC707" i="2"/>
  <c r="AB707" i="2"/>
  <c r="AC706" i="2"/>
  <c r="AB706" i="2"/>
  <c r="AC705" i="2"/>
  <c r="AB705" i="2"/>
  <c r="AC704" i="2"/>
  <c r="AB704" i="2"/>
  <c r="AC703" i="2"/>
  <c r="AB703" i="2"/>
  <c r="AC702" i="2"/>
  <c r="AB702" i="2"/>
  <c r="AC701" i="2"/>
  <c r="AB701" i="2"/>
  <c r="AC700" i="2"/>
  <c r="AB700" i="2"/>
  <c r="AC699" i="2"/>
  <c r="AB699" i="2"/>
  <c r="AC698" i="2"/>
  <c r="AB698" i="2"/>
  <c r="AB697" i="2"/>
  <c r="AC697" i="2"/>
  <c r="AC696" i="2"/>
  <c r="AB696" i="2"/>
  <c r="AC695" i="2"/>
  <c r="AB695" i="2"/>
  <c r="AC694" i="2"/>
  <c r="AB694" i="2"/>
  <c r="AC693" i="2"/>
  <c r="AB693" i="2"/>
  <c r="AB692" i="2"/>
  <c r="AC692" i="2"/>
  <c r="AB691" i="2"/>
  <c r="AC691" i="2"/>
  <c r="AB690" i="2"/>
  <c r="AC690" i="2"/>
  <c r="AB689" i="2"/>
  <c r="AC689" i="2"/>
  <c r="AC688" i="2"/>
  <c r="AB688" i="2"/>
  <c r="AC687" i="2"/>
  <c r="AB687" i="2"/>
  <c r="AC686" i="2"/>
  <c r="AB686" i="2"/>
  <c r="AC685" i="2"/>
  <c r="AB685" i="2"/>
  <c r="AC684" i="2"/>
  <c r="AB684" i="2"/>
  <c r="AC683" i="2"/>
  <c r="AB683" i="2"/>
  <c r="AB682" i="2"/>
  <c r="AC682" i="2"/>
  <c r="AC681" i="2"/>
  <c r="AB681" i="2"/>
  <c r="AC680" i="2"/>
  <c r="AB680" i="2"/>
  <c r="AC679" i="2"/>
  <c r="AB679" i="2"/>
  <c r="AC678" i="2"/>
  <c r="AB678" i="2"/>
  <c r="AB677" i="2"/>
  <c r="AC677" i="2"/>
  <c r="AB676" i="2"/>
  <c r="AC676" i="2"/>
  <c r="AB675" i="2"/>
  <c r="AC675" i="2"/>
  <c r="AC674" i="2"/>
  <c r="AB674" i="2"/>
  <c r="AC673" i="2"/>
  <c r="AB673" i="2"/>
  <c r="AC672" i="2"/>
  <c r="AB672" i="2"/>
  <c r="AC671" i="2"/>
  <c r="AB671" i="2"/>
  <c r="AC670" i="2"/>
  <c r="AB670" i="2"/>
  <c r="AC669" i="2"/>
  <c r="AB669" i="2"/>
  <c r="AC668" i="2"/>
  <c r="AB668" i="2"/>
  <c r="AC667" i="2"/>
  <c r="AB667" i="2"/>
  <c r="AC666" i="2"/>
  <c r="AB666" i="2"/>
  <c r="AC665" i="2"/>
  <c r="AB665" i="2"/>
  <c r="AC664" i="2"/>
  <c r="AB664" i="2"/>
  <c r="AC663" i="2"/>
  <c r="AB663" i="2"/>
  <c r="AC662" i="2"/>
  <c r="AB662" i="2"/>
  <c r="AC661" i="2"/>
  <c r="AB661" i="2"/>
  <c r="AC660" i="2"/>
  <c r="AB660" i="2"/>
  <c r="AC659" i="2"/>
  <c r="AB659" i="2"/>
  <c r="AC658" i="2"/>
  <c r="AB658" i="2"/>
  <c r="AC657" i="2"/>
  <c r="AB657" i="2"/>
  <c r="AC656" i="2"/>
  <c r="AB656" i="2"/>
  <c r="AC655" i="2"/>
  <c r="AB655" i="2"/>
  <c r="AC654" i="2"/>
  <c r="AB654" i="2"/>
  <c r="AB653" i="2"/>
  <c r="AC653" i="2"/>
  <c r="AC652" i="2"/>
  <c r="AB652" i="2"/>
  <c r="AC651" i="2"/>
  <c r="AB651" i="2"/>
  <c r="AC650" i="2"/>
  <c r="AB650" i="2"/>
  <c r="AC649" i="2"/>
  <c r="AB649" i="2"/>
  <c r="AC648" i="2"/>
  <c r="AB648" i="2"/>
  <c r="AC647" i="2"/>
  <c r="AB647" i="2"/>
  <c r="AB646" i="2"/>
  <c r="AC646" i="2"/>
  <c r="AB645" i="2"/>
  <c r="AC645" i="2"/>
  <c r="AB644" i="2"/>
  <c r="AC644" i="2"/>
  <c r="AB643" i="2"/>
  <c r="AC643" i="2"/>
  <c r="AC642" i="2"/>
  <c r="AB642" i="2"/>
  <c r="AC641" i="2"/>
  <c r="AB641" i="2"/>
  <c r="AC640" i="2"/>
  <c r="AB640" i="2"/>
  <c r="AC639" i="2"/>
  <c r="AB639" i="2"/>
  <c r="AC638" i="2"/>
  <c r="AB638" i="2"/>
  <c r="AB637" i="2"/>
  <c r="AC637" i="2"/>
  <c r="AC636" i="2"/>
  <c r="AB636" i="2"/>
  <c r="AC635" i="2"/>
  <c r="AB635" i="2"/>
  <c r="AC634" i="2"/>
  <c r="AB634" i="2"/>
  <c r="AB633" i="2"/>
  <c r="AC633" i="2"/>
  <c r="AB632" i="2"/>
  <c r="AC632" i="2"/>
  <c r="AC631" i="2"/>
  <c r="AB631" i="2"/>
  <c r="AC630" i="2"/>
  <c r="AB630" i="2"/>
  <c r="AC629" i="2"/>
  <c r="AB629" i="2"/>
  <c r="AC628" i="2"/>
  <c r="AB628" i="2"/>
  <c r="AC627" i="2"/>
  <c r="AB627" i="2"/>
  <c r="AB626" i="2"/>
  <c r="AC626" i="2"/>
  <c r="AC625" i="2"/>
  <c r="AB625" i="2"/>
  <c r="AC624" i="2"/>
  <c r="AB624" i="2"/>
  <c r="AB623" i="2"/>
  <c r="AC623" i="2"/>
  <c r="AC622" i="2"/>
  <c r="AB622" i="2"/>
  <c r="AC621" i="2"/>
  <c r="AB621" i="2"/>
  <c r="AC620" i="2"/>
  <c r="AB620" i="2"/>
  <c r="AC619" i="2"/>
  <c r="AB619" i="2"/>
  <c r="AC618" i="2"/>
  <c r="AB618" i="2"/>
  <c r="AC617" i="2"/>
  <c r="AB617" i="2"/>
  <c r="AC616" i="2"/>
  <c r="AB616" i="2"/>
  <c r="AC615" i="2"/>
  <c r="AB615" i="2"/>
  <c r="AC614" i="2"/>
  <c r="AB614" i="2"/>
  <c r="AC613" i="2"/>
  <c r="AB613" i="2"/>
  <c r="AC612" i="2"/>
  <c r="AB612" i="2"/>
  <c r="AC611" i="2"/>
  <c r="AB611" i="2"/>
  <c r="AC610" i="2"/>
  <c r="AB610" i="2"/>
  <c r="AB609" i="2"/>
  <c r="AC609" i="2"/>
  <c r="AC608" i="2"/>
  <c r="AB608" i="2"/>
  <c r="AC607" i="2"/>
  <c r="AB607" i="2"/>
  <c r="AC606" i="2"/>
  <c r="AB606" i="2"/>
  <c r="AC605" i="2"/>
  <c r="AB605" i="2"/>
  <c r="AC604" i="2"/>
  <c r="AB604" i="2"/>
  <c r="AB603" i="2"/>
  <c r="AC603" i="2"/>
  <c r="AC602" i="2"/>
  <c r="AB602" i="2"/>
  <c r="AB601" i="2"/>
  <c r="AC601" i="2"/>
  <c r="AC600" i="2"/>
  <c r="AB600" i="2"/>
  <c r="AC599" i="2"/>
  <c r="AB599" i="2"/>
  <c r="AC598" i="2"/>
  <c r="AB598" i="2"/>
  <c r="AC597" i="2"/>
  <c r="AB597" i="2"/>
  <c r="AB596" i="2"/>
  <c r="AC596" i="2"/>
  <c r="AB595" i="2"/>
  <c r="AC595" i="2"/>
  <c r="AB594" i="2"/>
  <c r="AC594" i="2"/>
  <c r="AB593" i="2"/>
  <c r="AC593" i="2"/>
  <c r="AC592" i="2"/>
  <c r="AB592" i="2"/>
  <c r="AC591" i="2"/>
  <c r="AB591" i="2"/>
  <c r="AC590" i="2"/>
  <c r="AB590" i="2"/>
  <c r="AC589" i="2"/>
  <c r="AB589" i="2"/>
  <c r="AC588" i="2"/>
  <c r="AB588" i="2"/>
  <c r="AC587" i="2"/>
  <c r="AB587" i="2"/>
  <c r="AC586" i="2"/>
  <c r="AB586" i="2"/>
  <c r="AC585" i="2"/>
  <c r="AB585" i="2"/>
  <c r="AC584" i="2"/>
  <c r="AB584" i="2"/>
  <c r="AC583" i="2"/>
  <c r="AB583" i="2"/>
  <c r="AC582" i="2"/>
  <c r="AB582" i="2"/>
  <c r="AC581" i="2"/>
  <c r="AB581" i="2"/>
  <c r="AC580" i="2"/>
  <c r="AB580" i="2"/>
  <c r="AB579" i="2"/>
  <c r="AC579" i="2"/>
  <c r="AB578" i="2"/>
  <c r="AC578" i="2"/>
  <c r="AC577" i="2"/>
  <c r="AB577" i="2"/>
  <c r="AC576" i="2"/>
  <c r="AB576" i="2"/>
  <c r="AC575" i="2"/>
  <c r="AB575" i="2"/>
  <c r="AC574" i="2"/>
  <c r="AB574" i="2"/>
  <c r="AC573" i="2"/>
  <c r="AB573" i="2"/>
  <c r="AC572" i="2"/>
  <c r="AB572" i="2"/>
  <c r="AC571" i="2"/>
  <c r="AB571" i="2"/>
  <c r="AC570" i="2"/>
  <c r="AB570" i="2"/>
  <c r="AB569" i="2"/>
  <c r="AC569" i="2"/>
  <c r="AC568" i="2"/>
  <c r="AB568" i="2"/>
  <c r="AC567" i="2"/>
  <c r="AB567" i="2"/>
  <c r="AC566" i="2"/>
  <c r="AB566" i="2"/>
  <c r="AC565" i="2"/>
  <c r="AB565" i="2"/>
  <c r="AC564" i="2"/>
  <c r="AB564" i="2"/>
  <c r="AC563" i="2"/>
  <c r="AB563" i="2"/>
  <c r="AC562" i="2"/>
  <c r="AB562" i="2"/>
  <c r="AC561" i="2"/>
  <c r="AB561" i="2"/>
  <c r="AC560" i="2"/>
  <c r="AB560" i="2"/>
  <c r="AC559" i="2"/>
  <c r="AB559" i="2"/>
  <c r="AC558" i="2"/>
  <c r="AB558" i="2"/>
  <c r="AC557" i="2"/>
  <c r="AB557" i="2"/>
  <c r="AC556" i="2"/>
  <c r="AB556" i="2"/>
  <c r="AC554" i="2"/>
  <c r="AB554" i="2"/>
  <c r="AC553" i="2"/>
  <c r="AB553" i="2"/>
  <c r="AC552" i="2"/>
  <c r="AB552" i="2"/>
  <c r="AC551" i="2"/>
  <c r="AB551" i="2"/>
  <c r="AC550" i="2"/>
  <c r="AB550" i="2"/>
  <c r="AC549" i="2"/>
  <c r="AB549" i="2"/>
  <c r="AB548" i="2"/>
  <c r="AC548" i="2"/>
  <c r="AB547" i="2"/>
  <c r="AC547" i="2"/>
  <c r="AB546" i="2"/>
  <c r="AC546" i="2"/>
  <c r="AC545" i="2"/>
  <c r="AB545" i="2"/>
  <c r="AC544" i="2"/>
  <c r="AB544" i="2"/>
  <c r="AC543" i="2"/>
  <c r="AB543" i="2"/>
  <c r="AC542" i="2"/>
  <c r="AB542" i="2"/>
  <c r="AB541" i="2"/>
  <c r="AC541" i="2"/>
  <c r="AC540" i="2"/>
  <c r="AB540" i="2"/>
  <c r="AC539" i="2"/>
  <c r="AB539" i="2"/>
  <c r="AC538" i="2"/>
  <c r="AB538" i="2"/>
  <c r="AB537" i="2"/>
  <c r="AC537" i="2"/>
  <c r="AB536" i="2"/>
  <c r="AC536" i="2"/>
  <c r="AC535" i="2"/>
  <c r="AB535" i="2"/>
  <c r="AB534" i="2"/>
  <c r="AC534" i="2"/>
  <c r="AC533" i="2"/>
  <c r="AB533" i="2"/>
  <c r="AC532" i="2"/>
  <c r="AB532" i="2"/>
  <c r="AC531" i="2"/>
  <c r="AB531" i="2"/>
  <c r="AC530" i="2"/>
  <c r="AB530" i="2"/>
  <c r="AC529" i="2"/>
  <c r="AB529" i="2"/>
  <c r="AC528" i="2"/>
  <c r="AB528" i="2"/>
  <c r="AB527" i="2"/>
  <c r="AC527" i="2"/>
  <c r="AC526" i="2"/>
  <c r="AB526" i="2"/>
  <c r="AC525" i="2"/>
  <c r="AB525" i="2"/>
  <c r="AC524" i="2"/>
  <c r="AB524" i="2"/>
  <c r="AC523" i="2"/>
  <c r="AB523" i="2"/>
  <c r="AC522" i="2"/>
  <c r="AB522" i="2"/>
  <c r="AC521" i="2"/>
  <c r="AB521" i="2"/>
  <c r="AC520" i="2"/>
  <c r="AB520" i="2"/>
  <c r="AC519" i="2"/>
  <c r="AB519" i="2"/>
  <c r="AC518" i="2"/>
  <c r="AB518" i="2"/>
  <c r="AC517" i="2"/>
  <c r="AB517" i="2"/>
  <c r="AC516" i="2"/>
  <c r="AB516" i="2"/>
  <c r="AC515" i="2"/>
  <c r="AB515" i="2"/>
  <c r="AC514" i="2"/>
  <c r="AB514" i="2"/>
  <c r="AC513" i="2"/>
  <c r="AB513" i="2"/>
  <c r="AC512" i="2"/>
  <c r="AB512" i="2"/>
  <c r="AC511" i="2"/>
  <c r="AB511" i="2"/>
  <c r="AC510" i="2"/>
  <c r="AB510" i="2"/>
  <c r="AC509" i="2"/>
  <c r="AB509" i="2"/>
  <c r="AC508" i="2"/>
  <c r="AB508" i="2"/>
  <c r="AC507" i="2"/>
  <c r="AB507" i="2"/>
  <c r="AB506" i="2"/>
  <c r="AC506" i="2"/>
  <c r="AC505" i="2"/>
  <c r="AB505" i="2"/>
  <c r="AC504" i="2"/>
  <c r="AB504" i="2"/>
  <c r="AC503" i="2"/>
  <c r="AB503" i="2"/>
  <c r="AC502" i="2"/>
  <c r="AB502" i="2"/>
  <c r="AC501" i="2"/>
  <c r="AB501" i="2"/>
  <c r="AB500" i="2"/>
  <c r="AC500" i="2"/>
  <c r="AB499" i="2"/>
  <c r="AC499" i="2"/>
  <c r="AB498" i="2"/>
  <c r="AC498" i="2"/>
  <c r="AC497" i="2"/>
  <c r="AB497" i="2"/>
  <c r="AC496" i="2"/>
  <c r="AB496" i="2"/>
  <c r="AC495" i="2"/>
  <c r="AB495" i="2"/>
  <c r="AC494" i="2"/>
  <c r="AB494" i="2"/>
  <c r="AC493" i="2"/>
  <c r="AB493" i="2"/>
  <c r="AC492" i="2"/>
  <c r="AB492" i="2"/>
  <c r="AC491" i="2"/>
  <c r="AB491" i="2"/>
  <c r="AC490" i="2"/>
  <c r="AB490" i="2"/>
  <c r="AC489" i="2"/>
  <c r="AB489" i="2"/>
  <c r="AC488" i="2"/>
  <c r="AB488" i="2"/>
  <c r="AC487" i="2"/>
  <c r="AB487" i="2"/>
  <c r="AC486" i="2"/>
  <c r="AB486" i="2"/>
  <c r="AB485" i="2"/>
  <c r="AC485" i="2"/>
  <c r="AB484" i="2"/>
  <c r="AC484" i="2"/>
  <c r="AC483" i="2"/>
  <c r="AB483" i="2"/>
  <c r="AC482" i="2"/>
  <c r="AB482" i="2"/>
  <c r="AB481" i="2"/>
  <c r="AC481" i="2"/>
  <c r="AC480" i="2"/>
  <c r="AB480" i="2"/>
  <c r="AC479" i="2"/>
  <c r="AB479" i="2"/>
  <c r="AB478" i="2"/>
  <c r="AC478" i="2"/>
  <c r="AC477" i="2"/>
  <c r="AB477" i="2"/>
  <c r="AC476" i="2"/>
  <c r="AB476" i="2"/>
  <c r="AC475" i="2"/>
  <c r="AB475" i="2"/>
  <c r="AC474" i="2"/>
  <c r="AB474" i="2"/>
  <c r="AC473" i="2"/>
  <c r="AB473" i="2"/>
  <c r="AC472" i="2"/>
  <c r="AB472" i="2"/>
  <c r="AC471" i="2"/>
  <c r="AB471" i="2"/>
  <c r="AC470" i="2"/>
  <c r="AB470" i="2"/>
  <c r="AC469" i="2"/>
  <c r="AB469" i="2"/>
  <c r="AC468" i="2"/>
  <c r="AB468" i="2"/>
  <c r="AC467" i="2"/>
  <c r="AB467" i="2"/>
  <c r="AC466" i="2"/>
  <c r="AB466" i="2"/>
  <c r="AC465" i="2"/>
  <c r="AB465" i="2"/>
  <c r="AC464" i="2"/>
  <c r="AB464" i="2"/>
  <c r="AC463" i="2"/>
  <c r="AB463" i="2"/>
  <c r="AB462" i="2"/>
  <c r="AC462" i="2"/>
  <c r="AC461" i="2"/>
  <c r="AB461" i="2"/>
  <c r="AC460" i="2"/>
  <c r="AB460" i="2"/>
  <c r="AC459" i="2"/>
  <c r="AB459" i="2"/>
  <c r="AC458" i="2"/>
  <c r="AB458" i="2"/>
  <c r="AC457" i="2"/>
  <c r="AB457" i="2"/>
  <c r="AC456" i="2"/>
  <c r="AB456" i="2"/>
  <c r="AC455" i="2"/>
  <c r="AB455" i="2"/>
  <c r="AC454" i="2"/>
  <c r="AB454" i="2"/>
  <c r="AB453" i="2"/>
  <c r="AC453" i="2"/>
  <c r="AB452" i="2"/>
  <c r="AC452" i="2"/>
  <c r="AB451" i="2"/>
  <c r="AC451" i="2"/>
  <c r="AC450" i="2"/>
  <c r="AB450" i="2"/>
  <c r="AC449" i="2"/>
  <c r="AB449" i="2"/>
  <c r="AC448" i="2"/>
  <c r="AB448" i="2"/>
  <c r="AC447" i="2"/>
  <c r="AB447" i="2"/>
  <c r="AC446" i="2"/>
  <c r="AB446" i="2"/>
  <c r="AB445" i="2"/>
  <c r="AC445" i="2"/>
  <c r="AC444" i="2"/>
  <c r="AB444" i="2"/>
  <c r="AC443" i="2"/>
  <c r="AB443" i="2"/>
  <c r="AC442" i="2"/>
  <c r="AB442" i="2"/>
  <c r="AB441" i="2"/>
  <c r="AC441" i="2"/>
  <c r="AB440" i="2"/>
  <c r="AC440" i="2"/>
  <c r="AB439" i="2"/>
  <c r="AC439" i="2"/>
  <c r="AC438" i="2"/>
  <c r="AB438" i="2"/>
  <c r="AC437" i="2"/>
  <c r="AB437" i="2"/>
  <c r="AC436" i="2"/>
  <c r="AB436" i="2"/>
  <c r="AC435" i="2"/>
  <c r="AB435" i="2"/>
  <c r="AB434" i="2"/>
  <c r="AC434" i="2"/>
  <c r="AC433" i="2"/>
  <c r="AB433" i="2"/>
  <c r="AC432" i="2"/>
  <c r="AB432" i="2"/>
  <c r="AC431" i="2"/>
  <c r="AB431" i="2"/>
  <c r="AC430" i="2"/>
  <c r="AB430" i="2"/>
  <c r="AC429" i="2"/>
  <c r="AB429" i="2"/>
  <c r="AC428" i="2"/>
  <c r="AB428" i="2"/>
  <c r="AC427" i="2"/>
  <c r="AB427" i="2"/>
  <c r="AC426" i="2"/>
  <c r="AB426" i="2"/>
  <c r="AC425" i="2"/>
  <c r="AB425" i="2"/>
  <c r="AC424" i="2"/>
  <c r="AB424" i="2"/>
  <c r="AC423" i="2"/>
  <c r="AB423" i="2"/>
  <c r="AC422" i="2"/>
  <c r="AB422" i="2"/>
  <c r="AC421" i="2"/>
  <c r="AB421" i="2"/>
  <c r="AC420" i="2"/>
  <c r="AB420" i="2"/>
  <c r="AC419" i="2"/>
  <c r="AB419" i="2"/>
  <c r="AC418" i="2"/>
  <c r="AB418" i="2"/>
  <c r="AC417" i="2"/>
  <c r="AB417" i="2"/>
  <c r="AB416" i="2"/>
  <c r="AC416" i="2"/>
  <c r="AC415" i="2"/>
  <c r="AB415" i="2"/>
  <c r="AC414" i="2"/>
  <c r="AB414" i="2"/>
  <c r="AC413" i="2"/>
  <c r="AB413" i="2"/>
  <c r="AC412" i="2"/>
  <c r="AB412" i="2"/>
  <c r="AC411" i="2"/>
  <c r="AB411" i="2"/>
  <c r="AB410" i="2"/>
  <c r="AC410" i="2"/>
  <c r="AC409" i="2"/>
  <c r="AB409" i="2"/>
  <c r="AC408" i="2"/>
  <c r="AB408" i="2"/>
  <c r="AB407" i="2"/>
  <c r="AC407" i="2"/>
  <c r="AC406" i="2"/>
  <c r="AB406" i="2"/>
  <c r="AC405" i="2"/>
  <c r="AB405" i="2"/>
  <c r="AC404" i="2"/>
  <c r="AB404" i="2"/>
  <c r="AC403" i="2"/>
  <c r="AB403" i="2"/>
  <c r="AC402" i="2"/>
  <c r="AB402" i="2"/>
  <c r="AC401" i="2"/>
  <c r="AB401" i="2"/>
  <c r="AB400" i="2"/>
  <c r="AC400" i="2"/>
  <c r="AB399" i="2"/>
  <c r="AC399" i="2"/>
  <c r="AC398" i="2"/>
  <c r="AB398" i="2"/>
  <c r="AC397" i="2"/>
  <c r="AB397" i="2"/>
  <c r="AC396" i="2"/>
  <c r="AB396" i="2"/>
  <c r="AC395" i="2"/>
  <c r="AB395" i="2"/>
  <c r="AC394" i="2"/>
  <c r="AB394" i="2"/>
  <c r="AC393" i="2"/>
  <c r="AB393" i="2"/>
  <c r="AC392" i="2"/>
  <c r="AB392" i="2"/>
  <c r="AC391" i="2"/>
  <c r="AB391" i="2"/>
  <c r="AC390" i="2"/>
  <c r="AB390" i="2"/>
  <c r="AC389" i="2"/>
  <c r="AB389" i="2"/>
  <c r="AC388" i="2"/>
  <c r="AB388" i="2"/>
  <c r="AB387" i="2"/>
  <c r="AC387" i="2"/>
  <c r="AB386" i="2"/>
  <c r="AC386" i="2"/>
  <c r="AB385" i="2"/>
  <c r="AC385" i="2"/>
  <c r="AB384" i="2"/>
  <c r="AC384" i="2"/>
  <c r="AC383" i="2"/>
  <c r="AB383" i="2"/>
  <c r="AC382" i="2"/>
  <c r="AB382" i="2"/>
  <c r="AC381" i="2"/>
  <c r="AB381" i="2"/>
  <c r="AC380" i="2"/>
  <c r="AB380" i="2"/>
  <c r="AB379" i="2"/>
  <c r="AC379" i="2"/>
  <c r="AC378" i="2"/>
  <c r="AB378" i="2"/>
  <c r="AC377" i="2"/>
  <c r="AB377" i="2"/>
  <c r="AC376" i="2"/>
  <c r="AB376" i="2"/>
  <c r="AC375" i="2"/>
  <c r="AB375" i="2"/>
  <c r="AC374" i="2"/>
  <c r="AB374" i="2"/>
  <c r="AC373" i="2"/>
  <c r="AB373" i="2"/>
  <c r="AB372" i="2"/>
  <c r="AC372" i="2"/>
  <c r="AC371" i="2"/>
  <c r="AB371" i="2"/>
  <c r="AC370" i="2"/>
  <c r="AB370" i="2"/>
  <c r="AC369" i="2"/>
  <c r="AB369" i="2"/>
  <c r="AC368" i="2"/>
  <c r="AB368" i="2"/>
  <c r="AC367" i="2"/>
  <c r="AB367" i="2"/>
  <c r="AC366" i="2"/>
  <c r="AB366" i="2"/>
  <c r="AC365" i="2"/>
  <c r="AB365" i="2"/>
  <c r="AC364" i="2"/>
  <c r="AB364" i="2"/>
  <c r="AC363" i="2"/>
  <c r="AB363" i="2"/>
  <c r="AB362" i="2"/>
  <c r="AC362" i="2"/>
  <c r="AC361" i="2"/>
  <c r="AB361" i="2"/>
  <c r="AB360" i="2"/>
  <c r="AC360" i="2"/>
  <c r="AC359" i="2"/>
  <c r="AB359" i="2"/>
  <c r="AB358" i="2"/>
  <c r="AC358" i="2"/>
  <c r="AC357" i="2"/>
  <c r="AB357" i="2"/>
  <c r="AC356" i="2"/>
  <c r="AB356" i="2"/>
  <c r="AC355" i="2"/>
  <c r="AB355" i="2"/>
  <c r="AC354" i="2"/>
  <c r="AB354" i="2"/>
  <c r="AC353" i="2"/>
  <c r="AB353" i="2"/>
  <c r="AC352" i="2"/>
  <c r="AB352" i="2"/>
  <c r="AC351" i="2"/>
  <c r="AB351" i="2"/>
  <c r="AC350" i="2"/>
  <c r="AB350" i="2"/>
  <c r="AC349" i="2"/>
  <c r="AB349" i="2"/>
  <c r="AC348" i="2"/>
  <c r="AB348" i="2"/>
  <c r="AB347" i="2"/>
  <c r="AC347" i="2"/>
  <c r="AC346" i="2"/>
  <c r="AB346" i="2"/>
  <c r="AC345" i="2"/>
  <c r="AB345" i="2"/>
  <c r="AC344" i="2"/>
  <c r="AB344" i="2"/>
  <c r="AC343" i="2"/>
  <c r="AB343" i="2"/>
  <c r="AC342" i="2"/>
  <c r="AB342" i="2"/>
  <c r="AC341" i="2"/>
  <c r="AB341" i="2"/>
  <c r="AB340" i="2"/>
  <c r="AC340" i="2"/>
  <c r="AC339" i="2"/>
  <c r="AB339" i="2"/>
  <c r="AB338" i="2"/>
  <c r="AC338" i="2"/>
  <c r="AB337" i="2"/>
  <c r="AC337" i="2"/>
  <c r="AB336" i="2"/>
  <c r="AC336" i="2"/>
  <c r="AB335" i="2"/>
  <c r="AC335" i="2"/>
  <c r="AB334" i="2"/>
  <c r="AC334" i="2"/>
  <c r="AB333" i="2"/>
  <c r="AC333" i="2"/>
  <c r="AB332" i="2"/>
  <c r="AC332" i="2"/>
  <c r="AB331" i="2"/>
  <c r="AC331" i="2"/>
  <c r="AB330" i="2"/>
  <c r="AC330" i="2"/>
  <c r="AC329" i="2"/>
  <c r="AB329" i="2"/>
  <c r="AC328" i="2"/>
  <c r="AB328" i="2"/>
  <c r="AC327" i="2"/>
  <c r="AB327" i="2"/>
  <c r="AC326" i="2"/>
  <c r="AB326" i="2"/>
  <c r="AC325" i="2"/>
  <c r="AB325" i="2"/>
  <c r="AC324" i="2"/>
  <c r="AB324" i="2"/>
  <c r="AC323" i="2"/>
  <c r="AB323" i="2"/>
  <c r="AC322" i="2"/>
  <c r="AB322" i="2"/>
  <c r="AC321" i="2"/>
  <c r="AB321" i="2"/>
  <c r="AC320" i="2"/>
  <c r="AB320" i="2"/>
  <c r="AC319" i="2"/>
  <c r="AB319" i="2"/>
  <c r="AB318" i="2"/>
  <c r="AC318" i="2"/>
  <c r="AB317" i="2"/>
  <c r="AC317" i="2"/>
  <c r="AB316" i="2"/>
  <c r="AC316" i="2"/>
  <c r="AB315" i="2"/>
  <c r="AC315" i="2"/>
  <c r="AB314" i="2"/>
  <c r="AC314" i="2"/>
  <c r="AB313" i="2"/>
  <c r="AC313" i="2"/>
  <c r="AB312" i="2"/>
  <c r="AC312" i="2"/>
  <c r="AC311" i="2"/>
  <c r="AB311" i="2"/>
  <c r="AC310" i="2"/>
  <c r="AB310" i="2"/>
  <c r="AB309" i="2"/>
  <c r="AC309" i="2"/>
  <c r="AC308" i="2"/>
  <c r="AB308" i="2"/>
  <c r="AC307" i="2"/>
  <c r="AB307" i="2"/>
  <c r="AC306" i="2"/>
  <c r="AB306" i="2"/>
  <c r="AB305" i="2"/>
  <c r="AC305" i="2"/>
  <c r="AB304" i="2"/>
  <c r="AC304" i="2"/>
  <c r="AC303" i="2"/>
  <c r="AB303" i="2"/>
  <c r="AB302" i="2"/>
  <c r="AC302" i="2"/>
  <c r="AC301" i="2"/>
  <c r="AB301" i="2"/>
  <c r="AC300" i="2"/>
  <c r="AB300" i="2"/>
  <c r="AB299" i="2"/>
  <c r="AC299" i="2"/>
  <c r="AC298" i="2"/>
  <c r="AB298" i="2"/>
  <c r="AC297" i="2"/>
  <c r="AB297" i="2"/>
  <c r="AB296" i="2"/>
  <c r="AC296" i="2"/>
  <c r="AC295" i="2"/>
  <c r="AB295" i="2"/>
  <c r="AC294" i="2"/>
  <c r="AB294" i="2"/>
  <c r="AB293" i="2"/>
  <c r="AC293" i="2"/>
  <c r="AC292" i="2"/>
  <c r="AB292" i="2"/>
  <c r="AB291" i="2"/>
  <c r="AC291" i="2"/>
  <c r="AC290" i="2"/>
  <c r="AB290" i="2"/>
  <c r="AC289" i="2"/>
  <c r="AB289" i="2"/>
  <c r="AC288" i="2"/>
  <c r="AB288" i="2"/>
  <c r="AC287" i="2"/>
  <c r="AB287" i="2"/>
  <c r="AB286" i="2"/>
  <c r="AC286" i="2"/>
  <c r="AC285" i="2"/>
  <c r="AB285" i="2"/>
  <c r="AC284" i="2"/>
  <c r="AB284" i="2"/>
  <c r="AC283" i="2"/>
  <c r="AB283" i="2"/>
  <c r="AC282" i="2"/>
  <c r="AB282" i="2"/>
  <c r="AB281" i="2"/>
  <c r="AC281" i="2"/>
  <c r="AB280" i="2"/>
  <c r="AC280" i="2"/>
  <c r="AB279" i="2"/>
  <c r="AC279" i="2"/>
  <c r="AC278" i="2"/>
  <c r="AB278" i="2"/>
  <c r="AC277" i="2"/>
  <c r="AB277" i="2"/>
  <c r="AC276" i="2"/>
  <c r="AB276" i="2"/>
  <c r="AB275" i="2"/>
  <c r="AC275" i="2"/>
  <c r="AB274" i="2"/>
  <c r="AC274" i="2"/>
  <c r="AB273" i="2"/>
  <c r="AC273" i="2"/>
  <c r="AB272" i="2"/>
  <c r="AC272" i="2"/>
  <c r="AC271" i="2"/>
  <c r="AB271" i="2"/>
  <c r="AB270" i="2"/>
  <c r="AC270" i="2"/>
  <c r="AC269" i="2"/>
  <c r="AB269" i="2"/>
  <c r="AB268" i="2"/>
  <c r="AC268" i="2"/>
  <c r="AC267" i="2"/>
  <c r="AB267" i="2"/>
  <c r="AC266" i="2"/>
  <c r="AB266" i="2"/>
  <c r="AB265" i="2"/>
  <c r="AC265" i="2"/>
  <c r="AC264" i="2"/>
  <c r="AB264" i="2"/>
  <c r="AC263" i="2"/>
  <c r="AB263" i="2"/>
  <c r="AC262" i="2"/>
  <c r="AB262" i="2"/>
  <c r="AB261" i="2"/>
  <c r="AC261" i="2"/>
  <c r="AB260" i="2"/>
  <c r="AC260" i="2"/>
  <c r="AC259" i="2"/>
  <c r="AB259" i="2"/>
  <c r="AC258" i="2"/>
  <c r="AB258" i="2"/>
  <c r="AB257" i="2"/>
  <c r="AC257" i="2"/>
  <c r="AC256" i="2"/>
  <c r="AB256" i="2"/>
  <c r="AB255" i="2"/>
  <c r="AC255" i="2"/>
  <c r="AB254" i="2"/>
  <c r="AC254" i="2"/>
  <c r="AB253" i="2"/>
  <c r="AC253" i="2"/>
  <c r="AC252" i="2"/>
  <c r="AB252" i="2"/>
  <c r="AB251" i="2"/>
  <c r="AC251" i="2"/>
  <c r="AB250" i="2"/>
  <c r="AC250" i="2"/>
  <c r="AC249" i="2"/>
  <c r="AB249" i="2"/>
  <c r="AC248" i="2"/>
  <c r="AB248" i="2"/>
  <c r="AC247" i="2"/>
  <c r="AB247" i="2"/>
  <c r="AC246" i="2"/>
  <c r="AB246" i="2"/>
  <c r="AC245" i="2"/>
  <c r="AB245" i="2"/>
  <c r="AC244" i="2"/>
  <c r="AB244" i="2"/>
  <c r="AB242" i="2"/>
  <c r="AC242" i="2"/>
  <c r="AC241" i="2"/>
  <c r="AB241" i="2"/>
  <c r="AC240" i="2"/>
  <c r="AB240" i="2"/>
  <c r="AB239" i="2"/>
  <c r="AC239" i="2"/>
  <c r="AB238" i="2"/>
  <c r="AC238" i="2"/>
  <c r="AB237" i="2"/>
  <c r="AC237" i="2"/>
  <c r="AB236" i="2"/>
  <c r="AC236" i="2"/>
  <c r="AC235" i="2"/>
  <c r="AB235" i="2"/>
  <c r="AC234" i="2"/>
  <c r="AB234" i="2"/>
  <c r="AC233" i="2"/>
  <c r="AB233" i="2"/>
  <c r="AC232" i="2"/>
  <c r="AB232" i="2"/>
  <c r="AC231" i="2"/>
  <c r="AB231" i="2"/>
  <c r="AC230" i="2"/>
  <c r="AB230" i="2"/>
  <c r="AB229" i="2"/>
  <c r="AC229" i="2"/>
  <c r="AB228" i="2"/>
  <c r="AC228" i="2"/>
  <c r="AB227" i="2"/>
  <c r="AC227" i="2"/>
  <c r="AB226" i="2"/>
  <c r="AC226" i="2"/>
  <c r="AC225" i="2"/>
  <c r="AB225" i="2"/>
  <c r="AC224" i="2"/>
  <c r="AB224" i="2"/>
  <c r="AC223" i="2"/>
  <c r="AB223" i="2"/>
  <c r="AC222" i="2"/>
  <c r="AB222" i="2"/>
  <c r="AC221" i="2"/>
  <c r="AB221" i="2"/>
  <c r="AC220" i="2"/>
  <c r="AB220" i="2"/>
  <c r="AC219" i="2"/>
  <c r="AB219" i="2"/>
  <c r="AC218" i="2"/>
  <c r="AB218" i="2"/>
  <c r="AB217" i="2"/>
  <c r="AC217" i="2"/>
  <c r="AC216" i="2"/>
  <c r="AB216" i="2"/>
  <c r="AC215" i="2"/>
  <c r="AB215" i="2"/>
  <c r="AC214" i="2"/>
  <c r="AB214" i="2"/>
  <c r="AC213" i="2"/>
  <c r="AB213" i="2"/>
  <c r="AC212" i="2"/>
  <c r="AB212" i="2"/>
  <c r="AB211" i="2"/>
  <c r="AC211" i="2"/>
  <c r="AC210" i="2"/>
  <c r="AB210" i="2"/>
  <c r="AB209" i="2"/>
  <c r="AC209" i="2"/>
  <c r="AB208" i="2"/>
  <c r="AC208" i="2"/>
  <c r="AB207" i="2"/>
  <c r="AC207" i="2"/>
  <c r="AB206" i="2"/>
  <c r="AC206" i="2"/>
  <c r="AB205" i="2"/>
  <c r="AC205" i="2"/>
  <c r="AC204" i="2"/>
  <c r="AB204" i="2"/>
  <c r="AC203" i="2"/>
  <c r="AB203" i="2"/>
  <c r="AC202" i="2"/>
  <c r="AB202" i="2"/>
  <c r="AC201" i="2"/>
  <c r="AB201" i="2"/>
  <c r="AC200" i="2"/>
  <c r="AB200" i="2"/>
  <c r="AC199" i="2"/>
  <c r="AB199" i="2"/>
  <c r="AC198" i="2"/>
  <c r="AB198" i="2"/>
  <c r="AC197" i="2"/>
  <c r="AB197" i="2"/>
  <c r="AC196" i="2"/>
  <c r="AB196" i="2"/>
  <c r="AC195" i="2"/>
  <c r="AB195" i="2"/>
  <c r="AC194" i="2"/>
  <c r="AB194" i="2"/>
  <c r="AC193" i="2"/>
  <c r="AB193" i="2"/>
  <c r="AC192" i="2"/>
  <c r="AB192" i="2"/>
  <c r="AC191" i="2"/>
  <c r="AB191" i="2"/>
  <c r="AB190" i="2"/>
  <c r="AC190" i="2"/>
  <c r="AC189" i="2"/>
  <c r="AB189" i="2"/>
  <c r="AC188" i="2"/>
  <c r="AB188" i="2"/>
  <c r="AC187" i="2"/>
  <c r="AB187" i="2"/>
  <c r="AC186" i="2"/>
  <c r="AB186" i="2"/>
  <c r="AC185" i="2"/>
  <c r="AB185" i="2"/>
  <c r="AC184" i="2"/>
  <c r="AB184" i="2"/>
  <c r="AC183" i="2"/>
  <c r="AB183" i="2"/>
  <c r="AC182" i="2"/>
  <c r="AB182" i="2"/>
  <c r="AB181" i="2"/>
  <c r="AC181" i="2"/>
  <c r="AC180" i="2"/>
  <c r="AB180" i="2"/>
  <c r="AC179" i="2"/>
  <c r="AB179" i="2"/>
  <c r="AC178" i="2"/>
  <c r="AB178" i="2"/>
  <c r="AB177" i="2"/>
  <c r="AC177" i="2"/>
  <c r="AC175" i="2"/>
  <c r="AB175" i="2"/>
  <c r="AC174" i="2"/>
  <c r="AB174" i="2"/>
  <c r="AC173" i="2"/>
  <c r="AB173" i="2"/>
  <c r="AC172" i="2"/>
  <c r="AB172" i="2"/>
  <c r="AC171" i="2"/>
  <c r="AB171" i="2"/>
  <c r="AC170" i="2"/>
  <c r="AB170" i="2"/>
  <c r="AC169" i="2"/>
  <c r="AB169" i="2"/>
  <c r="AC168" i="2"/>
  <c r="AB168" i="2"/>
  <c r="AC167" i="2"/>
  <c r="AB167" i="2"/>
  <c r="AC166" i="2"/>
  <c r="AB166" i="2"/>
  <c r="AB165" i="2"/>
  <c r="AC165" i="2"/>
  <c r="AB164" i="2"/>
  <c r="AC164" i="2"/>
  <c r="AB163" i="2"/>
  <c r="AC163" i="2"/>
  <c r="AB162" i="2"/>
  <c r="AC162" i="2"/>
  <c r="AB161" i="2"/>
  <c r="AC161" i="2"/>
  <c r="AC160" i="2"/>
  <c r="AB160" i="2"/>
  <c r="AC159" i="2"/>
  <c r="AB159" i="2"/>
  <c r="AC158" i="2"/>
  <c r="AB158" i="2"/>
  <c r="AC157" i="2"/>
  <c r="AB157" i="2"/>
  <c r="AC156" i="2"/>
  <c r="AB156" i="2"/>
  <c r="AC155" i="2"/>
  <c r="AB155" i="2"/>
  <c r="AC154" i="2"/>
  <c r="AB154" i="2"/>
  <c r="AC153" i="2"/>
  <c r="AB153" i="2"/>
  <c r="AC152" i="2"/>
  <c r="AB152" i="2"/>
  <c r="AC151" i="2"/>
  <c r="AB151" i="2"/>
  <c r="AC150" i="2"/>
  <c r="AB150" i="2"/>
  <c r="AC149" i="2"/>
  <c r="AB149" i="2"/>
  <c r="AC148" i="2"/>
  <c r="AB148" i="2"/>
  <c r="AC147" i="2"/>
  <c r="AB147" i="2"/>
  <c r="AC146" i="2"/>
  <c r="AB146" i="2"/>
  <c r="AC145" i="2"/>
  <c r="AB145" i="2"/>
  <c r="AC144" i="2"/>
  <c r="AB144" i="2"/>
  <c r="AC143" i="2"/>
  <c r="AB143" i="2"/>
  <c r="AC142" i="2"/>
  <c r="AB142" i="2"/>
  <c r="AC141" i="2"/>
  <c r="AB141" i="2"/>
  <c r="AB140" i="2"/>
  <c r="AC140" i="2"/>
  <c r="AC139" i="2"/>
  <c r="AB139" i="2"/>
  <c r="AC138" i="2"/>
  <c r="AB138" i="2"/>
  <c r="AC137" i="2"/>
  <c r="AB137" i="2"/>
  <c r="AC136" i="2"/>
  <c r="AB136" i="2"/>
  <c r="AC135" i="2"/>
  <c r="AB135" i="2"/>
  <c r="AB134" i="2"/>
  <c r="AC134" i="2"/>
  <c r="AC133" i="2"/>
  <c r="AB133" i="2"/>
  <c r="AC132" i="2"/>
  <c r="AB132" i="2"/>
  <c r="AB131" i="2"/>
  <c r="AC131" i="2"/>
  <c r="AC130" i="2"/>
  <c r="AB130" i="2"/>
  <c r="AC129" i="2"/>
  <c r="AB129" i="2"/>
  <c r="AC128" i="2"/>
  <c r="AB128" i="2"/>
  <c r="AC127" i="2"/>
  <c r="AB127" i="2"/>
  <c r="AB126" i="2"/>
  <c r="AC126" i="2"/>
  <c r="AB125" i="2"/>
  <c r="AC125" i="2"/>
  <c r="AB124" i="2"/>
  <c r="AC124" i="2"/>
  <c r="AB123" i="2"/>
  <c r="AC123" i="2"/>
  <c r="AB122" i="2"/>
  <c r="AC122" i="2"/>
  <c r="AC121" i="2"/>
  <c r="AB121" i="2"/>
  <c r="AC120" i="2"/>
  <c r="AB120" i="2"/>
  <c r="AC119" i="2"/>
  <c r="AB119" i="2"/>
  <c r="AC118" i="2"/>
  <c r="AB118" i="2"/>
  <c r="AC117" i="2"/>
  <c r="AB117" i="2"/>
  <c r="AC116" i="2"/>
  <c r="AB116" i="2"/>
  <c r="AC115" i="2"/>
  <c r="AB115" i="2"/>
  <c r="AC114" i="2"/>
  <c r="AB114" i="2"/>
  <c r="AC113" i="2"/>
  <c r="AB113" i="2"/>
  <c r="AC112" i="2"/>
  <c r="AB112" i="2"/>
  <c r="AC111" i="2"/>
  <c r="AB111" i="2"/>
  <c r="AC110" i="2"/>
  <c r="AB110" i="2"/>
  <c r="AB109" i="2"/>
  <c r="AC109" i="2"/>
  <c r="AB108" i="2"/>
  <c r="AC108" i="2"/>
  <c r="AB107" i="2"/>
  <c r="AC107" i="2"/>
  <c r="AC106" i="2"/>
  <c r="AB106" i="2"/>
  <c r="AC105" i="2"/>
  <c r="AB105" i="2"/>
  <c r="AC104" i="2"/>
  <c r="AB104" i="2"/>
  <c r="AC103" i="2"/>
  <c r="AB103" i="2"/>
  <c r="AB102" i="2"/>
  <c r="AC102" i="2"/>
  <c r="AC101" i="2"/>
  <c r="AB101" i="2"/>
  <c r="AC100" i="2"/>
  <c r="AB100" i="2"/>
  <c r="AC99" i="2"/>
  <c r="AB99" i="2"/>
  <c r="AC98" i="2"/>
  <c r="AB98" i="2"/>
  <c r="AC97" i="2"/>
  <c r="AB97" i="2"/>
  <c r="AB96" i="2"/>
  <c r="AC96" i="2"/>
  <c r="AC95" i="2"/>
  <c r="AB95" i="2"/>
  <c r="AC94" i="2"/>
  <c r="AB94" i="2"/>
  <c r="AC93" i="2"/>
  <c r="AB93" i="2"/>
  <c r="AC92" i="2"/>
  <c r="AB92" i="2"/>
  <c r="AC91" i="2"/>
  <c r="AB91" i="2"/>
  <c r="AC90" i="2"/>
  <c r="AB90" i="2"/>
  <c r="AC89" i="2"/>
  <c r="AB89" i="2"/>
  <c r="AC88" i="2"/>
  <c r="AB88" i="2"/>
  <c r="AC87" i="2"/>
  <c r="AB87" i="2"/>
  <c r="AC86" i="2"/>
  <c r="AB86" i="2"/>
  <c r="AC85" i="2"/>
  <c r="AB85" i="2"/>
  <c r="AC84" i="2"/>
  <c r="AB84" i="2"/>
  <c r="AC83" i="2"/>
  <c r="AB83" i="2"/>
  <c r="AC82" i="2"/>
  <c r="AB82" i="2"/>
  <c r="AC81" i="2"/>
  <c r="AB81" i="2"/>
  <c r="AC80" i="2"/>
  <c r="AB80" i="2"/>
  <c r="AC79" i="2"/>
  <c r="AB79" i="2"/>
  <c r="AC78" i="2"/>
  <c r="AB78" i="2"/>
  <c r="AC77" i="2"/>
  <c r="AB77" i="2"/>
  <c r="AC76" i="2"/>
  <c r="AB76" i="2"/>
  <c r="AB75" i="2"/>
  <c r="AC75" i="2"/>
  <c r="AB74" i="2"/>
  <c r="AC74" i="2"/>
  <c r="AB73" i="2"/>
  <c r="AC73" i="2"/>
  <c r="AB72" i="2"/>
  <c r="AC72" i="2"/>
  <c r="AB71" i="2"/>
  <c r="AC71" i="2"/>
  <c r="AC70" i="2"/>
  <c r="AB70" i="2"/>
  <c r="AC69" i="2"/>
  <c r="AB69" i="2"/>
  <c r="AC68" i="2"/>
  <c r="AB68" i="2"/>
  <c r="AC67" i="2"/>
  <c r="AB67" i="2"/>
  <c r="AC66" i="2"/>
  <c r="AB66" i="2"/>
  <c r="AC65" i="2"/>
  <c r="AB65" i="2"/>
  <c r="AC64" i="2"/>
  <c r="AB64" i="2"/>
  <c r="AC63" i="2"/>
  <c r="AB63" i="2"/>
  <c r="AC62" i="2"/>
  <c r="AB62" i="2"/>
  <c r="AC61" i="2"/>
  <c r="AB61" i="2"/>
  <c r="AB60" i="2"/>
  <c r="AC60" i="2"/>
  <c r="AB59" i="2"/>
  <c r="AC59" i="2"/>
  <c r="AB58" i="2"/>
  <c r="AC58" i="2"/>
  <c r="AB57" i="2"/>
  <c r="AC57" i="2"/>
  <c r="AB56" i="2"/>
  <c r="AC56" i="2"/>
  <c r="AC55" i="2"/>
  <c r="AB55" i="2"/>
  <c r="AC54" i="2"/>
  <c r="AB54" i="2"/>
  <c r="AC53" i="2"/>
  <c r="AB53" i="2"/>
  <c r="AB52" i="2"/>
  <c r="AC52" i="2"/>
  <c r="AC51" i="2"/>
  <c r="AB51" i="2"/>
  <c r="AC50" i="2"/>
  <c r="AB50" i="2"/>
  <c r="AC49" i="2"/>
  <c r="AB49" i="2"/>
  <c r="AB48" i="2"/>
  <c r="AC48" i="2"/>
  <c r="AC47" i="2"/>
  <c r="AB47" i="2"/>
  <c r="AC46" i="2"/>
  <c r="AB46" i="2"/>
  <c r="AC45" i="2"/>
  <c r="AB45" i="2"/>
  <c r="AC44" i="2"/>
  <c r="AB44" i="2"/>
  <c r="AC43" i="2"/>
  <c r="AB43" i="2"/>
  <c r="AC42" i="2"/>
  <c r="AB42" i="2"/>
  <c r="AC41" i="2"/>
  <c r="AB41" i="2"/>
  <c r="AC40" i="2"/>
  <c r="AB40" i="2"/>
  <c r="AC39" i="2"/>
  <c r="AB39" i="2"/>
  <c r="AC38" i="2"/>
  <c r="AB38" i="2"/>
  <c r="AC37" i="2"/>
  <c r="AB37" i="2"/>
  <c r="AC36" i="2"/>
  <c r="AB36" i="2"/>
  <c r="AC35" i="2"/>
  <c r="AB35" i="2"/>
  <c r="AC34" i="2"/>
  <c r="AB34" i="2"/>
  <c r="AC33" i="2"/>
  <c r="AB33" i="2"/>
  <c r="AC32" i="2"/>
  <c r="AB32" i="2"/>
  <c r="AC31" i="2"/>
  <c r="AB31" i="2"/>
  <c r="AC30" i="2"/>
  <c r="AB30" i="2"/>
  <c r="AC29" i="2"/>
  <c r="AB29" i="2"/>
  <c r="AC28" i="2"/>
  <c r="AB28" i="2"/>
  <c r="AC27" i="2"/>
  <c r="AB27" i="2"/>
  <c r="AB26" i="2"/>
  <c r="AC26" i="2"/>
  <c r="AC25" i="2"/>
  <c r="AB25" i="2"/>
  <c r="AC24" i="2"/>
  <c r="AB24" i="2"/>
  <c r="AB23" i="2"/>
  <c r="AC23" i="2"/>
  <c r="AC22" i="2"/>
  <c r="AB22" i="2"/>
  <c r="AC21" i="2"/>
  <c r="AB21" i="2"/>
  <c r="AC20" i="2"/>
  <c r="AB20" i="2"/>
  <c r="AC19" i="2"/>
  <c r="AB19" i="2"/>
  <c r="AB18" i="2"/>
  <c r="AC18" i="2"/>
  <c r="AB17" i="2"/>
  <c r="AC17" i="2"/>
  <c r="AC16" i="2"/>
  <c r="AB16" i="2"/>
  <c r="AB15" i="2"/>
  <c r="AC15" i="2"/>
  <c r="AB14" i="2"/>
  <c r="AC14" i="2"/>
  <c r="AC13" i="2"/>
  <c r="AB13" i="2"/>
  <c r="AC12" i="2"/>
  <c r="AB12" i="2"/>
  <c r="AC11" i="2"/>
  <c r="AB11" i="2"/>
  <c r="AC10" i="2"/>
  <c r="AB10" i="2"/>
  <c r="AC9" i="2"/>
  <c r="AB9" i="2"/>
  <c r="AC8" i="2"/>
  <c r="AB8" i="2"/>
  <c r="AC7" i="2"/>
  <c r="AB7" i="2"/>
  <c r="AC6" i="2"/>
  <c r="AB6" i="2"/>
  <c r="AC5" i="2"/>
  <c r="AB5" i="2"/>
  <c r="AC4" i="2"/>
  <c r="AB4" i="2"/>
  <c r="AC3" i="2"/>
  <c r="AB3" i="2"/>
  <c r="AC2" i="2"/>
  <c r="AB2" i="2"/>
  <c r="B10" i="1" l="1"/>
</calcChain>
</file>

<file path=xl/sharedStrings.xml><?xml version="1.0" encoding="utf-8"?>
<sst xmlns="http://schemas.openxmlformats.org/spreadsheetml/2006/main" count="16888" uniqueCount="1731">
  <si>
    <t>FUTZAV | Poultry Sales Analysis</t>
  </si>
  <si>
    <t>Metric</t>
  </si>
  <si>
    <t>Value</t>
  </si>
  <si>
    <t>Sales channel</t>
  </si>
  <si>
    <t>Orders</t>
  </si>
  <si>
    <t>Order share</t>
  </si>
  <si>
    <t>WhatsApp</t>
  </si>
  <si>
    <t>Chicks ordered</t>
  </si>
  <si>
    <t>Phone Call</t>
  </si>
  <si>
    <t>Revenue (NGN)</t>
  </si>
  <si>
    <t>Reseller</t>
  </si>
  <si>
    <t>Net profit (NGN)</t>
  </si>
  <si>
    <t>Referral</t>
  </si>
  <si>
    <t>Net profit source field (NGN)</t>
  </si>
  <si>
    <t>Social Media</t>
  </si>
  <si>
    <t>Profit reconciliation (NGN)</t>
  </si>
  <si>
    <t>Walk-in</t>
  </si>
  <si>
    <t>Product volume</t>
  </si>
  <si>
    <t>Share of total</t>
  </si>
  <si>
    <t>Region</t>
  </si>
  <si>
    <t>Order count</t>
  </si>
  <si>
    <t>Broiler DOC</t>
  </si>
  <si>
    <t>South West</t>
  </si>
  <si>
    <t>Pullet DOC</t>
  </si>
  <si>
    <t>South East</t>
  </si>
  <si>
    <t>Noiler DOC</t>
  </si>
  <si>
    <t>North Central</t>
  </si>
  <si>
    <t>Cockerel DOC</t>
  </si>
  <si>
    <t>North West</t>
  </si>
  <si>
    <t>Turkey Poults</t>
  </si>
  <si>
    <t>South South</t>
  </si>
  <si>
    <t>North East</t>
  </si>
  <si>
    <t>Order_ID</t>
  </si>
  <si>
    <t>Delivery_Date</t>
  </si>
  <si>
    <t>Product_Type</t>
  </si>
  <si>
    <t>Quantity_Ordered</t>
  </si>
  <si>
    <t>Unit_Selling_Price_NGN</t>
  </si>
  <si>
    <t>Discount_Percent</t>
  </si>
  <si>
    <t>Revenue_NGN</t>
  </si>
  <si>
    <t>Supplier</t>
  </si>
  <si>
    <t>Unit_Purchase_Cost_NGN</t>
  </si>
  <si>
    <t>Procurement_Cost_NGN</t>
  </si>
  <si>
    <t>Transport_Cost_NGN</t>
  </si>
  <si>
    <t>Handling_Cost_NGN</t>
  </si>
  <si>
    <t>Other_Cost_NGN</t>
  </si>
  <si>
    <t>Total_Cost_NGN</t>
  </si>
  <si>
    <t>Gross_Profit_NGN</t>
  </si>
  <si>
    <t>Net_Profit_NGN</t>
  </si>
  <si>
    <t>Payment_Status</t>
  </si>
  <si>
    <t>Payment_Received_NGN</t>
  </si>
  <si>
    <t>Balance_Due_NGN</t>
  </si>
  <si>
    <t>Delivery_Status</t>
  </si>
  <si>
    <t>Sales_Channel</t>
  </si>
  <si>
    <t>Customer_Type</t>
  </si>
  <si>
    <t>State</t>
  </si>
  <si>
    <t>Estimated_Mortality_Percent</t>
  </si>
  <si>
    <t>Computed_Net_Profit_NGN</t>
  </si>
  <si>
    <t>Profit_Margin_Percent</t>
  </si>
  <si>
    <t>Net_Profit_Reconciliation_NGN</t>
  </si>
  <si>
    <t>Order_Year</t>
  </si>
  <si>
    <t>Order_Month_Number</t>
  </si>
  <si>
    <t>Order_Month</t>
  </si>
  <si>
    <t>Order_YearMonth</t>
  </si>
  <si>
    <t>FZ00001</t>
  </si>
  <si>
    <t>Supplier C</t>
  </si>
  <si>
    <t>Paid</t>
  </si>
  <si>
    <t>Delivered</t>
  </si>
  <si>
    <t>Commercial Farm</t>
  </si>
  <si>
    <t>Gombe</t>
  </si>
  <si>
    <t>July</t>
  </si>
  <si>
    <t>2024-07</t>
  </si>
  <si>
    <t>FZ00002</t>
  </si>
  <si>
    <t>Supplier A</t>
  </si>
  <si>
    <t>Collected</t>
  </si>
  <si>
    <t>Smallholder Farmer</t>
  </si>
  <si>
    <t>Kaduna</t>
  </si>
  <si>
    <t>May</t>
  </si>
  <si>
    <t>2024-05</t>
  </si>
  <si>
    <t>FZ00003</t>
  </si>
  <si>
    <t>Supplier B</t>
  </si>
  <si>
    <t>Agro-dealer</t>
  </si>
  <si>
    <t>Enugu</t>
  </si>
  <si>
    <t>August</t>
  </si>
  <si>
    <t>2024-08</t>
  </si>
  <si>
    <t>FZ00004</t>
  </si>
  <si>
    <t>Part-paid</t>
  </si>
  <si>
    <t>Delta</t>
  </si>
  <si>
    <t>2025-08</t>
  </si>
  <si>
    <t>FZ00005</t>
  </si>
  <si>
    <t>Jigawa</t>
  </si>
  <si>
    <t>FZ00006</t>
  </si>
  <si>
    <t>Pending</t>
  </si>
  <si>
    <t>Distributor</t>
  </si>
  <si>
    <t>Kogi</t>
  </si>
  <si>
    <t>2025-05</t>
  </si>
  <si>
    <t>FZ00007</t>
  </si>
  <si>
    <t>Supplier D</t>
  </si>
  <si>
    <t>Ebonyi</t>
  </si>
  <si>
    <t>December</t>
  </si>
  <si>
    <t>2024-12</t>
  </si>
  <si>
    <t>FZ00008</t>
  </si>
  <si>
    <t>Ekiti</t>
  </si>
  <si>
    <t>January</t>
  </si>
  <si>
    <t>2024-01</t>
  </si>
  <si>
    <t>FZ00009</t>
  </si>
  <si>
    <t>March</t>
  </si>
  <si>
    <t>2025-03</t>
  </si>
  <si>
    <t>FZ00010</t>
  </si>
  <si>
    <t>Oyo</t>
  </si>
  <si>
    <t>FZ00011</t>
  </si>
  <si>
    <t>Katsina</t>
  </si>
  <si>
    <t>June</t>
  </si>
  <si>
    <t>2025-06</t>
  </si>
  <si>
    <t>FZ00012</t>
  </si>
  <si>
    <t>FZ00013</t>
  </si>
  <si>
    <t>Lagos</t>
  </si>
  <si>
    <t>FZ00014</t>
  </si>
  <si>
    <t>Cancelled</t>
  </si>
  <si>
    <t>2025-01</t>
  </si>
  <si>
    <t>FZ00015</t>
  </si>
  <si>
    <t>2024-03</t>
  </si>
  <si>
    <t>FZ00016</t>
  </si>
  <si>
    <t>FZ00017</t>
  </si>
  <si>
    <t>Ogun</t>
  </si>
  <si>
    <t>FZ00018</t>
  </si>
  <si>
    <t>Anambra</t>
  </si>
  <si>
    <t>FZ00019</t>
  </si>
  <si>
    <t>Osun</t>
  </si>
  <si>
    <t>November</t>
  </si>
  <si>
    <t>2024-11</t>
  </si>
  <si>
    <t>FZ00020</t>
  </si>
  <si>
    <t>September</t>
  </si>
  <si>
    <t>2025-09</t>
  </si>
  <si>
    <t>FZ00021</t>
  </si>
  <si>
    <t>Unpaid</t>
  </si>
  <si>
    <t>2025-11</t>
  </si>
  <si>
    <t>FZ00022</t>
  </si>
  <si>
    <t>FZ00023</t>
  </si>
  <si>
    <t>October</t>
  </si>
  <si>
    <t>2024-10</t>
  </si>
  <si>
    <t>FZ00024</t>
  </si>
  <si>
    <t>New Customer</t>
  </si>
  <si>
    <t>Kebbi</t>
  </si>
  <si>
    <t>FZ00025</t>
  </si>
  <si>
    <t>FZ00026</t>
  </si>
  <si>
    <t>Bayelsa</t>
  </si>
  <si>
    <t>FZ00027</t>
  </si>
  <si>
    <t>Sokoto</t>
  </si>
  <si>
    <t>2024-06</t>
  </si>
  <si>
    <t>FZ00028</t>
  </si>
  <si>
    <t>Edo</t>
  </si>
  <si>
    <t>2025-07</t>
  </si>
  <si>
    <t>FZ00029</t>
  </si>
  <si>
    <t>FZ00030</t>
  </si>
  <si>
    <t>April</t>
  </si>
  <si>
    <t>2025-04</t>
  </si>
  <si>
    <t>FZ00031</t>
  </si>
  <si>
    <t>2024-04</t>
  </si>
  <si>
    <t>FZ00032</t>
  </si>
  <si>
    <t>Rivers</t>
  </si>
  <si>
    <t>2025-10</t>
  </si>
  <si>
    <t>FZ00033</t>
  </si>
  <si>
    <t>Kwara</t>
  </si>
  <si>
    <t>FZ00034</t>
  </si>
  <si>
    <t>Imo</t>
  </si>
  <si>
    <t>FZ00035</t>
  </si>
  <si>
    <t>FZ00036</t>
  </si>
  <si>
    <t>Bauchi</t>
  </si>
  <si>
    <t>2025-12</t>
  </si>
  <si>
    <t>FZ00037</t>
  </si>
  <si>
    <t>FZ00038</t>
  </si>
  <si>
    <t>FZ00039</t>
  </si>
  <si>
    <t>February</t>
  </si>
  <si>
    <t>2024-02</t>
  </si>
  <si>
    <t>FZ00040</t>
  </si>
  <si>
    <t>FZ00041</t>
  </si>
  <si>
    <t>Ondo</t>
  </si>
  <si>
    <t>FZ00042</t>
  </si>
  <si>
    <t>FZ00043</t>
  </si>
  <si>
    <t>FZ00044</t>
  </si>
  <si>
    <t>FZ00045</t>
  </si>
  <si>
    <t>FZ00046</t>
  </si>
  <si>
    <t>Niger</t>
  </si>
  <si>
    <t>FZ00047</t>
  </si>
  <si>
    <t>FZ00048</t>
  </si>
  <si>
    <t>Adamawa</t>
  </si>
  <si>
    <t>FZ00049</t>
  </si>
  <si>
    <t>FZ00050</t>
  </si>
  <si>
    <t>2024-09</t>
  </si>
  <si>
    <t>FZ00051</t>
  </si>
  <si>
    <t>FZ00052</t>
  </si>
  <si>
    <t>FZ00053</t>
  </si>
  <si>
    <t>FZ00054</t>
  </si>
  <si>
    <t>Akwa Ibom</t>
  </si>
  <si>
    <t>FZ00055</t>
  </si>
  <si>
    <t>FCT Abuja</t>
  </si>
  <si>
    <t>FZ00056</t>
  </si>
  <si>
    <t>FZ00057</t>
  </si>
  <si>
    <t>FZ00058</t>
  </si>
  <si>
    <t>FZ00059</t>
  </si>
  <si>
    <t>FZ00060</t>
  </si>
  <si>
    <t>FZ00061</t>
  </si>
  <si>
    <t>FZ00062</t>
  </si>
  <si>
    <t>FZ00063</t>
  </si>
  <si>
    <t>FZ00064</t>
  </si>
  <si>
    <t>Abia</t>
  </si>
  <si>
    <t>FZ00065</t>
  </si>
  <si>
    <t>FZ00066</t>
  </si>
  <si>
    <t>Plateau</t>
  </si>
  <si>
    <t>FZ00067</t>
  </si>
  <si>
    <t>FZ00068</t>
  </si>
  <si>
    <t>FZ00069</t>
  </si>
  <si>
    <t>FZ00070</t>
  </si>
  <si>
    <t>FZ00071</t>
  </si>
  <si>
    <t>FZ00072</t>
  </si>
  <si>
    <t>FZ00073</t>
  </si>
  <si>
    <t>FZ00074</t>
  </si>
  <si>
    <t>FZ00075</t>
  </si>
  <si>
    <t>FZ00076</t>
  </si>
  <si>
    <t>FZ00077</t>
  </si>
  <si>
    <t>FZ00078</t>
  </si>
  <si>
    <t>FZ00079</t>
  </si>
  <si>
    <t>FZ00080</t>
  </si>
  <si>
    <t>FZ00081</t>
  </si>
  <si>
    <t>Borno</t>
  </si>
  <si>
    <t>FZ00082</t>
  </si>
  <si>
    <t>FZ00083</t>
  </si>
  <si>
    <t>FZ00084</t>
  </si>
  <si>
    <t>FZ00085</t>
  </si>
  <si>
    <t>FZ00086</t>
  </si>
  <si>
    <t>Taraba</t>
  </si>
  <si>
    <t>FZ00087</t>
  </si>
  <si>
    <t>2023-12</t>
  </si>
  <si>
    <t>FZ00088</t>
  </si>
  <si>
    <t>FZ00089</t>
  </si>
  <si>
    <t>FZ00090</t>
  </si>
  <si>
    <t>FZ00091</t>
  </si>
  <si>
    <t>FZ00092</t>
  </si>
  <si>
    <t>FZ00093</t>
  </si>
  <si>
    <t>Zamfara</t>
  </si>
  <si>
    <t>FZ00094</t>
  </si>
  <si>
    <t>FZ00095</t>
  </si>
  <si>
    <t>FZ00096</t>
  </si>
  <si>
    <t>FZ00097</t>
  </si>
  <si>
    <t>2025-02</t>
  </si>
  <si>
    <t>FZ00098</t>
  </si>
  <si>
    <t>FZ00099</t>
  </si>
  <si>
    <t>FZ00100</t>
  </si>
  <si>
    <t>FZ00101</t>
  </si>
  <si>
    <t>FZ00102</t>
  </si>
  <si>
    <t>FZ00103</t>
  </si>
  <si>
    <t>FZ00104</t>
  </si>
  <si>
    <t>FZ00105</t>
  </si>
  <si>
    <t>FZ00106</t>
  </si>
  <si>
    <t>FZ00107</t>
  </si>
  <si>
    <t>FZ00108</t>
  </si>
  <si>
    <t>FZ00109</t>
  </si>
  <si>
    <t>FZ00110</t>
  </si>
  <si>
    <t>FZ00111</t>
  </si>
  <si>
    <t>FZ00112</t>
  </si>
  <si>
    <t>FZ00113</t>
  </si>
  <si>
    <t>FZ00114</t>
  </si>
  <si>
    <t>FZ00115</t>
  </si>
  <si>
    <t>FZ00116</t>
  </si>
  <si>
    <t>FZ00117</t>
  </si>
  <si>
    <t>FZ00118</t>
  </si>
  <si>
    <t>FZ00119</t>
  </si>
  <si>
    <t>FZ00120</t>
  </si>
  <si>
    <t>FZ00121</t>
  </si>
  <si>
    <t>FZ00122</t>
  </si>
  <si>
    <t>FZ00123</t>
  </si>
  <si>
    <t>FZ00124</t>
  </si>
  <si>
    <t>FZ00125</t>
  </si>
  <si>
    <t>FZ00126</t>
  </si>
  <si>
    <t>FZ00127</t>
  </si>
  <si>
    <t>Yobe</t>
  </si>
  <si>
    <t>FZ00128</t>
  </si>
  <si>
    <t>FZ00129</t>
  </si>
  <si>
    <t>FZ00130</t>
  </si>
  <si>
    <t>FZ00131</t>
  </si>
  <si>
    <t>FZ00132</t>
  </si>
  <si>
    <t>FZ00133</t>
  </si>
  <si>
    <t>FZ00134</t>
  </si>
  <si>
    <t>FZ00135</t>
  </si>
  <si>
    <t>FZ00136</t>
  </si>
  <si>
    <t>Kano</t>
  </si>
  <si>
    <t>FZ00137</t>
  </si>
  <si>
    <t>FZ00138</t>
  </si>
  <si>
    <t>FZ00139</t>
  </si>
  <si>
    <t>FZ00140</t>
  </si>
  <si>
    <t>FZ00141</t>
  </si>
  <si>
    <t>FZ00142</t>
  </si>
  <si>
    <t>FZ00143</t>
  </si>
  <si>
    <t>FZ00144</t>
  </si>
  <si>
    <t>FZ00145</t>
  </si>
  <si>
    <t>FZ00146</t>
  </si>
  <si>
    <t>FZ00147</t>
  </si>
  <si>
    <t>FZ00148</t>
  </si>
  <si>
    <t>FZ00149</t>
  </si>
  <si>
    <t>FZ00150</t>
  </si>
  <si>
    <t>FZ00151</t>
  </si>
  <si>
    <t>FZ00152</t>
  </si>
  <si>
    <t>FZ00153</t>
  </si>
  <si>
    <t>FZ00154</t>
  </si>
  <si>
    <t>FZ00155</t>
  </si>
  <si>
    <t>FZ00156</t>
  </si>
  <si>
    <t>FZ00157</t>
  </si>
  <si>
    <t>FZ00158</t>
  </si>
  <si>
    <t>FZ00159</t>
  </si>
  <si>
    <t>FZ00160</t>
  </si>
  <si>
    <t>FZ00161</t>
  </si>
  <si>
    <t>FZ00162</t>
  </si>
  <si>
    <t>FZ00163</t>
  </si>
  <si>
    <t>FZ00164</t>
  </si>
  <si>
    <t>FZ00165</t>
  </si>
  <si>
    <t>FZ00166</t>
  </si>
  <si>
    <t>FZ00167</t>
  </si>
  <si>
    <t>FZ00168</t>
  </si>
  <si>
    <t>FZ00169</t>
  </si>
  <si>
    <t>FZ00170</t>
  </si>
  <si>
    <t>FZ00171</t>
  </si>
  <si>
    <t>FZ00172</t>
  </si>
  <si>
    <t>FZ00173</t>
  </si>
  <si>
    <t>FZ00174</t>
  </si>
  <si>
    <t>FZ00175</t>
  </si>
  <si>
    <t>FZ00176</t>
  </si>
  <si>
    <t>FZ00177</t>
  </si>
  <si>
    <t>Nasarawa</t>
  </si>
  <si>
    <t>FZ00178</t>
  </si>
  <si>
    <t>FZ00179</t>
  </si>
  <si>
    <t>FZ00180</t>
  </si>
  <si>
    <t>FZ00181</t>
  </si>
  <si>
    <t>FZ00182</t>
  </si>
  <si>
    <t>FZ00183</t>
  </si>
  <si>
    <t>FZ00184</t>
  </si>
  <si>
    <t>FZ00185</t>
  </si>
  <si>
    <t>FZ00186</t>
  </si>
  <si>
    <t>FZ00187</t>
  </si>
  <si>
    <t>FZ00188</t>
  </si>
  <si>
    <t>FZ00189</t>
  </si>
  <si>
    <t>FZ00190</t>
  </si>
  <si>
    <t>FZ00191</t>
  </si>
  <si>
    <t>FZ00192</t>
  </si>
  <si>
    <t>FZ00193</t>
  </si>
  <si>
    <t>FZ00194</t>
  </si>
  <si>
    <t>FZ00195</t>
  </si>
  <si>
    <t>FZ00196</t>
  </si>
  <si>
    <t>FZ00197</t>
  </si>
  <si>
    <t>FZ00198</t>
  </si>
  <si>
    <t>FZ00199</t>
  </si>
  <si>
    <t>FZ00200</t>
  </si>
  <si>
    <t>FZ00201</t>
  </si>
  <si>
    <t>FZ00202</t>
  </si>
  <si>
    <t>FZ00203</t>
  </si>
  <si>
    <t>FZ00204</t>
  </si>
  <si>
    <t>FZ00205</t>
  </si>
  <si>
    <t>FZ00206</t>
  </si>
  <si>
    <t>FZ00207</t>
  </si>
  <si>
    <t>FZ00208</t>
  </si>
  <si>
    <t>FZ00209</t>
  </si>
  <si>
    <t>FZ00210</t>
  </si>
  <si>
    <t>FZ00211</t>
  </si>
  <si>
    <t>FZ00212</t>
  </si>
  <si>
    <t>FZ00213</t>
  </si>
  <si>
    <t>FZ00214</t>
  </si>
  <si>
    <t>FZ00215</t>
  </si>
  <si>
    <t>FZ00216</t>
  </si>
  <si>
    <t>FZ00217</t>
  </si>
  <si>
    <t>FZ00218</t>
  </si>
  <si>
    <t>FZ00219</t>
  </si>
  <si>
    <t>FZ00220</t>
  </si>
  <si>
    <t>Benue</t>
  </si>
  <si>
    <t>FZ00221</t>
  </si>
  <si>
    <t>FZ00222</t>
  </si>
  <si>
    <t>FZ00223</t>
  </si>
  <si>
    <t>Cross River</t>
  </si>
  <si>
    <t>FZ00224</t>
  </si>
  <si>
    <t>FZ00225</t>
  </si>
  <si>
    <t>FZ00226</t>
  </si>
  <si>
    <t>FZ00227</t>
  </si>
  <si>
    <t>FZ00228</t>
  </si>
  <si>
    <t>FZ00229</t>
  </si>
  <si>
    <t>FZ00230</t>
  </si>
  <si>
    <t>FZ00231</t>
  </si>
  <si>
    <t>FZ00232</t>
  </si>
  <si>
    <t>FZ00233</t>
  </si>
  <si>
    <t>FZ00234</t>
  </si>
  <si>
    <t>FZ00235</t>
  </si>
  <si>
    <t>FZ00236</t>
  </si>
  <si>
    <t>FZ00237</t>
  </si>
  <si>
    <t>FZ00238</t>
  </si>
  <si>
    <t>FZ00239</t>
  </si>
  <si>
    <t>FZ00240</t>
  </si>
  <si>
    <t>FZ00241</t>
  </si>
  <si>
    <t>FZ00242</t>
  </si>
  <si>
    <t>FZ00243</t>
  </si>
  <si>
    <t>FZ00244</t>
  </si>
  <si>
    <t>FZ00245</t>
  </si>
  <si>
    <t>FZ00246</t>
  </si>
  <si>
    <t>FZ00247</t>
  </si>
  <si>
    <t>FZ00248</t>
  </si>
  <si>
    <t>FZ00249</t>
  </si>
  <si>
    <t>FZ00250</t>
  </si>
  <si>
    <t>FZ00251</t>
  </si>
  <si>
    <t>FZ00252</t>
  </si>
  <si>
    <t>FZ00253</t>
  </si>
  <si>
    <t>FZ00254</t>
  </si>
  <si>
    <t>FZ00255</t>
  </si>
  <si>
    <t>FZ00256</t>
  </si>
  <si>
    <t>FZ00257</t>
  </si>
  <si>
    <t>FZ00258</t>
  </si>
  <si>
    <t>FZ00259</t>
  </si>
  <si>
    <t>FZ00260</t>
  </si>
  <si>
    <t>FZ00261</t>
  </si>
  <si>
    <t>FZ00262</t>
  </si>
  <si>
    <t>FZ00263</t>
  </si>
  <si>
    <t>FZ00264</t>
  </si>
  <si>
    <t>FZ00265</t>
  </si>
  <si>
    <t>FZ00266</t>
  </si>
  <si>
    <t>FZ00267</t>
  </si>
  <si>
    <t>FZ00268</t>
  </si>
  <si>
    <t>FZ00269</t>
  </si>
  <si>
    <t>FZ00270</t>
  </si>
  <si>
    <t>FZ00271</t>
  </si>
  <si>
    <t>FZ00272</t>
  </si>
  <si>
    <t>FZ00273</t>
  </si>
  <si>
    <t>FZ00274</t>
  </si>
  <si>
    <t>FZ00275</t>
  </si>
  <si>
    <t>FZ00276</t>
  </si>
  <si>
    <t>FZ00277</t>
  </si>
  <si>
    <t>FZ00278</t>
  </si>
  <si>
    <t>FZ00279</t>
  </si>
  <si>
    <t>FZ00280</t>
  </si>
  <si>
    <t>FZ00281</t>
  </si>
  <si>
    <t>FZ00282</t>
  </si>
  <si>
    <t>FZ00283</t>
  </si>
  <si>
    <t>FZ00284</t>
  </si>
  <si>
    <t>FZ00285</t>
  </si>
  <si>
    <t>FZ00286</t>
  </si>
  <si>
    <t>FZ00287</t>
  </si>
  <si>
    <t>FZ00288</t>
  </si>
  <si>
    <t>FZ00289</t>
  </si>
  <si>
    <t>FZ00290</t>
  </si>
  <si>
    <t>FZ00291</t>
  </si>
  <si>
    <t>FZ00292</t>
  </si>
  <si>
    <t>FZ00293</t>
  </si>
  <si>
    <t>FZ00294</t>
  </si>
  <si>
    <t>FZ00295</t>
  </si>
  <si>
    <t>FZ00296</t>
  </si>
  <si>
    <t>FZ00297</t>
  </si>
  <si>
    <t>FZ00298</t>
  </si>
  <si>
    <t>FZ00299</t>
  </si>
  <si>
    <t>FZ00300</t>
  </si>
  <si>
    <t>FZ00301</t>
  </si>
  <si>
    <t>FZ00302</t>
  </si>
  <si>
    <t>FZ00303</t>
  </si>
  <si>
    <t>FZ00304</t>
  </si>
  <si>
    <t>FZ00305</t>
  </si>
  <si>
    <t>FZ00306</t>
  </si>
  <si>
    <t>FZ00307</t>
  </si>
  <si>
    <t>FZ00308</t>
  </si>
  <si>
    <t>FZ00309</t>
  </si>
  <si>
    <t>FZ00310</t>
  </si>
  <si>
    <t>FZ00311</t>
  </si>
  <si>
    <t>FZ00312</t>
  </si>
  <si>
    <t>FZ00313</t>
  </si>
  <si>
    <t>FZ00314</t>
  </si>
  <si>
    <t>FZ00315</t>
  </si>
  <si>
    <t>FZ00316</t>
  </si>
  <si>
    <t>FZ00317</t>
  </si>
  <si>
    <t>FZ00318</t>
  </si>
  <si>
    <t>FZ00319</t>
  </si>
  <si>
    <t>FZ00320</t>
  </si>
  <si>
    <t>FZ00321</t>
  </si>
  <si>
    <t>FZ00322</t>
  </si>
  <si>
    <t>FZ00323</t>
  </si>
  <si>
    <t>FZ00324</t>
  </si>
  <si>
    <t>FZ00325</t>
  </si>
  <si>
    <t>FZ00326</t>
  </si>
  <si>
    <t>FZ00327</t>
  </si>
  <si>
    <t>FZ00328</t>
  </si>
  <si>
    <t>FZ00329</t>
  </si>
  <si>
    <t>FZ00330</t>
  </si>
  <si>
    <t>FZ00331</t>
  </si>
  <si>
    <t>FZ00332</t>
  </si>
  <si>
    <t>FZ00333</t>
  </si>
  <si>
    <t>FZ00334</t>
  </si>
  <si>
    <t>FZ00335</t>
  </si>
  <si>
    <t>FZ00336</t>
  </si>
  <si>
    <t>FZ00337</t>
  </si>
  <si>
    <t>FZ00338</t>
  </si>
  <si>
    <t>FZ00339</t>
  </si>
  <si>
    <t>FZ00340</t>
  </si>
  <si>
    <t>FZ00341</t>
  </si>
  <si>
    <t>FZ00342</t>
  </si>
  <si>
    <t>FZ00343</t>
  </si>
  <si>
    <t>FZ00344</t>
  </si>
  <si>
    <t>FZ00345</t>
  </si>
  <si>
    <t>FZ00346</t>
  </si>
  <si>
    <t>FZ00347</t>
  </si>
  <si>
    <t>FZ00348</t>
  </si>
  <si>
    <t>FZ00349</t>
  </si>
  <si>
    <t>FZ00350</t>
  </si>
  <si>
    <t>FZ00351</t>
  </si>
  <si>
    <t>FZ00352</t>
  </si>
  <si>
    <t>FZ00353</t>
  </si>
  <si>
    <t>FZ00354</t>
  </si>
  <si>
    <t>FZ00355</t>
  </si>
  <si>
    <t>FZ00356</t>
  </si>
  <si>
    <t>FZ00357</t>
  </si>
  <si>
    <t>FZ00358</t>
  </si>
  <si>
    <t>FZ00359</t>
  </si>
  <si>
    <t>FZ00360</t>
  </si>
  <si>
    <t>FZ00361</t>
  </si>
  <si>
    <t>FZ00362</t>
  </si>
  <si>
    <t>FZ00363</t>
  </si>
  <si>
    <t>FZ00364</t>
  </si>
  <si>
    <t>FZ00365</t>
  </si>
  <si>
    <t>FZ00366</t>
  </si>
  <si>
    <t>FZ00367</t>
  </si>
  <si>
    <t>FZ00368</t>
  </si>
  <si>
    <t>FZ00369</t>
  </si>
  <si>
    <t>FZ00370</t>
  </si>
  <si>
    <t>FZ00371</t>
  </si>
  <si>
    <t>FZ00372</t>
  </si>
  <si>
    <t>FZ00373</t>
  </si>
  <si>
    <t>FZ00374</t>
  </si>
  <si>
    <t>FZ00375</t>
  </si>
  <si>
    <t>FZ00376</t>
  </si>
  <si>
    <t>FZ00377</t>
  </si>
  <si>
    <t>FZ00378</t>
  </si>
  <si>
    <t>FZ00379</t>
  </si>
  <si>
    <t>FZ00380</t>
  </si>
  <si>
    <t>FZ00381</t>
  </si>
  <si>
    <t>FZ00382</t>
  </si>
  <si>
    <t>FZ00383</t>
  </si>
  <si>
    <t>FZ00384</t>
  </si>
  <si>
    <t>FZ00385</t>
  </si>
  <si>
    <t>FZ00386</t>
  </si>
  <si>
    <t>FZ00387</t>
  </si>
  <si>
    <t>FZ00388</t>
  </si>
  <si>
    <t>FZ00389</t>
  </si>
  <si>
    <t>FZ00390</t>
  </si>
  <si>
    <t>FZ00391</t>
  </si>
  <si>
    <t>FZ00392</t>
  </si>
  <si>
    <t>FZ00393</t>
  </si>
  <si>
    <t>FZ00394</t>
  </si>
  <si>
    <t>FZ00395</t>
  </si>
  <si>
    <t>FZ00396</t>
  </si>
  <si>
    <t>FZ00397</t>
  </si>
  <si>
    <t>FZ00398</t>
  </si>
  <si>
    <t>FZ00399</t>
  </si>
  <si>
    <t>FZ00400</t>
  </si>
  <si>
    <t>FZ00401</t>
  </si>
  <si>
    <t>FZ00402</t>
  </si>
  <si>
    <t>FZ00403</t>
  </si>
  <si>
    <t>FZ00404</t>
  </si>
  <si>
    <t>FZ00405</t>
  </si>
  <si>
    <t>FZ00406</t>
  </si>
  <si>
    <t>FZ00407</t>
  </si>
  <si>
    <t>FZ00408</t>
  </si>
  <si>
    <t>FZ00409</t>
  </si>
  <si>
    <t>FZ00410</t>
  </si>
  <si>
    <t>FZ00411</t>
  </si>
  <si>
    <t>FZ00412</t>
  </si>
  <si>
    <t>FZ00413</t>
  </si>
  <si>
    <t>FZ00414</t>
  </si>
  <si>
    <t>FZ00415</t>
  </si>
  <si>
    <t>FZ00416</t>
  </si>
  <si>
    <t>FZ00417</t>
  </si>
  <si>
    <t>FZ00418</t>
  </si>
  <si>
    <t>FZ00419</t>
  </si>
  <si>
    <t>FZ00420</t>
  </si>
  <si>
    <t>FZ00421</t>
  </si>
  <si>
    <t>FZ00422</t>
  </si>
  <si>
    <t>FZ00423</t>
  </si>
  <si>
    <t>FZ00424</t>
  </si>
  <si>
    <t>FZ00425</t>
  </si>
  <si>
    <t>FZ00426</t>
  </si>
  <si>
    <t>FZ00427</t>
  </si>
  <si>
    <t>FZ00428</t>
  </si>
  <si>
    <t>FZ00429</t>
  </si>
  <si>
    <t>FZ00430</t>
  </si>
  <si>
    <t>FZ00431</t>
  </si>
  <si>
    <t>FZ00432</t>
  </si>
  <si>
    <t>FZ00433</t>
  </si>
  <si>
    <t>FZ00434</t>
  </si>
  <si>
    <t>FZ00435</t>
  </si>
  <si>
    <t>FZ00436</t>
  </si>
  <si>
    <t>FZ00437</t>
  </si>
  <si>
    <t>FZ00438</t>
  </si>
  <si>
    <t>FZ00439</t>
  </si>
  <si>
    <t>FZ00440</t>
  </si>
  <si>
    <t>FZ00441</t>
  </si>
  <si>
    <t>FZ00442</t>
  </si>
  <si>
    <t>FZ00443</t>
  </si>
  <si>
    <t>FZ00444</t>
  </si>
  <si>
    <t>FZ00445</t>
  </si>
  <si>
    <t>FZ00446</t>
  </si>
  <si>
    <t>FZ00447</t>
  </si>
  <si>
    <t>FZ00448</t>
  </si>
  <si>
    <t>FZ00449</t>
  </si>
  <si>
    <t>FZ00450</t>
  </si>
  <si>
    <t>FZ00451</t>
  </si>
  <si>
    <t>FZ00452</t>
  </si>
  <si>
    <t>FZ00453</t>
  </si>
  <si>
    <t>FZ00454</t>
  </si>
  <si>
    <t>FZ00455</t>
  </si>
  <si>
    <t>FZ00456</t>
  </si>
  <si>
    <t>FZ00457</t>
  </si>
  <si>
    <t>FZ00458</t>
  </si>
  <si>
    <t>FZ00459</t>
  </si>
  <si>
    <t>FZ00460</t>
  </si>
  <si>
    <t>FZ00461</t>
  </si>
  <si>
    <t>FZ00462</t>
  </si>
  <si>
    <t>FZ00463</t>
  </si>
  <si>
    <t>FZ00464</t>
  </si>
  <si>
    <t>FZ00465</t>
  </si>
  <si>
    <t>FZ00466</t>
  </si>
  <si>
    <t>FZ00467</t>
  </si>
  <si>
    <t>FZ00468</t>
  </si>
  <si>
    <t>FZ00469</t>
  </si>
  <si>
    <t>FZ00470</t>
  </si>
  <si>
    <t>FZ00471</t>
  </si>
  <si>
    <t>FZ00472</t>
  </si>
  <si>
    <t>FZ00473</t>
  </si>
  <si>
    <t>FZ00474</t>
  </si>
  <si>
    <t>FZ00475</t>
  </si>
  <si>
    <t>FZ00476</t>
  </si>
  <si>
    <t>FZ00477</t>
  </si>
  <si>
    <t>FZ00478</t>
  </si>
  <si>
    <t>FZ00479</t>
  </si>
  <si>
    <t>FZ00480</t>
  </si>
  <si>
    <t>FZ00481</t>
  </si>
  <si>
    <t>FZ00482</t>
  </si>
  <si>
    <t>FZ00483</t>
  </si>
  <si>
    <t>FZ00484</t>
  </si>
  <si>
    <t>FZ00485</t>
  </si>
  <si>
    <t>FZ00486</t>
  </si>
  <si>
    <t>FZ00487</t>
  </si>
  <si>
    <t>FZ00488</t>
  </si>
  <si>
    <t>FZ00489</t>
  </si>
  <si>
    <t>FZ00490</t>
  </si>
  <si>
    <t>FZ00491</t>
  </si>
  <si>
    <t>FZ00492</t>
  </si>
  <si>
    <t>FZ00493</t>
  </si>
  <si>
    <t>FZ00494</t>
  </si>
  <si>
    <t>FZ00495</t>
  </si>
  <si>
    <t>FZ00496</t>
  </si>
  <si>
    <t>FZ00497</t>
  </si>
  <si>
    <t>FZ00498</t>
  </si>
  <si>
    <t>FZ00499</t>
  </si>
  <si>
    <t>FZ00500</t>
  </si>
  <si>
    <t>FZ00501</t>
  </si>
  <si>
    <t>FZ00502</t>
  </si>
  <si>
    <t>FZ00503</t>
  </si>
  <si>
    <t>FZ00504</t>
  </si>
  <si>
    <t>FZ00505</t>
  </si>
  <si>
    <t>FZ00506</t>
  </si>
  <si>
    <t>FZ00507</t>
  </si>
  <si>
    <t>FZ00508</t>
  </si>
  <si>
    <t>FZ00509</t>
  </si>
  <si>
    <t>FZ00510</t>
  </si>
  <si>
    <t>FZ00511</t>
  </si>
  <si>
    <t>FZ00512</t>
  </si>
  <si>
    <t>FZ00513</t>
  </si>
  <si>
    <t>FZ00514</t>
  </si>
  <si>
    <t>FZ00515</t>
  </si>
  <si>
    <t>FZ00516</t>
  </si>
  <si>
    <t>FZ00517</t>
  </si>
  <si>
    <t>FZ00518</t>
  </si>
  <si>
    <t>FZ00519</t>
  </si>
  <si>
    <t>FZ00520</t>
  </si>
  <si>
    <t>FZ00521</t>
  </si>
  <si>
    <t>FZ00522</t>
  </si>
  <si>
    <t>FZ00523</t>
  </si>
  <si>
    <t>FZ00524</t>
  </si>
  <si>
    <t>FZ00525</t>
  </si>
  <si>
    <t>FZ00526</t>
  </si>
  <si>
    <t>FZ00527</t>
  </si>
  <si>
    <t>FZ00528</t>
  </si>
  <si>
    <t>FZ00529</t>
  </si>
  <si>
    <t>FZ00530</t>
  </si>
  <si>
    <t>FZ00531</t>
  </si>
  <si>
    <t>FZ00532</t>
  </si>
  <si>
    <t>FZ00533</t>
  </si>
  <si>
    <t>FZ00534</t>
  </si>
  <si>
    <t>FZ00535</t>
  </si>
  <si>
    <t>FZ00536</t>
  </si>
  <si>
    <t>FZ00537</t>
  </si>
  <si>
    <t>FZ00538</t>
  </si>
  <si>
    <t>FZ00539</t>
  </si>
  <si>
    <t>FZ00540</t>
  </si>
  <si>
    <t>FZ00541</t>
  </si>
  <si>
    <t>FZ00542</t>
  </si>
  <si>
    <t>FZ00543</t>
  </si>
  <si>
    <t>FZ00544</t>
  </si>
  <si>
    <t>FZ00545</t>
  </si>
  <si>
    <t>FZ00546</t>
  </si>
  <si>
    <t>FZ00547</t>
  </si>
  <si>
    <t>FZ00548</t>
  </si>
  <si>
    <t>FZ00549</t>
  </si>
  <si>
    <t>FZ00550</t>
  </si>
  <si>
    <t>FZ00551</t>
  </si>
  <si>
    <t>FZ00552</t>
  </si>
  <si>
    <t>FZ00553</t>
  </si>
  <si>
    <t>FZ00554</t>
  </si>
  <si>
    <t>FZ00555</t>
  </si>
  <si>
    <t>FZ00556</t>
  </si>
  <si>
    <t>FZ00557</t>
  </si>
  <si>
    <t>FZ00558</t>
  </si>
  <si>
    <t>FZ00559</t>
  </si>
  <si>
    <t>FZ00560</t>
  </si>
  <si>
    <t>FZ00561</t>
  </si>
  <si>
    <t>FZ00562</t>
  </si>
  <si>
    <t>FZ00563</t>
  </si>
  <si>
    <t>FZ00564</t>
  </si>
  <si>
    <t>FZ00565</t>
  </si>
  <si>
    <t>FZ00566</t>
  </si>
  <si>
    <t>FZ00567</t>
  </si>
  <si>
    <t>FZ00568</t>
  </si>
  <si>
    <t>FZ00569</t>
  </si>
  <si>
    <t>FZ00570</t>
  </si>
  <si>
    <t>FZ00571</t>
  </si>
  <si>
    <t>FZ00572</t>
  </si>
  <si>
    <t>FZ00573</t>
  </si>
  <si>
    <t>FZ00574</t>
  </si>
  <si>
    <t>FZ00575</t>
  </si>
  <si>
    <t>FZ00576</t>
  </si>
  <si>
    <t>FZ00577</t>
  </si>
  <si>
    <t>FZ00578</t>
  </si>
  <si>
    <t>FZ00579</t>
  </si>
  <si>
    <t>FZ00580</t>
  </si>
  <si>
    <t>FZ00581</t>
  </si>
  <si>
    <t>FZ00582</t>
  </si>
  <si>
    <t>FZ00583</t>
  </si>
  <si>
    <t>FZ00584</t>
  </si>
  <si>
    <t>FZ00585</t>
  </si>
  <si>
    <t>FZ00586</t>
  </si>
  <si>
    <t>FZ00587</t>
  </si>
  <si>
    <t>FZ00588</t>
  </si>
  <si>
    <t>FZ00589</t>
  </si>
  <si>
    <t>FZ00590</t>
  </si>
  <si>
    <t>FZ00591</t>
  </si>
  <si>
    <t>FZ00592</t>
  </si>
  <si>
    <t>FZ00593</t>
  </si>
  <si>
    <t>FZ00594</t>
  </si>
  <si>
    <t>FZ00595</t>
  </si>
  <si>
    <t>FZ00596</t>
  </si>
  <si>
    <t>FZ00597</t>
  </si>
  <si>
    <t>FZ00598</t>
  </si>
  <si>
    <t>FZ00599</t>
  </si>
  <si>
    <t>FZ00600</t>
  </si>
  <si>
    <t>FZ00601</t>
  </si>
  <si>
    <t>FZ00602</t>
  </si>
  <si>
    <t>FZ00603</t>
  </si>
  <si>
    <t>FZ00604</t>
  </si>
  <si>
    <t>FZ00605</t>
  </si>
  <si>
    <t>FZ00606</t>
  </si>
  <si>
    <t>FZ00607</t>
  </si>
  <si>
    <t>FZ00608</t>
  </si>
  <si>
    <t>FZ00609</t>
  </si>
  <si>
    <t>FZ00610</t>
  </si>
  <si>
    <t>FZ00611</t>
  </si>
  <si>
    <t>FZ00612</t>
  </si>
  <si>
    <t>FZ00613</t>
  </si>
  <si>
    <t>FZ00614</t>
  </si>
  <si>
    <t>FZ00615</t>
  </si>
  <si>
    <t>FZ00616</t>
  </si>
  <si>
    <t>FZ00617</t>
  </si>
  <si>
    <t>FZ00618</t>
  </si>
  <si>
    <t>FZ00619</t>
  </si>
  <si>
    <t>FZ00620</t>
  </si>
  <si>
    <t>FZ00621</t>
  </si>
  <si>
    <t>FZ00622</t>
  </si>
  <si>
    <t>FZ00623</t>
  </si>
  <si>
    <t>FZ00624</t>
  </si>
  <si>
    <t>FZ00625</t>
  </si>
  <si>
    <t>FZ00626</t>
  </si>
  <si>
    <t>FZ00627</t>
  </si>
  <si>
    <t>FZ00628</t>
  </si>
  <si>
    <t>FZ00629</t>
  </si>
  <si>
    <t>FZ00630</t>
  </si>
  <si>
    <t>FZ00631</t>
  </si>
  <si>
    <t>FZ00632</t>
  </si>
  <si>
    <t>FZ00633</t>
  </si>
  <si>
    <t>FZ00634</t>
  </si>
  <si>
    <t>FZ00635</t>
  </si>
  <si>
    <t>FZ00636</t>
  </si>
  <si>
    <t>FZ00637</t>
  </si>
  <si>
    <t>FZ00638</t>
  </si>
  <si>
    <t>FZ00639</t>
  </si>
  <si>
    <t>FZ00640</t>
  </si>
  <si>
    <t>FZ00641</t>
  </si>
  <si>
    <t>FZ00642</t>
  </si>
  <si>
    <t>FZ00643</t>
  </si>
  <si>
    <t>FZ00644</t>
  </si>
  <si>
    <t>FZ00645</t>
  </si>
  <si>
    <t>FZ00646</t>
  </si>
  <si>
    <t>FZ00647</t>
  </si>
  <si>
    <t>FZ00648</t>
  </si>
  <si>
    <t>FZ00649</t>
  </si>
  <si>
    <t>FZ00650</t>
  </si>
  <si>
    <t>FZ00651</t>
  </si>
  <si>
    <t>FZ00652</t>
  </si>
  <si>
    <t>FZ00653</t>
  </si>
  <si>
    <t>FZ00654</t>
  </si>
  <si>
    <t>FZ00655</t>
  </si>
  <si>
    <t>FZ00656</t>
  </si>
  <si>
    <t>FZ00657</t>
  </si>
  <si>
    <t>FZ00658</t>
  </si>
  <si>
    <t>FZ00659</t>
  </si>
  <si>
    <t>FZ00660</t>
  </si>
  <si>
    <t>FZ00661</t>
  </si>
  <si>
    <t>FZ00662</t>
  </si>
  <si>
    <t>FZ00663</t>
  </si>
  <si>
    <t>FZ00664</t>
  </si>
  <si>
    <t>FZ00665</t>
  </si>
  <si>
    <t>FZ00666</t>
  </si>
  <si>
    <t>FZ00667</t>
  </si>
  <si>
    <t>FZ00668</t>
  </si>
  <si>
    <t>FZ00669</t>
  </si>
  <si>
    <t>FZ00670</t>
  </si>
  <si>
    <t>FZ00671</t>
  </si>
  <si>
    <t>FZ00672</t>
  </si>
  <si>
    <t>FZ00673</t>
  </si>
  <si>
    <t>FZ00674</t>
  </si>
  <si>
    <t>FZ00675</t>
  </si>
  <si>
    <t>FZ00676</t>
  </si>
  <si>
    <t>FZ00677</t>
  </si>
  <si>
    <t>FZ00678</t>
  </si>
  <si>
    <t>FZ00679</t>
  </si>
  <si>
    <t>FZ00680</t>
  </si>
  <si>
    <t>FZ00681</t>
  </si>
  <si>
    <t>FZ00682</t>
  </si>
  <si>
    <t>FZ00683</t>
  </si>
  <si>
    <t>FZ00684</t>
  </si>
  <si>
    <t>FZ00685</t>
  </si>
  <si>
    <t>FZ00686</t>
  </si>
  <si>
    <t>FZ00687</t>
  </si>
  <si>
    <t>FZ00688</t>
  </si>
  <si>
    <t>FZ00689</t>
  </si>
  <si>
    <t>FZ00690</t>
  </si>
  <si>
    <t>FZ00691</t>
  </si>
  <si>
    <t>FZ00692</t>
  </si>
  <si>
    <t>FZ00693</t>
  </si>
  <si>
    <t>FZ00694</t>
  </si>
  <si>
    <t>FZ00695</t>
  </si>
  <si>
    <t>FZ00696</t>
  </si>
  <si>
    <t>FZ00697</t>
  </si>
  <si>
    <t>FZ00698</t>
  </si>
  <si>
    <t>FZ00699</t>
  </si>
  <si>
    <t>FZ00700</t>
  </si>
  <si>
    <t>FZ00701</t>
  </si>
  <si>
    <t>FZ00702</t>
  </si>
  <si>
    <t>FZ00703</t>
  </si>
  <si>
    <t>FZ00704</t>
  </si>
  <si>
    <t>FZ00705</t>
  </si>
  <si>
    <t>FZ00706</t>
  </si>
  <si>
    <t>FZ00707</t>
  </si>
  <si>
    <t>FZ00708</t>
  </si>
  <si>
    <t>FZ00709</t>
  </si>
  <si>
    <t>FZ00710</t>
  </si>
  <si>
    <t>FZ00711</t>
  </si>
  <si>
    <t>FZ00712</t>
  </si>
  <si>
    <t>FZ00713</t>
  </si>
  <si>
    <t>FZ00714</t>
  </si>
  <si>
    <t>FZ00715</t>
  </si>
  <si>
    <t>FZ00716</t>
  </si>
  <si>
    <t>FZ00717</t>
  </si>
  <si>
    <t>FZ00718</t>
  </si>
  <si>
    <t>FZ00719</t>
  </si>
  <si>
    <t>FZ00720</t>
  </si>
  <si>
    <t>FZ00721</t>
  </si>
  <si>
    <t>FZ00722</t>
  </si>
  <si>
    <t>FZ00723</t>
  </si>
  <si>
    <t>FZ00724</t>
  </si>
  <si>
    <t>FZ00725</t>
  </si>
  <si>
    <t>FZ00726</t>
  </si>
  <si>
    <t>FZ00727</t>
  </si>
  <si>
    <t>FZ00728</t>
  </si>
  <si>
    <t>FZ00729</t>
  </si>
  <si>
    <t>FZ00730</t>
  </si>
  <si>
    <t>FZ00731</t>
  </si>
  <si>
    <t>FZ00732</t>
  </si>
  <si>
    <t>FZ00733</t>
  </si>
  <si>
    <t>FZ00734</t>
  </si>
  <si>
    <t>FZ00735</t>
  </si>
  <si>
    <t>FZ00736</t>
  </si>
  <si>
    <t>FZ00737</t>
  </si>
  <si>
    <t>FZ00738</t>
  </si>
  <si>
    <t>FZ00739</t>
  </si>
  <si>
    <t>FZ00740</t>
  </si>
  <si>
    <t>FZ00741</t>
  </si>
  <si>
    <t>FZ00742</t>
  </si>
  <si>
    <t>FZ00743</t>
  </si>
  <si>
    <t>FZ00744</t>
  </si>
  <si>
    <t>FZ00745</t>
  </si>
  <si>
    <t>FZ00746</t>
  </si>
  <si>
    <t>FZ00747</t>
  </si>
  <si>
    <t>FZ00748</t>
  </si>
  <si>
    <t>FZ00749</t>
  </si>
  <si>
    <t>FZ00750</t>
  </si>
  <si>
    <t>FZ00751</t>
  </si>
  <si>
    <t>FZ00752</t>
  </si>
  <si>
    <t>FZ00753</t>
  </si>
  <si>
    <t>FZ00754</t>
  </si>
  <si>
    <t>FZ00755</t>
  </si>
  <si>
    <t>FZ00756</t>
  </si>
  <si>
    <t>FZ00757</t>
  </si>
  <si>
    <t>FZ00758</t>
  </si>
  <si>
    <t>FZ00759</t>
  </si>
  <si>
    <t>FZ00760</t>
  </si>
  <si>
    <t>FZ00761</t>
  </si>
  <si>
    <t>FZ00762</t>
  </si>
  <si>
    <t>FZ00763</t>
  </si>
  <si>
    <t>FZ00764</t>
  </si>
  <si>
    <t>FZ00765</t>
  </si>
  <si>
    <t>FZ00766</t>
  </si>
  <si>
    <t>FZ00767</t>
  </si>
  <si>
    <t>FZ00768</t>
  </si>
  <si>
    <t>FZ00769</t>
  </si>
  <si>
    <t>FZ00770</t>
  </si>
  <si>
    <t>FZ00771</t>
  </si>
  <si>
    <t>FZ00772</t>
  </si>
  <si>
    <t>FZ00773</t>
  </si>
  <si>
    <t>FZ00774</t>
  </si>
  <si>
    <t>FZ00775</t>
  </si>
  <si>
    <t>FZ00776</t>
  </si>
  <si>
    <t>FZ00777</t>
  </si>
  <si>
    <t>FZ00778</t>
  </si>
  <si>
    <t>FZ00779</t>
  </si>
  <si>
    <t>FZ00780</t>
  </si>
  <si>
    <t>FZ00781</t>
  </si>
  <si>
    <t>FZ00782</t>
  </si>
  <si>
    <t>FZ00783</t>
  </si>
  <si>
    <t>FZ00784</t>
  </si>
  <si>
    <t>FZ00785</t>
  </si>
  <si>
    <t>FZ00786</t>
  </si>
  <si>
    <t>FZ00787</t>
  </si>
  <si>
    <t>FZ00788</t>
  </si>
  <si>
    <t>FZ00789</t>
  </si>
  <si>
    <t>FZ00790</t>
  </si>
  <si>
    <t>FZ00791</t>
  </si>
  <si>
    <t>FZ00792</t>
  </si>
  <si>
    <t>FZ00793</t>
  </si>
  <si>
    <t>FZ00794</t>
  </si>
  <si>
    <t>FZ00795</t>
  </si>
  <si>
    <t>FZ00796</t>
  </si>
  <si>
    <t>FZ00797</t>
  </si>
  <si>
    <t>FZ00798</t>
  </si>
  <si>
    <t>FZ00799</t>
  </si>
  <si>
    <t>FZ00800</t>
  </si>
  <si>
    <t>FZ00801</t>
  </si>
  <si>
    <t>FZ00802</t>
  </si>
  <si>
    <t>FZ00803</t>
  </si>
  <si>
    <t>FZ00804</t>
  </si>
  <si>
    <t>FZ00805</t>
  </si>
  <si>
    <t>FZ00806</t>
  </si>
  <si>
    <t>FZ00807</t>
  </si>
  <si>
    <t>FZ00808</t>
  </si>
  <si>
    <t>FZ00809</t>
  </si>
  <si>
    <t>FZ00810</t>
  </si>
  <si>
    <t>FZ00811</t>
  </si>
  <si>
    <t>FZ00812</t>
  </si>
  <si>
    <t>FZ00813</t>
  </si>
  <si>
    <t>FZ00814</t>
  </si>
  <si>
    <t>FZ00815</t>
  </si>
  <si>
    <t>FZ00816</t>
  </si>
  <si>
    <t>FZ00817</t>
  </si>
  <si>
    <t>FZ00818</t>
  </si>
  <si>
    <t>FZ00819</t>
  </si>
  <si>
    <t>FZ00820</t>
  </si>
  <si>
    <t>FZ00821</t>
  </si>
  <si>
    <t>FZ00822</t>
  </si>
  <si>
    <t>FZ00823</t>
  </si>
  <si>
    <t>FZ00824</t>
  </si>
  <si>
    <t>FZ00825</t>
  </si>
  <si>
    <t>FZ00826</t>
  </si>
  <si>
    <t>FZ00827</t>
  </si>
  <si>
    <t>FZ00828</t>
  </si>
  <si>
    <t>FZ00829</t>
  </si>
  <si>
    <t>FZ00830</t>
  </si>
  <si>
    <t>FZ00831</t>
  </si>
  <si>
    <t>FZ00832</t>
  </si>
  <si>
    <t>FZ00833</t>
  </si>
  <si>
    <t>FZ00834</t>
  </si>
  <si>
    <t>FZ00835</t>
  </si>
  <si>
    <t>FZ00836</t>
  </si>
  <si>
    <t>FZ00837</t>
  </si>
  <si>
    <t>FZ00838</t>
  </si>
  <si>
    <t>FZ00839</t>
  </si>
  <si>
    <t>FZ00840</t>
  </si>
  <si>
    <t>FZ00841</t>
  </si>
  <si>
    <t>FZ00842</t>
  </si>
  <si>
    <t>FZ00843</t>
  </si>
  <si>
    <t>FZ00844</t>
  </si>
  <si>
    <t>FZ00845</t>
  </si>
  <si>
    <t>FZ00846</t>
  </si>
  <si>
    <t>FZ00847</t>
  </si>
  <si>
    <t>FZ00848</t>
  </si>
  <si>
    <t>FZ00849</t>
  </si>
  <si>
    <t>FZ00850</t>
  </si>
  <si>
    <t>FZ00851</t>
  </si>
  <si>
    <t>FZ00852</t>
  </si>
  <si>
    <t>FZ00853</t>
  </si>
  <si>
    <t>FZ00854</t>
  </si>
  <si>
    <t>FZ00855</t>
  </si>
  <si>
    <t>FZ00856</t>
  </si>
  <si>
    <t>FZ00857</t>
  </si>
  <si>
    <t>FZ00858</t>
  </si>
  <si>
    <t>FZ00859</t>
  </si>
  <si>
    <t>FZ00860</t>
  </si>
  <si>
    <t>FZ00861</t>
  </si>
  <si>
    <t>FZ00862</t>
  </si>
  <si>
    <t>FZ00863</t>
  </si>
  <si>
    <t>FZ00864</t>
  </si>
  <si>
    <t>FZ00865</t>
  </si>
  <si>
    <t>FZ00866</t>
  </si>
  <si>
    <t>FZ00867</t>
  </si>
  <si>
    <t>FZ00868</t>
  </si>
  <si>
    <t>FZ00869</t>
  </si>
  <si>
    <t>FZ00870</t>
  </si>
  <si>
    <t>FZ00871</t>
  </si>
  <si>
    <t>FZ00872</t>
  </si>
  <si>
    <t>FZ00873</t>
  </si>
  <si>
    <t>FZ00874</t>
  </si>
  <si>
    <t>FZ00875</t>
  </si>
  <si>
    <t>FZ00876</t>
  </si>
  <si>
    <t>FZ00877</t>
  </si>
  <si>
    <t>FZ00878</t>
  </si>
  <si>
    <t>FZ00879</t>
  </si>
  <si>
    <t>FZ00880</t>
  </si>
  <si>
    <t>FZ00881</t>
  </si>
  <si>
    <t>FZ00882</t>
  </si>
  <si>
    <t>FZ00883</t>
  </si>
  <si>
    <t>FZ00884</t>
  </si>
  <si>
    <t>FZ00885</t>
  </si>
  <si>
    <t>FZ00886</t>
  </si>
  <si>
    <t>FZ00887</t>
  </si>
  <si>
    <t>FZ00888</t>
  </si>
  <si>
    <t>FZ00889</t>
  </si>
  <si>
    <t>FZ00890</t>
  </si>
  <si>
    <t>FZ00891</t>
  </si>
  <si>
    <t>FZ00892</t>
  </si>
  <si>
    <t>FZ00893</t>
  </si>
  <si>
    <t>FZ00894</t>
  </si>
  <si>
    <t>FZ00895</t>
  </si>
  <si>
    <t>FZ00896</t>
  </si>
  <si>
    <t>FZ00897</t>
  </si>
  <si>
    <t>FZ00898</t>
  </si>
  <si>
    <t>FZ00899</t>
  </si>
  <si>
    <t>FZ00900</t>
  </si>
  <si>
    <t>FZ00901</t>
  </si>
  <si>
    <t>FZ00902</t>
  </si>
  <si>
    <t>FZ00903</t>
  </si>
  <si>
    <t>FZ00904</t>
  </si>
  <si>
    <t>FZ00905</t>
  </si>
  <si>
    <t>FZ00906</t>
  </si>
  <si>
    <t>FZ00907</t>
  </si>
  <si>
    <t>FZ00908</t>
  </si>
  <si>
    <t>FZ00909</t>
  </si>
  <si>
    <t>FZ00910</t>
  </si>
  <si>
    <t>FZ00911</t>
  </si>
  <si>
    <t>FZ00912</t>
  </si>
  <si>
    <t>FZ00913</t>
  </si>
  <si>
    <t>FZ00914</t>
  </si>
  <si>
    <t>FZ00915</t>
  </si>
  <si>
    <t>FZ00916</t>
  </si>
  <si>
    <t>FZ00917</t>
  </si>
  <si>
    <t>FZ00918</t>
  </si>
  <si>
    <t>FZ00919</t>
  </si>
  <si>
    <t>FZ00920</t>
  </si>
  <si>
    <t>FZ00921</t>
  </si>
  <si>
    <t>FZ00922</t>
  </si>
  <si>
    <t>FZ00923</t>
  </si>
  <si>
    <t>FZ00924</t>
  </si>
  <si>
    <t>FZ00925</t>
  </si>
  <si>
    <t>FZ00926</t>
  </si>
  <si>
    <t>FZ00927</t>
  </si>
  <si>
    <t>FZ00928</t>
  </si>
  <si>
    <t>FZ00929</t>
  </si>
  <si>
    <t>FZ00930</t>
  </si>
  <si>
    <t>FZ00931</t>
  </si>
  <si>
    <t>FZ00932</t>
  </si>
  <si>
    <t>FZ00933</t>
  </si>
  <si>
    <t>FZ00934</t>
  </si>
  <si>
    <t>FZ00935</t>
  </si>
  <si>
    <t>FZ00936</t>
  </si>
  <si>
    <t>FZ00937</t>
  </si>
  <si>
    <t>FZ00938</t>
  </si>
  <si>
    <t>FZ00939</t>
  </si>
  <si>
    <t>FZ00940</t>
  </si>
  <si>
    <t>FZ00941</t>
  </si>
  <si>
    <t>FZ00942</t>
  </si>
  <si>
    <t>FZ00943</t>
  </si>
  <si>
    <t>FZ00944</t>
  </si>
  <si>
    <t>FZ00945</t>
  </si>
  <si>
    <t>FZ00946</t>
  </si>
  <si>
    <t>FZ00947</t>
  </si>
  <si>
    <t>FZ00948</t>
  </si>
  <si>
    <t>FZ00949</t>
  </si>
  <si>
    <t>FZ00950</t>
  </si>
  <si>
    <t>FZ00951</t>
  </si>
  <si>
    <t>FZ00952</t>
  </si>
  <si>
    <t>FZ00953</t>
  </si>
  <si>
    <t>FZ00954</t>
  </si>
  <si>
    <t>FZ00955</t>
  </si>
  <si>
    <t>FZ00956</t>
  </si>
  <si>
    <t>FZ00957</t>
  </si>
  <si>
    <t>FZ00958</t>
  </si>
  <si>
    <t>FZ00959</t>
  </si>
  <si>
    <t>FZ00960</t>
  </si>
  <si>
    <t>FZ00961</t>
  </si>
  <si>
    <t>FZ00962</t>
  </si>
  <si>
    <t>FZ00963</t>
  </si>
  <si>
    <t>FZ00964</t>
  </si>
  <si>
    <t>FZ00965</t>
  </si>
  <si>
    <t>FZ00966</t>
  </si>
  <si>
    <t>FZ00967</t>
  </si>
  <si>
    <t>FZ00968</t>
  </si>
  <si>
    <t>FZ00969</t>
  </si>
  <si>
    <t>FZ00970</t>
  </si>
  <si>
    <t>FZ00971</t>
  </si>
  <si>
    <t>FZ00972</t>
  </si>
  <si>
    <t>FZ00973</t>
  </si>
  <si>
    <t>FZ00974</t>
  </si>
  <si>
    <t>FZ00975</t>
  </si>
  <si>
    <t>FZ00976</t>
  </si>
  <si>
    <t>FZ00977</t>
  </si>
  <si>
    <t>FZ00978</t>
  </si>
  <si>
    <t>FZ00979</t>
  </si>
  <si>
    <t>FZ00980</t>
  </si>
  <si>
    <t>FZ00981</t>
  </si>
  <si>
    <t>FZ00982</t>
  </si>
  <si>
    <t>FZ00983</t>
  </si>
  <si>
    <t>FZ00984</t>
  </si>
  <si>
    <t>FZ00985</t>
  </si>
  <si>
    <t>FZ00986</t>
  </si>
  <si>
    <t>FZ00987</t>
  </si>
  <si>
    <t>FZ00988</t>
  </si>
  <si>
    <t>FZ00989</t>
  </si>
  <si>
    <t>FZ00990</t>
  </si>
  <si>
    <t>FZ00991</t>
  </si>
  <si>
    <t>FZ00992</t>
  </si>
  <si>
    <t>FZ00993</t>
  </si>
  <si>
    <t>FZ00994</t>
  </si>
  <si>
    <t>FZ00995</t>
  </si>
  <si>
    <t>FZ00996</t>
  </si>
  <si>
    <t>FZ00997</t>
  </si>
  <si>
    <t>FZ00998</t>
  </si>
  <si>
    <t>FZ00999</t>
  </si>
  <si>
    <t>FZ01000</t>
  </si>
  <si>
    <t>FZ01001</t>
  </si>
  <si>
    <t>FZ01002</t>
  </si>
  <si>
    <t>FZ01003</t>
  </si>
  <si>
    <t>FZ01004</t>
  </si>
  <si>
    <t>FZ01005</t>
  </si>
  <si>
    <t>FZ01006</t>
  </si>
  <si>
    <t>FZ01007</t>
  </si>
  <si>
    <t>FZ01008</t>
  </si>
  <si>
    <t>FZ01009</t>
  </si>
  <si>
    <t>FZ01010</t>
  </si>
  <si>
    <t>FZ01011</t>
  </si>
  <si>
    <t>FZ01012</t>
  </si>
  <si>
    <t>FZ01013</t>
  </si>
  <si>
    <t>FZ01014</t>
  </si>
  <si>
    <t>FZ01015</t>
  </si>
  <si>
    <t>FZ01016</t>
  </si>
  <si>
    <t>FZ01017</t>
  </si>
  <si>
    <t>FZ01018</t>
  </si>
  <si>
    <t>FZ01019</t>
  </si>
  <si>
    <t>FZ01020</t>
  </si>
  <si>
    <t>FZ01021</t>
  </si>
  <si>
    <t>FZ01022</t>
  </si>
  <si>
    <t>FZ01023</t>
  </si>
  <si>
    <t>FZ01024</t>
  </si>
  <si>
    <t>FZ01025</t>
  </si>
  <si>
    <t>FZ01026</t>
  </si>
  <si>
    <t>FZ01027</t>
  </si>
  <si>
    <t>FZ01028</t>
  </si>
  <si>
    <t>FZ01029</t>
  </si>
  <si>
    <t>FZ01030</t>
  </si>
  <si>
    <t>FZ01031</t>
  </si>
  <si>
    <t>FZ01032</t>
  </si>
  <si>
    <t>FZ01033</t>
  </si>
  <si>
    <t>FZ01034</t>
  </si>
  <si>
    <t>FZ01035</t>
  </si>
  <si>
    <t>FZ01036</t>
  </si>
  <si>
    <t>FZ01037</t>
  </si>
  <si>
    <t>FZ01038</t>
  </si>
  <si>
    <t>FZ01039</t>
  </si>
  <si>
    <t>FZ01040</t>
  </si>
  <si>
    <t>FZ01041</t>
  </si>
  <si>
    <t>FZ01042</t>
  </si>
  <si>
    <t>FZ01043</t>
  </si>
  <si>
    <t>FZ01044</t>
  </si>
  <si>
    <t>FZ01045</t>
  </si>
  <si>
    <t>FZ01046</t>
  </si>
  <si>
    <t>FZ01047</t>
  </si>
  <si>
    <t>FZ01048</t>
  </si>
  <si>
    <t>FZ01049</t>
  </si>
  <si>
    <t>FZ01050</t>
  </si>
  <si>
    <t>FZ01051</t>
  </si>
  <si>
    <t>FZ01052</t>
  </si>
  <si>
    <t>FZ01053</t>
  </si>
  <si>
    <t>FZ01054</t>
  </si>
  <si>
    <t>FZ01055</t>
  </si>
  <si>
    <t>FZ01056</t>
  </si>
  <si>
    <t>FZ01057</t>
  </si>
  <si>
    <t>FZ01058</t>
  </si>
  <si>
    <t>FZ01059</t>
  </si>
  <si>
    <t>FZ01060</t>
  </si>
  <si>
    <t>FZ01061</t>
  </si>
  <si>
    <t>FZ01062</t>
  </si>
  <si>
    <t>FZ01063</t>
  </si>
  <si>
    <t>FZ01064</t>
  </si>
  <si>
    <t>FZ01065</t>
  </si>
  <si>
    <t>FZ01066</t>
  </si>
  <si>
    <t>FZ01067</t>
  </si>
  <si>
    <t>FZ01068</t>
  </si>
  <si>
    <t>FZ01069</t>
  </si>
  <si>
    <t>FZ01070</t>
  </si>
  <si>
    <t>FZ01071</t>
  </si>
  <si>
    <t>FZ01072</t>
  </si>
  <si>
    <t>FZ01073</t>
  </si>
  <si>
    <t>FZ01074</t>
  </si>
  <si>
    <t>FZ01075</t>
  </si>
  <si>
    <t>FZ01076</t>
  </si>
  <si>
    <t>FZ01077</t>
  </si>
  <si>
    <t>FZ01078</t>
  </si>
  <si>
    <t>FZ01079</t>
  </si>
  <si>
    <t>FZ01080</t>
  </si>
  <si>
    <t>FZ01081</t>
  </si>
  <si>
    <t>FZ01082</t>
  </si>
  <si>
    <t>FZ01083</t>
  </si>
  <si>
    <t>FZ01084</t>
  </si>
  <si>
    <t>FZ01085</t>
  </si>
  <si>
    <t>FZ01086</t>
  </si>
  <si>
    <t>FZ01087</t>
  </si>
  <si>
    <t>FZ01088</t>
  </si>
  <si>
    <t>FZ01089</t>
  </si>
  <si>
    <t>FZ01090</t>
  </si>
  <si>
    <t>FZ01091</t>
  </si>
  <si>
    <t>FZ01092</t>
  </si>
  <si>
    <t>FZ01093</t>
  </si>
  <si>
    <t>FZ01094</t>
  </si>
  <si>
    <t>FZ01095</t>
  </si>
  <si>
    <t>FZ01096</t>
  </si>
  <si>
    <t>FZ01097</t>
  </si>
  <si>
    <t>FZ01098</t>
  </si>
  <si>
    <t>FZ01099</t>
  </si>
  <si>
    <t>FZ01100</t>
  </si>
  <si>
    <t>FZ01101</t>
  </si>
  <si>
    <t>FZ01102</t>
  </si>
  <si>
    <t>FZ01103</t>
  </si>
  <si>
    <t>FZ01104</t>
  </si>
  <si>
    <t>FZ01105</t>
  </si>
  <si>
    <t>FZ01106</t>
  </si>
  <si>
    <t>FZ01107</t>
  </si>
  <si>
    <t>FZ01108</t>
  </si>
  <si>
    <t>FZ01109</t>
  </si>
  <si>
    <t>FZ01110</t>
  </si>
  <si>
    <t>FZ01111</t>
  </si>
  <si>
    <t>FZ01112</t>
  </si>
  <si>
    <t>FZ01113</t>
  </si>
  <si>
    <t>FZ01114</t>
  </si>
  <si>
    <t>FZ01115</t>
  </si>
  <si>
    <t>FZ01116</t>
  </si>
  <si>
    <t>FZ01117</t>
  </si>
  <si>
    <t>FZ01118</t>
  </si>
  <si>
    <t>FZ01119</t>
  </si>
  <si>
    <t>FZ01120</t>
  </si>
  <si>
    <t>FZ01121</t>
  </si>
  <si>
    <t>FZ01122</t>
  </si>
  <si>
    <t>FZ01123</t>
  </si>
  <si>
    <t>FZ01124</t>
  </si>
  <si>
    <t>FZ01125</t>
  </si>
  <si>
    <t>FZ01126</t>
  </si>
  <si>
    <t>FZ01127</t>
  </si>
  <si>
    <t>FZ01128</t>
  </si>
  <si>
    <t>FZ01129</t>
  </si>
  <si>
    <t>FZ01130</t>
  </si>
  <si>
    <t>FZ01131</t>
  </si>
  <si>
    <t>FZ01132</t>
  </si>
  <si>
    <t>FZ01133</t>
  </si>
  <si>
    <t>FZ01134</t>
  </si>
  <si>
    <t>FZ01135</t>
  </si>
  <si>
    <t>FZ01136</t>
  </si>
  <si>
    <t>FZ01137</t>
  </si>
  <si>
    <t>FZ01138</t>
  </si>
  <si>
    <t>FZ01139</t>
  </si>
  <si>
    <t>FZ01140</t>
  </si>
  <si>
    <t>FZ01141</t>
  </si>
  <si>
    <t>FZ01142</t>
  </si>
  <si>
    <t>FZ01143</t>
  </si>
  <si>
    <t>FZ01144</t>
  </si>
  <si>
    <t>FZ01145</t>
  </si>
  <si>
    <t>FZ01146</t>
  </si>
  <si>
    <t>FZ01147</t>
  </si>
  <si>
    <t>FZ01148</t>
  </si>
  <si>
    <t>FZ01149</t>
  </si>
  <si>
    <t>FZ01150</t>
  </si>
  <si>
    <t>FZ01151</t>
  </si>
  <si>
    <t>FZ01152</t>
  </si>
  <si>
    <t>FZ01153</t>
  </si>
  <si>
    <t>FZ01154</t>
  </si>
  <si>
    <t>FZ01155</t>
  </si>
  <si>
    <t>FZ01156</t>
  </si>
  <si>
    <t>FZ01157</t>
  </si>
  <si>
    <t>FZ01158</t>
  </si>
  <si>
    <t>FZ01159</t>
  </si>
  <si>
    <t>FZ01160</t>
  </si>
  <si>
    <t>FZ01161</t>
  </si>
  <si>
    <t>FZ01162</t>
  </si>
  <si>
    <t>FZ01163</t>
  </si>
  <si>
    <t>FZ01164</t>
  </si>
  <si>
    <t>FZ01165</t>
  </si>
  <si>
    <t>FZ01166</t>
  </si>
  <si>
    <t>FZ01167</t>
  </si>
  <si>
    <t>FZ01168</t>
  </si>
  <si>
    <t>FZ01169</t>
  </si>
  <si>
    <t>FZ01170</t>
  </si>
  <si>
    <t>FZ01171</t>
  </si>
  <si>
    <t>FZ01172</t>
  </si>
  <si>
    <t>FZ01173</t>
  </si>
  <si>
    <t>FZ01174</t>
  </si>
  <si>
    <t>FZ01175</t>
  </si>
  <si>
    <t>FZ01176</t>
  </si>
  <si>
    <t>FZ01177</t>
  </si>
  <si>
    <t>FZ01178</t>
  </si>
  <si>
    <t>FZ01179</t>
  </si>
  <si>
    <t>FZ01180</t>
  </si>
  <si>
    <t>FZ01181</t>
  </si>
  <si>
    <t>FZ01182</t>
  </si>
  <si>
    <t>FZ01183</t>
  </si>
  <si>
    <t>FZ01184</t>
  </si>
  <si>
    <t>FZ01185</t>
  </si>
  <si>
    <t>FZ01186</t>
  </si>
  <si>
    <t>FZ01187</t>
  </si>
  <si>
    <t>FZ01188</t>
  </si>
  <si>
    <t>FZ01189</t>
  </si>
  <si>
    <t>FZ01190</t>
  </si>
  <si>
    <t>FZ01191</t>
  </si>
  <si>
    <t>FZ01192</t>
  </si>
  <si>
    <t>FZ01193</t>
  </si>
  <si>
    <t>FZ01194</t>
  </si>
  <si>
    <t>FZ01195</t>
  </si>
  <si>
    <t>FZ01196</t>
  </si>
  <si>
    <t>FZ01197</t>
  </si>
  <si>
    <t>FZ01198</t>
  </si>
  <si>
    <t>FZ01199</t>
  </si>
  <si>
    <t>FZ01200</t>
  </si>
  <si>
    <t>FZ01201</t>
  </si>
  <si>
    <t>FZ01202</t>
  </si>
  <si>
    <t>FZ01203</t>
  </si>
  <si>
    <t>FZ01204</t>
  </si>
  <si>
    <t>FZ01205</t>
  </si>
  <si>
    <t>FZ01206</t>
  </si>
  <si>
    <t>FZ01207</t>
  </si>
  <si>
    <t>FZ01208</t>
  </si>
  <si>
    <t>FZ01209</t>
  </si>
  <si>
    <t>FZ01210</t>
  </si>
  <si>
    <t>FZ01211</t>
  </si>
  <si>
    <t>FZ01212</t>
  </si>
  <si>
    <t>FZ01213</t>
  </si>
  <si>
    <t>FZ01214</t>
  </si>
  <si>
    <t>FZ01215</t>
  </si>
  <si>
    <t>FZ01216</t>
  </si>
  <si>
    <t>FZ01217</t>
  </si>
  <si>
    <t>FZ01218</t>
  </si>
  <si>
    <t>FZ01219</t>
  </si>
  <si>
    <t>FZ01220</t>
  </si>
  <si>
    <t>FZ01221</t>
  </si>
  <si>
    <t>FZ01222</t>
  </si>
  <si>
    <t>FZ01223</t>
  </si>
  <si>
    <t>FZ01224</t>
  </si>
  <si>
    <t>FZ01225</t>
  </si>
  <si>
    <t>FZ01226</t>
  </si>
  <si>
    <t>FZ01227</t>
  </si>
  <si>
    <t>FZ01228</t>
  </si>
  <si>
    <t>FZ01229</t>
  </si>
  <si>
    <t>FZ01230</t>
  </si>
  <si>
    <t>FZ01231</t>
  </si>
  <si>
    <t>FZ01232</t>
  </si>
  <si>
    <t>FZ01233</t>
  </si>
  <si>
    <t>FZ01234</t>
  </si>
  <si>
    <t>FZ01235</t>
  </si>
  <si>
    <t>FZ01236</t>
  </si>
  <si>
    <t>FZ01237</t>
  </si>
  <si>
    <t>FZ01238</t>
  </si>
  <si>
    <t>FZ01239</t>
  </si>
  <si>
    <t>FZ01240</t>
  </si>
  <si>
    <t>FZ01241</t>
  </si>
  <si>
    <t>FZ01242</t>
  </si>
  <si>
    <t>FZ01243</t>
  </si>
  <si>
    <t>FZ01244</t>
  </si>
  <si>
    <t>FZ01245</t>
  </si>
  <si>
    <t>FZ01246</t>
  </si>
  <si>
    <t>FZ01247</t>
  </si>
  <si>
    <t>FZ01248</t>
  </si>
  <si>
    <t>FZ01249</t>
  </si>
  <si>
    <t>FZ01250</t>
  </si>
  <si>
    <t>FZ01251</t>
  </si>
  <si>
    <t>FZ01252</t>
  </si>
  <si>
    <t>FZ01253</t>
  </si>
  <si>
    <t>FZ01254</t>
  </si>
  <si>
    <t>FZ01255</t>
  </si>
  <si>
    <t>FZ01256</t>
  </si>
  <si>
    <t>FZ01257</t>
  </si>
  <si>
    <t>FZ01258</t>
  </si>
  <si>
    <t>FZ01259</t>
  </si>
  <si>
    <t>FZ01260</t>
  </si>
  <si>
    <t>FZ01261</t>
  </si>
  <si>
    <t>FZ01262</t>
  </si>
  <si>
    <t>FZ01263</t>
  </si>
  <si>
    <t>FZ01264</t>
  </si>
  <si>
    <t>FZ01265</t>
  </si>
  <si>
    <t>FZ01266</t>
  </si>
  <si>
    <t>FZ01267</t>
  </si>
  <si>
    <t>FZ01268</t>
  </si>
  <si>
    <t>FZ01269</t>
  </si>
  <si>
    <t>FZ01270</t>
  </si>
  <si>
    <t>FZ01271</t>
  </si>
  <si>
    <t>FZ01272</t>
  </si>
  <si>
    <t>FZ01273</t>
  </si>
  <si>
    <t>FZ01274</t>
  </si>
  <si>
    <t>FZ01275</t>
  </si>
  <si>
    <t>FZ01276</t>
  </si>
  <si>
    <t>FZ01277</t>
  </si>
  <si>
    <t>FZ01278</t>
  </si>
  <si>
    <t>FZ01279</t>
  </si>
  <si>
    <t>FZ01280</t>
  </si>
  <si>
    <t>FZ01281</t>
  </si>
  <si>
    <t>FZ01282</t>
  </si>
  <si>
    <t>FZ01283</t>
  </si>
  <si>
    <t>FZ01284</t>
  </si>
  <si>
    <t>FZ01285</t>
  </si>
  <si>
    <t>FZ01286</t>
  </si>
  <si>
    <t>FZ01287</t>
  </si>
  <si>
    <t>FZ01288</t>
  </si>
  <si>
    <t>FZ01289</t>
  </si>
  <si>
    <t>FZ01290</t>
  </si>
  <si>
    <t>FZ01291</t>
  </si>
  <si>
    <t>FZ01292</t>
  </si>
  <si>
    <t>FZ01293</t>
  </si>
  <si>
    <t>FZ01294</t>
  </si>
  <si>
    <t>FZ01295</t>
  </si>
  <si>
    <t>FZ01296</t>
  </si>
  <si>
    <t>FZ01297</t>
  </si>
  <si>
    <t>FZ01298</t>
  </si>
  <si>
    <t>FZ01299</t>
  </si>
  <si>
    <t>FZ01300</t>
  </si>
  <si>
    <t>FZ01301</t>
  </si>
  <si>
    <t>FZ01302</t>
  </si>
  <si>
    <t>FZ01303</t>
  </si>
  <si>
    <t>FZ01304</t>
  </si>
  <si>
    <t>FZ01305</t>
  </si>
  <si>
    <t>FZ01306</t>
  </si>
  <si>
    <t>FZ01307</t>
  </si>
  <si>
    <t>FZ01308</t>
  </si>
  <si>
    <t>FZ01309</t>
  </si>
  <si>
    <t>FZ01310</t>
  </si>
  <si>
    <t>FZ01311</t>
  </si>
  <si>
    <t>FZ01312</t>
  </si>
  <si>
    <t>FZ01313</t>
  </si>
  <si>
    <t>FZ01314</t>
  </si>
  <si>
    <t>FZ01315</t>
  </si>
  <si>
    <t>FZ01316</t>
  </si>
  <si>
    <t>FZ01317</t>
  </si>
  <si>
    <t>FZ01318</t>
  </si>
  <si>
    <t>FZ01319</t>
  </si>
  <si>
    <t>FZ01320</t>
  </si>
  <si>
    <t>FZ01321</t>
  </si>
  <si>
    <t>FZ01322</t>
  </si>
  <si>
    <t>FZ01323</t>
  </si>
  <si>
    <t>FZ01324</t>
  </si>
  <si>
    <t>FZ01325</t>
  </si>
  <si>
    <t>FZ01326</t>
  </si>
  <si>
    <t>FZ01327</t>
  </si>
  <si>
    <t>FZ01328</t>
  </si>
  <si>
    <t>FZ01329</t>
  </si>
  <si>
    <t>FZ01330</t>
  </si>
  <si>
    <t>FZ01331</t>
  </si>
  <si>
    <t>FZ01332</t>
  </si>
  <si>
    <t>FZ01333</t>
  </si>
  <si>
    <t>FZ01334</t>
  </si>
  <si>
    <t>FZ01335</t>
  </si>
  <si>
    <t>FZ01336</t>
  </si>
  <si>
    <t>FZ01337</t>
  </si>
  <si>
    <t>FZ01338</t>
  </si>
  <si>
    <t>FZ01339</t>
  </si>
  <si>
    <t>FZ01340</t>
  </si>
  <si>
    <t>FZ01341</t>
  </si>
  <si>
    <t>FZ01342</t>
  </si>
  <si>
    <t>FZ01343</t>
  </si>
  <si>
    <t>FZ01344</t>
  </si>
  <si>
    <t>FZ01345</t>
  </si>
  <si>
    <t>FZ01346</t>
  </si>
  <si>
    <t>FZ01347</t>
  </si>
  <si>
    <t>FZ01348</t>
  </si>
  <si>
    <t>FZ01349</t>
  </si>
  <si>
    <t>FZ01350</t>
  </si>
  <si>
    <t>FZ01351</t>
  </si>
  <si>
    <t>FZ01352</t>
  </si>
  <si>
    <t>FZ01353</t>
  </si>
  <si>
    <t>FZ01354</t>
  </si>
  <si>
    <t>FZ01355</t>
  </si>
  <si>
    <t>FZ01356</t>
  </si>
  <si>
    <t>FZ01357</t>
  </si>
  <si>
    <t>FZ01358</t>
  </si>
  <si>
    <t>FZ01359</t>
  </si>
  <si>
    <t>FZ01360</t>
  </si>
  <si>
    <t>FZ01361</t>
  </si>
  <si>
    <t>FZ01362</t>
  </si>
  <si>
    <t>FZ01363</t>
  </si>
  <si>
    <t>FZ01364</t>
  </si>
  <si>
    <t>FZ01365</t>
  </si>
  <si>
    <t>FZ01366</t>
  </si>
  <si>
    <t>FZ01367</t>
  </si>
  <si>
    <t>FZ01368</t>
  </si>
  <si>
    <t>FZ01369</t>
  </si>
  <si>
    <t>FZ01370</t>
  </si>
  <si>
    <t>FZ01371</t>
  </si>
  <si>
    <t>FZ01372</t>
  </si>
  <si>
    <t>FZ01373</t>
  </si>
  <si>
    <t>FZ01374</t>
  </si>
  <si>
    <t>FZ01375</t>
  </si>
  <si>
    <t>FZ01376</t>
  </si>
  <si>
    <t>FZ01377</t>
  </si>
  <si>
    <t>FZ01378</t>
  </si>
  <si>
    <t>FZ01379</t>
  </si>
  <si>
    <t>FZ01380</t>
  </si>
  <si>
    <t>FZ01381</t>
  </si>
  <si>
    <t>FZ01382</t>
  </si>
  <si>
    <t>FZ01383</t>
  </si>
  <si>
    <t>FZ01384</t>
  </si>
  <si>
    <t>FZ01385</t>
  </si>
  <si>
    <t>FZ01386</t>
  </si>
  <si>
    <t>FZ01387</t>
  </si>
  <si>
    <t>FZ01388</t>
  </si>
  <si>
    <t>FZ01389</t>
  </si>
  <si>
    <t>FZ01390</t>
  </si>
  <si>
    <t>FZ01391</t>
  </si>
  <si>
    <t>FZ01392</t>
  </si>
  <si>
    <t>FZ01393</t>
  </si>
  <si>
    <t>FZ01394</t>
  </si>
  <si>
    <t>FZ01395</t>
  </si>
  <si>
    <t>FZ01396</t>
  </si>
  <si>
    <t>FZ01397</t>
  </si>
  <si>
    <t>FZ01398</t>
  </si>
  <si>
    <t>FZ01399</t>
  </si>
  <si>
    <t>FZ01400</t>
  </si>
  <si>
    <t>FZ01401</t>
  </si>
  <si>
    <t>FZ01402</t>
  </si>
  <si>
    <t>FZ01403</t>
  </si>
  <si>
    <t>FZ01404</t>
  </si>
  <si>
    <t>FZ01405</t>
  </si>
  <si>
    <t>FZ01406</t>
  </si>
  <si>
    <t>FZ01407</t>
  </si>
  <si>
    <t>FZ01408</t>
  </si>
  <si>
    <t>FZ01409</t>
  </si>
  <si>
    <t>FZ01410</t>
  </si>
  <si>
    <t>FZ01411</t>
  </si>
  <si>
    <t>FZ01412</t>
  </si>
  <si>
    <t>FZ01413</t>
  </si>
  <si>
    <t>FZ01414</t>
  </si>
  <si>
    <t>FZ01415</t>
  </si>
  <si>
    <t>FZ01416</t>
  </si>
  <si>
    <t>FZ01417</t>
  </si>
  <si>
    <t>FZ01418</t>
  </si>
  <si>
    <t>FZ01419</t>
  </si>
  <si>
    <t>FZ01420</t>
  </si>
  <si>
    <t>FZ01421</t>
  </si>
  <si>
    <t>FZ01422</t>
  </si>
  <si>
    <t>FZ01423</t>
  </si>
  <si>
    <t>FZ01424</t>
  </si>
  <si>
    <t>FZ01425</t>
  </si>
  <si>
    <t>FZ01426</t>
  </si>
  <si>
    <t>FZ01427</t>
  </si>
  <si>
    <t>FZ01428</t>
  </si>
  <si>
    <t>FZ01429</t>
  </si>
  <si>
    <t>FZ01430</t>
  </si>
  <si>
    <t>FZ01431</t>
  </si>
  <si>
    <t>FZ01432</t>
  </si>
  <si>
    <t>FZ01433</t>
  </si>
  <si>
    <t>FZ01434</t>
  </si>
  <si>
    <t>FZ01435</t>
  </si>
  <si>
    <t>FZ01436</t>
  </si>
  <si>
    <t>FZ01437</t>
  </si>
  <si>
    <t>FZ01438</t>
  </si>
  <si>
    <t>FZ01439</t>
  </si>
  <si>
    <t>FZ01440</t>
  </si>
  <si>
    <t>FZ01441</t>
  </si>
  <si>
    <t>FZ01442</t>
  </si>
  <si>
    <t>FZ01443</t>
  </si>
  <si>
    <t>FZ01444</t>
  </si>
  <si>
    <t>FZ01445</t>
  </si>
  <si>
    <t>FZ01446</t>
  </si>
  <si>
    <t>FZ01447</t>
  </si>
  <si>
    <t>FZ01448</t>
  </si>
  <si>
    <t>FZ01449</t>
  </si>
  <si>
    <t>FZ01450</t>
  </si>
  <si>
    <t>FZ01451</t>
  </si>
  <si>
    <t>FZ01452</t>
  </si>
  <si>
    <t>FZ01453</t>
  </si>
  <si>
    <t>FZ01454</t>
  </si>
  <si>
    <t>FZ01455</t>
  </si>
  <si>
    <t>FZ01456</t>
  </si>
  <si>
    <t>FZ01457</t>
  </si>
  <si>
    <t>FZ01458</t>
  </si>
  <si>
    <t>FZ01459</t>
  </si>
  <si>
    <t>FZ01460</t>
  </si>
  <si>
    <t>FZ01461</t>
  </si>
  <si>
    <t>FZ01462</t>
  </si>
  <si>
    <t>FZ01463</t>
  </si>
  <si>
    <t>FZ01464</t>
  </si>
  <si>
    <t>FZ01465</t>
  </si>
  <si>
    <t>FZ01466</t>
  </si>
  <si>
    <t>FZ01467</t>
  </si>
  <si>
    <t>FZ01468</t>
  </si>
  <si>
    <t>FZ01469</t>
  </si>
  <si>
    <t>FZ01470</t>
  </si>
  <si>
    <t>FZ01471</t>
  </si>
  <si>
    <t>FZ01472</t>
  </si>
  <si>
    <t>FZ01473</t>
  </si>
  <si>
    <t>FZ01474</t>
  </si>
  <si>
    <t>FZ01475</t>
  </si>
  <si>
    <t>FZ01476</t>
  </si>
  <si>
    <t>FZ01477</t>
  </si>
  <si>
    <t>FZ01478</t>
  </si>
  <si>
    <t>FZ01479</t>
  </si>
  <si>
    <t>FZ01480</t>
  </si>
  <si>
    <t>FZ01481</t>
  </si>
  <si>
    <t>FZ01482</t>
  </si>
  <si>
    <t>FZ01483</t>
  </si>
  <si>
    <t>FZ01484</t>
  </si>
  <si>
    <t>FZ01485</t>
  </si>
  <si>
    <t>FZ01486</t>
  </si>
  <si>
    <t>FZ01487</t>
  </si>
  <si>
    <t>FZ01488</t>
  </si>
  <si>
    <t>FZ01489</t>
  </si>
  <si>
    <t>FZ01490</t>
  </si>
  <si>
    <t>FZ01491</t>
  </si>
  <si>
    <t>FZ01492</t>
  </si>
  <si>
    <t>FZ01493</t>
  </si>
  <si>
    <t>FZ01494</t>
  </si>
  <si>
    <t>FZ01495</t>
  </si>
  <si>
    <t>FZ01496</t>
  </si>
  <si>
    <t>FZ01497</t>
  </si>
  <si>
    <t>FZ01498</t>
  </si>
  <si>
    <t>FZ01499</t>
  </si>
  <si>
    <t>FZ01500</t>
  </si>
  <si>
    <t>Measure / object</t>
  </si>
  <si>
    <t>DAX expression</t>
  </si>
  <si>
    <t>Purpose</t>
  </si>
  <si>
    <t>Total Orders</t>
  </si>
  <si>
    <t>Total Orders = COUNTROWS('Sales')</t>
  </si>
  <si>
    <t>Number of order rows in current filter context</t>
  </si>
  <si>
    <t>Total Chicks Ordered</t>
  </si>
  <si>
    <t>Total Chicks Ordered = SUM('Sales'[Quantity_Ordered])</t>
  </si>
  <si>
    <t>Ordered volume</t>
  </si>
  <si>
    <t>Total Revenue (NGN)</t>
  </si>
  <si>
    <t>Total Revenue (NGN) = SUM('Sales'[Revenue_NGN])</t>
  </si>
  <si>
    <t>Revenue field total</t>
  </si>
  <si>
    <t>Total Cost (NGN)</t>
  </si>
  <si>
    <t>Total Cost (NGN) = SUM('Sales'[Total_Cost_NGN])</t>
  </si>
  <si>
    <t>Total recorded cost</t>
  </si>
  <si>
    <t>Gross Profit (NGN)</t>
  </si>
  <si>
    <t>Gross Profit (NGN) = SUM('Sales'[Gross_Profit_NGN])</t>
  </si>
  <si>
    <t>Gross profit field total</t>
  </si>
  <si>
    <t>Net Profit (NGN)</t>
  </si>
  <si>
    <t>Net Profit (NGN) = SUM('Sales'[Computed_Net_Profit_NGN])</t>
  </si>
  <si>
    <t>Uses the calculated row-level column; matches slide total</t>
  </si>
  <si>
    <t>Source Net Profit (NGN)</t>
  </si>
  <si>
    <t>Source Net Profit (NGN) = SUM('Sales'[Net_Profit_NGN])</t>
  </si>
  <si>
    <t>Reconciliation against source field</t>
  </si>
  <si>
    <t>Net Profit Reconciliation</t>
  </si>
  <si>
    <t>Net Profit Reconciliation (NGN) = [Net Profit (NGN)] - [Source Net Profit (NGN)]</t>
  </si>
  <si>
    <t>Should be 0</t>
  </si>
  <si>
    <t>Net Profit Margin</t>
  </si>
  <si>
    <t>Net Profit Margin = DIVIDE([Net Profit (NGN)], [Total Revenue (NGN)])</t>
  </si>
  <si>
    <t>Net profit divided by revenue</t>
  </si>
  <si>
    <t>Outstanding Balance</t>
  </si>
  <si>
    <t>Outstanding Balance (NGN) = SUM('Sales'[Balance_Due_NGN])</t>
  </si>
  <si>
    <t>Remaining customer balances</t>
  </si>
  <si>
    <t>Average Order Value</t>
  </si>
  <si>
    <t>Average Order Value (NGN) = DIVIDE([Total Revenue (NGN)], [Total Orders])</t>
  </si>
  <si>
    <t>Average revenue per order row</t>
  </si>
  <si>
    <t>WhatsApp Orders</t>
  </si>
  <si>
    <t>WhatsApp Orders = CALCULATE([Total Orders], 'Sales'[Sales_Channel] = "WhatsApp")</t>
  </si>
  <si>
    <t>Orders with WhatsApp as recorded channel</t>
  </si>
  <si>
    <t>WhatsApp Order Share</t>
  </si>
  <si>
    <t>WhatsApp Order Share = DIVIDE([WhatsApp Orders], [Total Orders])</t>
  </si>
  <si>
    <t>WhatsApp orders as share of all orders</t>
  </si>
  <si>
    <t>Transport + Handling per Chick</t>
  </si>
  <si>
    <t>Transport + Handling per Chick (NGN) = DIVIDE(SUM('Sales'[Transport_Cost_NGN]) + SUM('Sales'[Handling_Cost_NGN]), [Total Chicks Ordered])</t>
  </si>
  <si>
    <t>Unit logistics cost proxy</t>
  </si>
  <si>
    <t>Delivered / Collected Orders</t>
  </si>
  <si>
    <t>Fulfilled Orders = CALCULATE([Total Orders], 'Sales'[Delivery_Status] IN {"Delivered", "Collected"})</t>
  </si>
  <si>
    <t>Counts completed delivery and collection statuses</t>
  </si>
  <si>
    <t>Calendar table</t>
  </si>
  <si>
    <t>Calendar = CALENDAR(MINX(ALL(Sales), Sales[Order_Date]), MAXX(ALL(Sales), Sales[Order_Date]))</t>
  </si>
  <si>
    <t>Create a date table; mark Calendar[Date] as the date column and relate to Sales[Order_Date]</t>
  </si>
  <si>
    <t>Calendar year</t>
  </si>
  <si>
    <t>Calendar Year = YEAR(Calendar[Date])</t>
  </si>
  <si>
    <t>Calculated column in Calendar table</t>
  </si>
  <si>
    <t>Calendar month number</t>
  </si>
  <si>
    <t>Calendar Month Number = MONTH(Calendar[Date])</t>
  </si>
  <si>
    <t>Calculated column in Calendar table; sort month name by number</t>
  </si>
  <si>
    <t>Calendar month name</t>
  </si>
  <si>
    <t>Calendar Month = FORMAT(Calendar[Date], "MMMM")</t>
  </si>
  <si>
    <t>Row Labels</t>
  </si>
  <si>
    <t>Sum of Unit_Selling_Price_NGN</t>
  </si>
  <si>
    <t>Grand Total</t>
  </si>
  <si>
    <t>Sum of Revenue_NGN</t>
  </si>
  <si>
    <t>(All)</t>
  </si>
  <si>
    <t>Column Labels</t>
  </si>
  <si>
    <t>Sum of Quantity_Ordered</t>
  </si>
  <si>
    <t>Sum of Net_Profit_NGN</t>
  </si>
  <si>
    <t>Count of Order_ID</t>
  </si>
  <si>
    <t>Sum of Order_Year</t>
  </si>
  <si>
    <t>Count of Quantity_Ordered</t>
  </si>
  <si>
    <t>Average of Unit_Selling_Price_NGN</t>
  </si>
  <si>
    <t>Count of Delivery_Status</t>
  </si>
  <si>
    <t>Average of Quantity_Ordered</t>
  </si>
  <si>
    <t>AgroPlus NG</t>
  </si>
  <si>
    <t>CHI FARMS</t>
  </si>
  <si>
    <t>Farm Support</t>
  </si>
  <si>
    <t>PAN Industries</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</si>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</sst>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name val="Carlito"/>
    </font>
    <font>
      <b/>
      <sz val="17"/>
      <color rgb="FFFFFFFF"/>
      <name val="Aptos"/>
    </font>
    <font>
      <b/>
      <sz val="10"/>
      <color rgb="FFFFFFFF"/>
      <name val="Aptos"/>
    </font>
    <font>
      <sz val="11"/>
      <color rgb="FF203028"/>
      <name val="Aptos"/>
    </font>
    <font>
      <i/>
      <sz val="11"/>
      <color rgb="FF203028"/>
      <name val="Aptos"/>
    </font>
    <font>
      <sz val="10"/>
      <color rgb="FF203028"/>
      <name val="Aptos"/>
    </font>
  </fonts>
  <fills count="6">
    <fill>
      <patternFill patternType="none"/>
    </fill>
    <fill>
      <patternFill patternType="gray125"/>
    </fill>
    <fill>
      <patternFill patternType="solid">
        <fgColor rgb="FF0B4A32"/>
      </patternFill>
    </fill>
    <fill>
      <patternFill patternType="solid">
        <fgColor rgb="FFF5F4EF"/>
      </patternFill>
    </fill>
    <fill>
      <patternFill patternType="solid">
        <fgColor rgb="FFEAF0EB"/>
      </patternFill>
    </fill>
    <fill>
      <patternFill patternType="solid">
        <fgColor theme="6"/>
        <bgColor indexed="64"/>
      </patternFill>
    </fill>
  </fills>
  <borders count="1">
    <border>
      <left/>
      <right/>
      <top/>
      <bottom/>
      <diagonal/>
    </border>
  </borders>
  <cellStyleXfs count="1">
    <xf numFmtId="0" fontId="0" fillId="0" borderId="0"/>
  </cellStyleXfs>
  <cellXfs count="17">
    <xf numFmtId="0" fontId="0" fillId="0" borderId="0" xfId="0"/>
    <xf numFmtId="0" fontId="2" fillId="2" borderId="0" xfId="0" applyFont="1" applyFill="1" applyAlignment="1">
      <alignment vertical="center" wrapText="1"/>
    </xf>
    <xf numFmtId="0" fontId="3" fillId="0" borderId="0" xfId="0" applyFont="1"/>
    <xf numFmtId="3" fontId="3" fillId="0" borderId="0" xfId="0" applyNumberFormat="1" applyFont="1"/>
    <xf numFmtId="4" fontId="3" fillId="0" borderId="0" xfId="0" applyNumberFormat="1" applyFont="1"/>
    <xf numFmtId="0" fontId="3" fillId="4" borderId="0" xfId="0" applyFont="1" applyFill="1"/>
    <xf numFmtId="4" fontId="3" fillId="4" borderId="0" xfId="0" applyNumberFormat="1" applyFont="1" applyFill="1"/>
    <xf numFmtId="164" fontId="3" fillId="0" borderId="0" xfId="0" applyNumberFormat="1" applyFont="1"/>
    <xf numFmtId="0" fontId="3" fillId="3" borderId="0" xfId="0" applyFont="1" applyFill="1"/>
    <xf numFmtId="0" fontId="5" fillId="0" borderId="0" xfId="0" applyFont="1" applyAlignment="1">
      <alignment vertical="top" wrapText="1"/>
    </xf>
    <xf numFmtId="0" fontId="0" fillId="0" borderId="0" xfId="0" pivotButton="1"/>
    <xf numFmtId="0" fontId="0" fillId="0" borderId="0" xfId="0" applyAlignment="1">
      <alignment horizontal="left"/>
    </xf>
    <xf numFmtId="0" fontId="1" fillId="2" borderId="0" xfId="0" applyFont="1" applyFill="1" applyAlignment="1">
      <alignment vertical="center"/>
    </xf>
    <xf numFmtId="0" fontId="4" fillId="3" borderId="0" xfId="0" applyFont="1" applyFill="1"/>
    <xf numFmtId="0" fontId="5" fillId="4" borderId="0" xfId="0" applyFont="1" applyFill="1" applyAlignment="1">
      <alignment vertical="center" wrapText="1"/>
    </xf>
    <xf numFmtId="0" fontId="0" fillId="5" borderId="0" xfId="0"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6</xdr:col>
      <xdr:colOff>363104</xdr:colOff>
      <xdr:row>46</xdr:row>
      <xdr:rowOff>164811</xdr:rowOff>
    </xdr:from>
    <xdr:to>
      <xdr:col>7</xdr:col>
      <xdr:colOff>1181677</xdr:colOff>
      <xdr:row>60</xdr:row>
      <xdr:rowOff>62345</xdr:rowOff>
    </xdr:to>
    <mc:AlternateContent xmlns:mc="http://schemas.openxmlformats.org/markup-compatibility/2006" xmlns:a14="http://schemas.microsoft.com/office/drawing/2010/main">
      <mc:Choice Requires="a14">
        <xdr:graphicFrame macro="">
          <xdr:nvGraphicFramePr>
            <xdr:cNvPr id="3" name="Product_Type">
              <a:extLst>
                <a:ext uri="{FF2B5EF4-FFF2-40B4-BE49-F238E27FC236}">
                  <a16:creationId xmlns:a16="http://schemas.microsoft.com/office/drawing/2014/main" id="{994BCF2D-2CDA-BDAF-6F73-E4CA3D396BEC}"/>
                </a:ext>
              </a:extLst>
            </xdr:cNvPr>
            <xdr:cNvGraphicFramePr/>
          </xdr:nvGraphicFramePr>
          <xdr:xfrm>
            <a:off x="0" y="0"/>
            <a:ext cx="0" cy="0"/>
          </xdr:xfrm>
          <a:graphic>
            <a:graphicData uri="http://schemas.microsoft.com/office/drawing/2010/slicer">
              <sle:slicer xmlns:sle="http://schemas.microsoft.com/office/drawing/2010/slicer" name="Product_Type"/>
            </a:graphicData>
          </a:graphic>
        </xdr:graphicFrame>
      </mc:Choice>
      <mc:Fallback xmlns="">
        <xdr:sp macro="" textlink="">
          <xdr:nvSpPr>
            <xdr:cNvPr id="0" name=""/>
            <xdr:cNvSpPr>
              <a:spLocks noTextEdit="1"/>
            </xdr:cNvSpPr>
          </xdr:nvSpPr>
          <xdr:spPr>
            <a:xfrm>
              <a:off x="7131627" y="8795038"/>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1048616</xdr:colOff>
      <xdr:row>47</xdr:row>
      <xdr:rowOff>27708</xdr:rowOff>
    </xdr:from>
    <xdr:to>
      <xdr:col>10</xdr:col>
      <xdr:colOff>337416</xdr:colOff>
      <xdr:row>60</xdr:row>
      <xdr:rowOff>112856</xdr:rowOff>
    </xdr:to>
    <mc:AlternateContent xmlns:mc="http://schemas.openxmlformats.org/markup-compatibility/2006" xmlns:a14="http://schemas.microsoft.com/office/drawing/2010/main">
      <mc:Choice Requires="a14">
        <xdr:graphicFrame macro="">
          <xdr:nvGraphicFramePr>
            <xdr:cNvPr id="5" name="Sales_Channel">
              <a:extLst>
                <a:ext uri="{FF2B5EF4-FFF2-40B4-BE49-F238E27FC236}">
                  <a16:creationId xmlns:a16="http://schemas.microsoft.com/office/drawing/2014/main" id="{55571CC6-29F4-054C-A1C2-0672D7C6F89F}"/>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2565207" y="8845549"/>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xdr:colOff>
      <xdr:row>47</xdr:row>
      <xdr:rowOff>13277</xdr:rowOff>
    </xdr:from>
    <xdr:to>
      <xdr:col>9</xdr:col>
      <xdr:colOff>34347</xdr:colOff>
      <xdr:row>60</xdr:row>
      <xdr:rowOff>98425</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0A734959-6FE8-CD7B-3595-D0D3ED7E213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722139" y="8831118"/>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1026968</xdr:colOff>
      <xdr:row>46</xdr:row>
      <xdr:rowOff>150380</xdr:rowOff>
    </xdr:from>
    <xdr:to>
      <xdr:col>12</xdr:col>
      <xdr:colOff>676564</xdr:colOff>
      <xdr:row>60</xdr:row>
      <xdr:rowOff>47914</xdr:rowOff>
    </xdr:to>
    <mc:AlternateContent xmlns:mc="http://schemas.openxmlformats.org/markup-compatibility/2006" xmlns:a14="http://schemas.microsoft.com/office/drawing/2010/main">
      <mc:Choice Requires="a14">
        <xdr:graphicFrame macro="">
          <xdr:nvGraphicFramePr>
            <xdr:cNvPr id="8" name="Supplier">
              <a:extLst>
                <a:ext uri="{FF2B5EF4-FFF2-40B4-BE49-F238E27FC236}">
                  <a16:creationId xmlns:a16="http://schemas.microsoft.com/office/drawing/2014/main" id="{8A38C7AF-3CD0-3120-A635-222194B687BF}"/>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5083559" y="8780607"/>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9525</xdr:colOff>
      <xdr:row>0</xdr:row>
      <xdr:rowOff>0</xdr:rowOff>
    </xdr:from>
    <xdr:ext cx="17849850" cy="723900"/>
    <xdr:sp macro="" textlink="">
      <xdr:nvSpPr>
        <xdr:cNvPr id="2" name="TextBox 1">
          <a:extLst>
            <a:ext uri="{FF2B5EF4-FFF2-40B4-BE49-F238E27FC236}">
              <a16:creationId xmlns:a16="http://schemas.microsoft.com/office/drawing/2014/main" id="{897B8D87-A2AC-A2B2-4BFC-EE8AB980A614}"/>
            </a:ext>
          </a:extLst>
        </xdr:cNvPr>
        <xdr:cNvSpPr txBox="1"/>
      </xdr:nvSpPr>
      <xdr:spPr>
        <a:xfrm>
          <a:off x="9525" y="0"/>
          <a:ext cx="17849850" cy="723900"/>
        </a:xfrm>
        <a:prstGeom prst="rect">
          <a:avLst/>
        </a:prstGeom>
        <a:solidFill>
          <a:schemeClr val="accent3"/>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1100"/>
            <a:t>      </a:t>
          </a:r>
        </a:p>
        <a:p>
          <a:pPr lvl="1" algn="l"/>
          <a:r>
            <a:rPr lang="en-US" sz="2800" b="1" baseline="0">
              <a:solidFill>
                <a:schemeClr val="bg1"/>
              </a:solidFill>
            </a:rPr>
            <a:t>                                                                   FUTZAV POULTRY SALES PERFORMANCE ANALYSIS </a:t>
          </a:r>
          <a:endParaRPr lang="en-US" sz="2800" b="1">
            <a:solidFill>
              <a:schemeClr val="bg1"/>
            </a:solidFill>
          </a:endParaRPr>
        </a:p>
      </xdr:txBody>
    </xdr:sp>
    <xdr:clientData/>
  </xdr:oneCellAnchor>
  <xdr:twoCellAnchor editAs="oneCell">
    <xdr:from>
      <xdr:col>0</xdr:col>
      <xdr:colOff>0</xdr:colOff>
      <xdr:row>4</xdr:row>
      <xdr:rowOff>9526</xdr:rowOff>
    </xdr:from>
    <xdr:to>
      <xdr:col>12</xdr:col>
      <xdr:colOff>209550</xdr:colOff>
      <xdr:row>13</xdr:row>
      <xdr:rowOff>19051</xdr:rowOff>
    </xdr:to>
    <mc:AlternateContent xmlns:mc="http://schemas.openxmlformats.org/markup-compatibility/2006">
      <mc:Choice xmlns:a14="http://schemas.microsoft.com/office/drawing/2010/main" Requires="a14">
        <xdr:graphicFrame macro="">
          <xdr:nvGraphicFramePr>
            <xdr:cNvPr id="3" name="Product_Type 1">
              <a:extLst>
                <a:ext uri="{FF2B5EF4-FFF2-40B4-BE49-F238E27FC236}">
                  <a16:creationId xmlns:a16="http://schemas.microsoft.com/office/drawing/2014/main" id="{9E2F2390-0619-4442-A7A1-F2BBB27FF0E8}"/>
                </a:ext>
              </a:extLst>
            </xdr:cNvPr>
            <xdr:cNvGraphicFramePr/>
          </xdr:nvGraphicFramePr>
          <xdr:xfrm>
            <a:off x="0" y="0"/>
            <a:ext cx="0" cy="0"/>
          </xdr:xfrm>
          <a:graphic>
            <a:graphicData uri="http://schemas.microsoft.com/office/drawing/2010/slicer">
              <sle:slicer xmlns:sle="http://schemas.microsoft.com/office/drawing/2010/slicer" name="Product_Type 1"/>
            </a:graphicData>
          </a:graphic>
        </xdr:graphicFrame>
      </mc:Choice>
      <mc:Fallback>
        <xdr:sp macro="" textlink="">
          <xdr:nvSpPr>
            <xdr:cNvPr id="0" name=""/>
            <xdr:cNvSpPr>
              <a:spLocks noTextEdit="1"/>
            </xdr:cNvSpPr>
          </xdr:nvSpPr>
          <xdr:spPr>
            <a:xfrm>
              <a:off x="0" y="733426"/>
              <a:ext cx="8439150" cy="16383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inkunmi Oladeji" refreshedDate="46320.110468287035" createdVersion="8" refreshedVersion="8" minRefreshableVersion="3" recordCount="1500" xr:uid="{3997F9BC-F969-48D0-9DC7-23541FD3EB70}">
  <cacheSource type="worksheet">
    <worksheetSource name="Sales"/>
  </cacheSource>
  <cacheFields count="33">
    <cacheField name="Order_ID" numFmtId="0">
      <sharedItems/>
    </cacheField>
    <cacheField name="Order_Date" numFmtId="0">
      <sharedItems containsSemiMixedTypes="0" containsString="0" containsNumber="1" containsInteger="1" minValue="45280" maxValue="46018" count="645">
        <n v="45500"/>
        <n v="45415"/>
        <n v="45519"/>
        <n v="45873"/>
        <n v="45870"/>
        <n v="45787"/>
        <n v="45628"/>
        <n v="45318"/>
        <n v="45746"/>
        <n v="45779"/>
        <n v="45818"/>
        <n v="45638"/>
        <n v="45309"/>
        <n v="45673"/>
        <n v="45382"/>
        <n v="45682"/>
        <n v="45478"/>
        <n v="45606"/>
        <n v="45920"/>
        <n v="45970"/>
        <n v="45664"/>
        <n v="45586"/>
        <n v="45875"/>
        <n v="45419"/>
        <n v="45879"/>
        <n v="45463"/>
        <n v="45852"/>
        <n v="45862"/>
        <n v="45753"/>
        <n v="45408"/>
        <n v="45933"/>
        <n v="45670"/>
        <n v="45629"/>
        <n v="45728"/>
        <n v="46004"/>
        <n v="45642"/>
        <n v="45641"/>
        <n v="45328"/>
        <n v="45725"/>
        <n v="45906"/>
        <n v="45780"/>
        <n v="45898"/>
        <n v="45859"/>
        <n v="45921"/>
        <n v="45371"/>
        <n v="45447"/>
        <n v="45297"/>
        <n v="45759"/>
        <n v="45546"/>
        <n v="46001"/>
        <n v="45773"/>
        <n v="45978"/>
        <n v="45902"/>
        <n v="45835"/>
        <n v="45630"/>
        <n v="45601"/>
        <n v="45339"/>
        <n v="45847"/>
        <n v="45990"/>
        <n v="45344"/>
        <n v="45438"/>
        <n v="45955"/>
        <n v="45465"/>
        <n v="45581"/>
        <n v="45365"/>
        <n v="45352"/>
        <n v="45597"/>
        <n v="45800"/>
        <n v="45810"/>
        <n v="45330"/>
        <n v="45319"/>
        <n v="45876"/>
        <n v="45492"/>
        <n v="45949"/>
        <n v="45531"/>
        <n v="45817"/>
        <n v="45545"/>
        <n v="45720"/>
        <n v="46012"/>
        <n v="45445"/>
        <n v="45418"/>
        <n v="45472"/>
        <n v="45483"/>
        <n v="45280"/>
        <n v="45731"/>
        <n v="45824"/>
        <n v="45891"/>
        <n v="45853"/>
        <n v="45567"/>
        <n v="45552"/>
        <n v="45311"/>
        <n v="45962"/>
        <n v="45615"/>
        <n v="45695"/>
        <n v="45654"/>
        <n v="45523"/>
        <n v="46011"/>
        <n v="45600"/>
        <n v="45797"/>
        <n v="45589"/>
        <n v="45405"/>
        <n v="45651"/>
        <n v="45566"/>
        <n v="45476"/>
        <n v="45610"/>
        <n v="45745"/>
        <n v="45392"/>
        <n v="45863"/>
        <n v="45786"/>
        <n v="45784"/>
        <n v="45888"/>
        <n v="45307"/>
        <n v="45761"/>
        <n v="45490"/>
        <n v="45596"/>
        <n v="45507"/>
        <n v="45802"/>
        <n v="45385"/>
        <n v="45988"/>
        <n v="45694"/>
        <n v="45449"/>
        <n v="45560"/>
        <n v="45812"/>
        <n v="45323"/>
        <n v="45460"/>
        <n v="45702"/>
        <n v="45451"/>
        <n v="45378"/>
        <n v="45627"/>
        <n v="45937"/>
        <n v="45739"/>
        <n v="45747"/>
        <n v="45918"/>
        <n v="45971"/>
        <n v="45925"/>
        <n v="45941"/>
        <n v="45756"/>
        <n v="45321"/>
        <n v="45697"/>
        <n v="45904"/>
        <n v="45774"/>
        <n v="45505"/>
        <n v="45851"/>
        <n v="45831"/>
        <n v="45429"/>
        <n v="45740"/>
        <n v="45968"/>
        <n v="45591"/>
        <n v="45477"/>
        <n v="45467"/>
        <n v="45504"/>
        <n v="45376"/>
        <n v="45357"/>
        <n v="45963"/>
        <n v="45973"/>
        <n v="45650"/>
        <n v="45342"/>
        <n v="45561"/>
        <n v="45656"/>
        <n v="45403"/>
        <n v="45775"/>
        <n v="45897"/>
        <n v="45828"/>
        <n v="45826"/>
        <n v="45730"/>
        <n v="45842"/>
        <n v="45341"/>
        <n v="45738"/>
        <n v="45672"/>
        <n v="45768"/>
        <n v="45437"/>
        <n v="45689"/>
        <n v="45481"/>
        <n v="45491"/>
        <n v="45510"/>
        <n v="45685"/>
        <n v="45785"/>
        <n v="45343"/>
        <n v="45526"/>
        <n v="45333"/>
        <n v="45865"/>
        <n v="45294"/>
        <n v="45555"/>
        <n v="45539"/>
        <n v="45892"/>
        <n v="45954"/>
        <n v="45805"/>
        <n v="45711"/>
        <n v="45717"/>
        <n v="45662"/>
        <n v="45858"/>
        <n v="45737"/>
        <n v="45932"/>
        <n v="45535"/>
        <n v="45402"/>
        <n v="45907"/>
        <n v="45444"/>
        <n v="45763"/>
        <n v="45790"/>
        <n v="45911"/>
        <n v="45577"/>
        <n v="45839"/>
        <n v="45422"/>
        <n v="45657"/>
        <n v="45844"/>
        <n v="45647"/>
        <n v="45776"/>
        <n v="45493"/>
        <n v="45544"/>
        <n v="45337"/>
        <n v="45958"/>
        <n v="45901"/>
        <n v="45570"/>
        <n v="45919"/>
        <n v="45495"/>
        <n v="45509"/>
        <n v="46008"/>
        <n v="45291"/>
        <n v="45699"/>
        <n v="45320"/>
        <n v="45704"/>
        <n v="45649"/>
        <n v="45809"/>
        <n v="45995"/>
        <n v="45574"/>
        <n v="45942"/>
        <n v="45456"/>
        <n v="45986"/>
        <n v="45301"/>
        <n v="45912"/>
        <n v="45880"/>
        <n v="45960"/>
        <n v="45551"/>
        <n v="45455"/>
        <n v="45548"/>
        <n v="45772"/>
        <n v="45622"/>
        <n v="45751"/>
        <n v="45293"/>
        <n v="45446"/>
        <n v="45295"/>
        <n v="45848"/>
        <n v="45652"/>
        <n v="45833"/>
        <n v="45943"/>
        <n v="45498"/>
        <n v="45883"/>
        <n v="45709"/>
        <n v="45866"/>
        <n v="45992"/>
        <n v="45362"/>
        <n v="45468"/>
        <n v="45582"/>
        <n v="45757"/>
        <n v="45767"/>
        <n v="45571"/>
        <n v="45750"/>
        <n v="45401"/>
        <n v="45854"/>
        <n v="45312"/>
        <n v="45861"/>
        <n v="45503"/>
        <n v="45480"/>
        <n v="45380"/>
        <n v="45611"/>
        <n v="45806"/>
        <n v="45568"/>
        <n v="45671"/>
        <n v="45799"/>
        <n v="45387"/>
        <n v="45430"/>
        <n v="45334"/>
        <n v="45530"/>
        <n v="45789"/>
        <n v="45815"/>
        <n v="45910"/>
        <n v="46018"/>
        <n v="45494"/>
        <n v="45436"/>
        <n v="45513"/>
        <n v="45420"/>
        <n v="45443"/>
        <n v="45991"/>
        <n v="45450"/>
        <n v="45350"/>
        <n v="45972"/>
        <n v="45820"/>
        <n v="45484"/>
        <n v="45329"/>
        <n v="45308"/>
        <n v="45547"/>
        <n v="45957"/>
        <n v="45838"/>
        <n v="45363"/>
        <n v="45395"/>
        <n v="45345"/>
        <n v="45969"/>
        <n v="45590"/>
        <n v="45580"/>
        <n v="45427"/>
        <n v="45896"/>
        <n v="45669"/>
        <n v="45823"/>
        <n v="45977"/>
        <n v="45292"/>
        <n v="45944"/>
        <n v="45705"/>
        <n v="45448"/>
        <n v="45602"/>
        <n v="46010"/>
        <n v="45637"/>
        <n v="45486"/>
        <n v="45719"/>
        <n v="45708"/>
        <n v="45326"/>
        <n v="45536"/>
        <n v="45508"/>
        <n v="45959"/>
        <n v="45706"/>
        <n v="45572"/>
        <n v="45679"/>
        <n v="45742"/>
        <n v="45366"/>
        <n v="45928"/>
        <n v="45458"/>
        <n v="45316"/>
        <n v="45631"/>
        <n v="45748"/>
        <n v="45735"/>
        <n v="45639"/>
        <n v="45684"/>
        <n v="45688"/>
        <n v="45659"/>
        <n v="45412"/>
        <n v="45533"/>
        <n v="45885"/>
        <n v="45302"/>
        <n v="45871"/>
        <n v="45913"/>
        <n v="45485"/>
        <n v="45663"/>
        <n v="45578"/>
        <n v="45764"/>
        <n v="45726"/>
        <n v="45553"/>
        <n v="45425"/>
        <n v="45981"/>
        <n v="45945"/>
        <n v="45473"/>
        <n v="45454"/>
        <n v="45814"/>
        <n v="45608"/>
        <n v="45573"/>
        <n v="45749"/>
        <n v="45289"/>
        <n v="45461"/>
        <n v="45310"/>
        <n v="45666"/>
        <n v="45744"/>
        <n v="45534"/>
        <n v="45489"/>
        <n v="45948"/>
        <n v="45537"/>
        <n v="45364"/>
        <n v="45396"/>
        <n v="45922"/>
        <n v="45564"/>
        <n v="45974"/>
        <n v="45413"/>
        <n v="45783"/>
        <n v="45324"/>
        <n v="45453"/>
        <n v="45375"/>
        <n v="45882"/>
        <n v="45625"/>
        <n v="45867"/>
        <n v="45374"/>
        <n v="45400"/>
        <n v="45475"/>
        <n v="45819"/>
        <n v="45821"/>
        <n v="45487"/>
        <n v="45340"/>
        <n v="45428"/>
        <n v="45398"/>
        <n v="45889"/>
        <n v="45613"/>
        <n v="45383"/>
        <n v="45617"/>
        <n v="45389"/>
        <n v="45356"/>
        <n v="45576"/>
        <n v="45909"/>
        <n v="45832"/>
        <n v="45692"/>
        <n v="45462"/>
        <n v="45313"/>
        <n v="45587"/>
        <n v="45440"/>
        <n v="45626"/>
        <n v="45680"/>
        <n v="45643"/>
        <n v="45349"/>
        <n v="45989"/>
        <n v="45703"/>
        <n v="45931"/>
        <n v="45388"/>
        <n v="45439"/>
        <n v="45966"/>
        <n v="45993"/>
        <n v="45452"/>
        <n v="45916"/>
        <n v="45770"/>
        <n v="45506"/>
        <n v="45554"/>
        <n v="45869"/>
        <n v="45804"/>
        <n v="45386"/>
        <n v="45856"/>
        <n v="46003"/>
        <n v="45543"/>
        <n v="45424"/>
        <n v="45710"/>
        <n v="45522"/>
        <n v="45470"/>
        <n v="45584"/>
        <n v="45947"/>
        <n v="46006"/>
        <n v="45982"/>
        <n v="45661"/>
        <n v="45296"/>
        <n v="45762"/>
        <n v="45985"/>
        <n v="45994"/>
        <n v="45825"/>
        <n v="45623"/>
        <n v="45542"/>
        <n v="45996"/>
        <n v="45426"/>
        <n v="45351"/>
        <n v="45836"/>
        <n v="45878"/>
        <n v="45575"/>
        <n v="45691"/>
        <n v="45404"/>
        <n v="46016"/>
        <n v="45975"/>
        <n v="45979"/>
        <n v="45956"/>
        <n v="45939"/>
        <n v="45347"/>
        <n v="45645"/>
        <n v="45562"/>
        <n v="45632"/>
        <n v="45846"/>
        <n v="45284"/>
        <n v="45540"/>
        <n v="45348"/>
        <n v="45565"/>
        <n v="45841"/>
        <n v="45431"/>
        <n v="45604"/>
        <n v="45976"/>
        <n v="45953"/>
        <n v="45538"/>
        <n v="45373"/>
        <n v="46009"/>
        <n v="45860"/>
        <n v="45696"/>
        <n v="45712"/>
        <n v="45724"/>
        <n v="45411"/>
        <n v="45980"/>
        <n v="45729"/>
        <n v="45496"/>
        <n v="45676"/>
        <n v="45432"/>
        <n v="45752"/>
        <n v="45516"/>
        <n v="45502"/>
        <n v="45700"/>
        <n v="45693"/>
        <n v="45894"/>
        <n v="45520"/>
        <n v="45881"/>
        <n v="45607"/>
        <n v="45644"/>
        <n v="45620"/>
        <n v="45497"/>
        <n v="45599"/>
        <n v="45512"/>
        <n v="45683"/>
        <n v="45732"/>
        <n v="45884"/>
        <n v="45479"/>
        <n v="45559"/>
        <n v="45707"/>
        <n v="45964"/>
        <n v="45550"/>
        <n v="45984"/>
        <n v="45441"/>
        <n v="45658"/>
        <n v="45743"/>
        <n v="45722"/>
        <n v="45532"/>
        <n v="45961"/>
        <n v="45782"/>
        <n v="45674"/>
        <n v="45801"/>
        <n v="45435"/>
        <n v="45946"/>
        <n v="45886"/>
        <n v="45298"/>
        <n v="45354"/>
        <n v="45816"/>
        <n v="45829"/>
        <n v="45714"/>
        <n v="45765"/>
        <n v="45935"/>
        <n v="45718"/>
        <n v="45306"/>
        <n v="46014"/>
        <n v="45915"/>
        <n v="45434"/>
        <n v="45951"/>
        <n v="45648"/>
        <n v="45397"/>
        <n v="45660"/>
        <n v="45423"/>
        <n v="45653"/>
        <n v="45416"/>
        <n v="45317"/>
        <n v="45556"/>
        <n v="45952"/>
        <n v="45593"/>
        <n v="45893"/>
        <n v="45394"/>
        <n v="45803"/>
        <n v="45754"/>
        <n v="45965"/>
        <n v="45488"/>
        <n v="45369"/>
        <n v="45914"/>
        <n v="45391"/>
        <n v="45594"/>
        <n v="45541"/>
        <n v="45609"/>
        <n v="45686"/>
        <n v="45690"/>
        <n v="45899"/>
        <n v="45304"/>
        <n v="45640"/>
        <n v="45372"/>
        <n v="45327"/>
        <n v="45855"/>
        <n v="45655"/>
        <n v="45525"/>
        <n v="45741"/>
        <n v="45464"/>
        <n v="46015"/>
        <n v="45377"/>
        <n v="45315"/>
        <n v="45864"/>
        <n v="45926"/>
        <n v="45766"/>
        <n v="45331"/>
        <n v="45675"/>
        <n v="45771"/>
        <n v="45997"/>
        <n v="45563"/>
        <n v="45287"/>
        <n v="45808"/>
        <n v="45905"/>
        <n v="45592"/>
        <n v="46002"/>
        <n v="45796"/>
        <n v="45967"/>
        <n v="45822"/>
        <n v="45845"/>
        <n v="45300"/>
        <n v="45760"/>
        <n v="45358"/>
        <n v="45983"/>
        <n v="45588"/>
        <n v="45410"/>
        <n v="45290"/>
        <n v="45936"/>
        <n v="45798"/>
        <n v="45840"/>
        <n v="45874"/>
        <n v="45527"/>
        <n v="45616"/>
        <n v="45667"/>
        <n v="45924"/>
        <n v="45721"/>
        <n v="46000"/>
        <n v="45987"/>
        <n v="45727"/>
        <n v="45514"/>
        <n v="45715"/>
        <n v="45515"/>
        <n v="45355"/>
        <n v="45474"/>
        <n v="45598"/>
        <n v="45843"/>
        <n v="45793"/>
        <n v="45466"/>
        <n v="45379"/>
        <n v="45646"/>
        <n v="45938"/>
        <n v="45681"/>
        <n v="45687"/>
        <n v="45701"/>
        <n v="45605"/>
        <n v="45393"/>
        <n v="45758"/>
        <n v="45634"/>
        <n v="45791"/>
        <n v="45459"/>
        <n v="46007"/>
        <n v="45777"/>
        <n v="45950"/>
        <n v="45769"/>
        <n v="45407"/>
        <n v="45903"/>
        <n v="46013"/>
        <n v="45322"/>
        <n v="45834"/>
        <n v="45303"/>
        <n v="45636"/>
        <n v="46005"/>
        <n v="45557"/>
        <n v="45733"/>
        <n v="45929"/>
        <n v="45723"/>
        <n v="45360"/>
        <n v="45612"/>
        <n v="45338"/>
        <n v="45482"/>
        <n v="45624"/>
        <n v="45807"/>
        <n v="45517"/>
        <n v="45900"/>
        <n v="45618"/>
        <n v="45830"/>
      </sharedItems>
    </cacheField>
    <cacheField name="Delivery_Date" numFmtId="0">
      <sharedItems containsString="0" containsBlank="1" containsNumber="1" containsInteger="1" minValue="45292" maxValue="46022"/>
    </cacheField>
    <cacheField name="Product_Type" numFmtId="0">
      <sharedItems count="5">
        <s v="Broiler DOC"/>
        <s v="Pullet DOC"/>
        <s v="Cockerel DOC"/>
        <s v="Noiler DOC"/>
        <s v="Turkey Poults"/>
      </sharedItems>
    </cacheField>
    <cacheField name="Quantity_Ordered" numFmtId="0">
      <sharedItems containsSemiMixedTypes="0" containsString="0" containsNumber="1" containsInteger="1" minValue="50" maxValue="1200" count="10">
        <n v="200"/>
        <n v="300"/>
        <n v="250"/>
        <n v="500"/>
        <n v="150"/>
        <n v="750"/>
        <n v="100"/>
        <n v="50"/>
        <n v="1000"/>
        <n v="1200"/>
      </sharedItems>
    </cacheField>
    <cacheField name="Unit_Selling_Price_NGN" numFmtId="0">
      <sharedItems containsSemiMixedTypes="0" containsString="0" containsNumber="1" minValue="656.24" maxValue="3258.95"/>
    </cacheField>
    <cacheField name="Discount_Percent" numFmtId="0">
      <sharedItems containsSemiMixedTypes="0" containsString="0" containsNumber="1" minValue="0" maxValue="5"/>
    </cacheField>
    <cacheField name="Revenue_NGN" numFmtId="0">
      <sharedItems containsSemiMixedTypes="0" containsString="0" containsNumber="1" minValue="0" maxValue="3882582.67"/>
    </cacheField>
    <cacheField name="Supplier" numFmtId="0">
      <sharedItems count="4">
        <s v="Supplier C"/>
        <s v="Supplier A"/>
        <s v="Supplier B"/>
        <s v="Supplier D"/>
      </sharedItems>
    </cacheField>
    <cacheField name="Unit_Purchase_Cost_NGN" numFmtId="0">
      <sharedItems containsSemiMixedTypes="0" containsString="0" containsNumber="1" minValue="526.54" maxValue="2449.4499999999998"/>
    </cacheField>
    <cacheField name="Procurement_Cost_NGN" numFmtId="0">
      <sharedItems containsSemiMixedTypes="0" containsString="0" containsNumber="1" minValue="0" maxValue="2754060"/>
    </cacheField>
    <cacheField name="Transport_Cost_NGN" numFmtId="0">
      <sharedItems containsSemiMixedTypes="0" containsString="0" containsNumber="1" minValue="0" maxValue="28448.560000000001"/>
    </cacheField>
    <cacheField name="Handling_Cost_NGN" numFmtId="0">
      <sharedItems containsSemiMixedTypes="0" containsString="0" containsNumber="1" minValue="0" maxValue="7162.58"/>
    </cacheField>
    <cacheField name="Other_Cost_NGN" numFmtId="0">
      <sharedItems containsSemiMixedTypes="0" containsString="0" containsNumber="1" minValue="0" maxValue="11981.9"/>
    </cacheField>
    <cacheField name="Total_Cost_NGN" numFmtId="0">
      <sharedItems containsSemiMixedTypes="0" containsString="0" containsNumber="1" minValue="0" maxValue="2794094.75"/>
    </cacheField>
    <cacheField name="Gross_Profit_NGN" numFmtId="0">
      <sharedItems containsSemiMixedTypes="0" containsString="0" containsNumber="1" minValue="0" maxValue="1128522.67"/>
    </cacheField>
    <cacheField name="Net_Profit_NGN" numFmtId="0">
      <sharedItems containsSemiMixedTypes="0" containsString="0" containsNumber="1" minValue="-10314.43" maxValue="1088487.92"/>
    </cacheField>
    <cacheField name="Payment_Status" numFmtId="0">
      <sharedItems/>
    </cacheField>
    <cacheField name="Payment_Received_NGN" numFmtId="0">
      <sharedItems containsSemiMixedTypes="0" containsString="0" containsNumber="1" minValue="0" maxValue="3882582.67"/>
    </cacheField>
    <cacheField name="Balance_Due_NGN" numFmtId="0">
      <sharedItems containsSemiMixedTypes="0" containsString="0" containsNumber="1" minValue="0" maxValue="2222266.7200000002"/>
    </cacheField>
    <cacheField name="Delivery_Status" numFmtId="0">
      <sharedItems/>
    </cacheField>
    <cacheField name="Sales_Channel" numFmtId="0">
      <sharedItems count="6">
        <s v="WhatsApp"/>
        <s v="Phone Call"/>
        <s v="Walk-in"/>
        <s v="Reseller"/>
        <s v="Social Media"/>
        <s v="Referral"/>
      </sharedItems>
    </cacheField>
    <cacheField name="Customer_Type" numFmtId="0">
      <sharedItems count="5">
        <s v="Commercial Farm"/>
        <s v="Smallholder Farmer"/>
        <s v="Agro-dealer"/>
        <s v="Distributor"/>
        <s v="New Customer"/>
      </sharedItems>
    </cacheField>
    <cacheField name="State" numFmtId="0">
      <sharedItems count="37">
        <s v="Gombe"/>
        <s v="Kaduna"/>
        <s v="Enugu"/>
        <s v="Delta"/>
        <s v="Jigawa"/>
        <s v="Kogi"/>
        <s v="Ebonyi"/>
        <s v="Ekiti"/>
        <s v="Oyo"/>
        <s v="Katsina"/>
        <s v="Lagos"/>
        <s v="Ogun"/>
        <s v="Anambra"/>
        <s v="Osun"/>
        <s v="Kebbi"/>
        <s v="Bayelsa"/>
        <s v="Sokoto"/>
        <s v="Edo"/>
        <s v="Rivers"/>
        <s v="Kwara"/>
        <s v="Imo"/>
        <s v="Bauchi"/>
        <s v="Ondo"/>
        <s v="Niger"/>
        <s v="Adamawa"/>
        <s v="Akwa Ibom"/>
        <s v="FCT Abuja"/>
        <s v="Abia"/>
        <s v="Plateau"/>
        <s v="Borno"/>
        <s v="Taraba"/>
        <s v="Zamfara"/>
        <s v="Yobe"/>
        <s v="Kano"/>
        <s v="Nasarawa"/>
        <s v="Benue"/>
        <s v="Cross River"/>
      </sharedItems>
    </cacheField>
    <cacheField name="Region" numFmtId="0">
      <sharedItems count="6">
        <s v="North East"/>
        <s v="North West"/>
        <s v="South East"/>
        <s v="South South"/>
        <s v="North Central"/>
        <s v="South West"/>
      </sharedItems>
    </cacheField>
    <cacheField name="Estimated_Mortality_Percent" numFmtId="0">
      <sharedItems containsSemiMixedTypes="0" containsString="0" containsNumber="1" minValue="0" maxValue="2.5"/>
    </cacheField>
    <cacheField name="Computed_Net_Profit_NGN" numFmtId="0">
      <sharedItems containsSemiMixedTypes="0" containsString="0" containsNumber="1" minValue="-10314.43" maxValue="1088487.92"/>
    </cacheField>
    <cacheField name="Profit_Margin_Percent" numFmtId="0">
      <sharedItems containsMixedTypes="1" containsNumber="1" minValue="-0.26374604518885542" maxValue="0.31493790113845443"/>
    </cacheField>
    <cacheField name="Net_Profit_Reconciliation_NGN" numFmtId="0">
      <sharedItems containsSemiMixedTypes="0" containsString="0" containsNumber="1" containsInteger="1" minValue="0" maxValue="0"/>
    </cacheField>
    <cacheField name="Order_Year" numFmtId="0">
      <sharedItems containsSemiMixedTypes="0" containsString="0" containsNumber="1" containsInteger="1" minValue="2023" maxValue="2025" count="3">
        <n v="2024"/>
        <n v="2025"/>
        <n v="2023"/>
      </sharedItems>
    </cacheField>
    <cacheField name="Order_Month_Number" numFmtId="0">
      <sharedItems containsSemiMixedTypes="0" containsString="0" containsNumber="1" containsInteger="1" minValue="1" maxValue="12"/>
    </cacheField>
    <cacheField name="Order_Month" numFmtId="0">
      <sharedItems/>
    </cacheField>
    <cacheField name="Order_YearMonth" numFmtId="0">
      <sharedItems/>
    </cacheField>
  </cacheFields>
  <extLst>
    <ext xmlns:x14="http://schemas.microsoft.com/office/spreadsheetml/2009/9/main" uri="{725AE2AE-9491-48be-B2B4-4EB974FC3084}">
      <x14:pivotCacheDefinition pivotCacheId="244077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FZ00001"/>
    <n v="45500"/>
    <n v="45513"/>
    <x v="0"/>
    <n v="200"/>
    <n v="808.71"/>
    <n v="0.48"/>
    <n v="160965.64000000001"/>
    <x v="0"/>
    <n v="704.95"/>
    <n v="140990"/>
    <n v="3237.59"/>
    <n v="588.73"/>
    <n v="1046.45"/>
    <n v="145862.76999999999"/>
    <n v="19975.64"/>
    <n v="15102.87"/>
    <s v="Paid"/>
    <n v="160965.64000000001"/>
    <n v="0"/>
    <s v="Delivered"/>
    <x v="0"/>
    <x v="0"/>
    <x v="0"/>
    <x v="0"/>
    <n v="0.69"/>
    <n v="15102.87"/>
    <n v="9.3826670089343284E-2"/>
    <n v="0"/>
    <x v="0"/>
    <n v="7"/>
    <s v="July"/>
    <s v="2024-07"/>
  </r>
  <r>
    <s v="FZ00002"/>
    <n v="45415"/>
    <n v="45416"/>
    <x v="1"/>
    <n v="300"/>
    <n v="1206.47"/>
    <n v="2.13"/>
    <n v="354231.66"/>
    <x v="1"/>
    <n v="977.68"/>
    <n v="293304"/>
    <n v="7055.13"/>
    <n v="1080.55"/>
    <n v="2583.9"/>
    <n v="304023.58"/>
    <n v="60927.66"/>
    <n v="50208.08"/>
    <s v="Paid"/>
    <n v="354231.66"/>
    <n v="0"/>
    <s v="Collected"/>
    <x v="1"/>
    <x v="1"/>
    <x v="1"/>
    <x v="1"/>
    <n v="0.11"/>
    <n v="50208.08"/>
    <n v="0.14173798016811937"/>
    <n v="0"/>
    <x v="0"/>
    <n v="5"/>
    <s v="May"/>
    <s v="2024-05"/>
  </r>
  <r>
    <s v="FZ00003"/>
    <n v="45519"/>
    <n v="45520"/>
    <x v="0"/>
    <n v="250"/>
    <n v="901.18"/>
    <n v="1.18"/>
    <n v="222636.52"/>
    <x v="2"/>
    <n v="671.24"/>
    <n v="167810"/>
    <n v="5685.82"/>
    <n v="1276.01"/>
    <n v="6421.4"/>
    <n v="181193.23"/>
    <n v="54826.52"/>
    <n v="41443.29"/>
    <s v="Paid"/>
    <n v="222636.52"/>
    <n v="0"/>
    <s v="Collected"/>
    <x v="2"/>
    <x v="2"/>
    <x v="2"/>
    <x v="2"/>
    <n v="0.33"/>
    <n v="41443.29"/>
    <n v="0.18614776228086929"/>
    <n v="0"/>
    <x v="0"/>
    <n v="8"/>
    <s v="August"/>
    <s v="2024-08"/>
  </r>
  <r>
    <s v="FZ00004"/>
    <n v="45873"/>
    <n v="45885"/>
    <x v="2"/>
    <n v="200"/>
    <n v="749.22"/>
    <n v="1.2"/>
    <n v="148045.87"/>
    <x v="0"/>
    <n v="608.83000000000004"/>
    <n v="121766"/>
    <n v="1885.03"/>
    <n v="1055.04"/>
    <n v="5105.53"/>
    <n v="129811.6"/>
    <n v="26279.87"/>
    <n v="18234.27"/>
    <s v="Part-paid"/>
    <n v="76965.990000000005"/>
    <n v="71079.88"/>
    <s v="Collected"/>
    <x v="1"/>
    <x v="1"/>
    <x v="3"/>
    <x v="3"/>
    <n v="1.53"/>
    <n v="18234.27"/>
    <n v="0.12316635377940635"/>
    <n v="0"/>
    <x v="1"/>
    <n v="8"/>
    <s v="August"/>
    <s v="2025-08"/>
  </r>
  <r>
    <s v="FZ00005"/>
    <n v="45870"/>
    <n v="45872"/>
    <x v="2"/>
    <n v="500"/>
    <n v="758.41"/>
    <n v="2.98"/>
    <n v="367904.69"/>
    <x v="0"/>
    <n v="602.65"/>
    <n v="301325"/>
    <n v="2699.99"/>
    <n v="1770.62"/>
    <n v="3487.18"/>
    <n v="309282.78999999998"/>
    <n v="66579.69"/>
    <n v="58621.9"/>
    <s v="Paid"/>
    <n v="367904.69"/>
    <n v="0"/>
    <s v="Delivered"/>
    <x v="0"/>
    <x v="0"/>
    <x v="4"/>
    <x v="1"/>
    <n v="0.06"/>
    <n v="58621.9"/>
    <n v="0.15933990947492407"/>
    <n v="0"/>
    <x v="1"/>
    <n v="8"/>
    <s v="August"/>
    <s v="2025-08"/>
  </r>
  <r>
    <s v="FZ00006"/>
    <n v="45787"/>
    <m/>
    <x v="3"/>
    <n v="150"/>
    <n v="994.92"/>
    <n v="2.2200000000000002"/>
    <n v="145924.92000000001"/>
    <x v="1"/>
    <n v="781.98"/>
    <n v="117297"/>
    <n v="1733.25"/>
    <n v="563.97"/>
    <n v="7560.43"/>
    <n v="127154.65"/>
    <n v="28627.919999999998"/>
    <n v="18770.27"/>
    <s v="Paid"/>
    <n v="145924.92000000001"/>
    <n v="0"/>
    <s v="Pending"/>
    <x v="0"/>
    <x v="3"/>
    <x v="5"/>
    <x v="4"/>
    <n v="2.25"/>
    <n v="18770.27"/>
    <n v="0.12862964050280101"/>
    <n v="0"/>
    <x v="1"/>
    <n v="5"/>
    <s v="May"/>
    <s v="2025-05"/>
  </r>
  <r>
    <s v="FZ00007"/>
    <n v="45628"/>
    <m/>
    <x v="0"/>
    <n v="250"/>
    <n v="974.17"/>
    <n v="1.76"/>
    <n v="239256.15"/>
    <x v="3"/>
    <n v="727.3"/>
    <n v="181825"/>
    <n v="5720.86"/>
    <n v="563.44000000000005"/>
    <n v="510.45"/>
    <n v="188619.75"/>
    <n v="57431.15"/>
    <n v="50636.4"/>
    <s v="Paid"/>
    <n v="239256.15"/>
    <n v="0"/>
    <s v="Pending"/>
    <x v="3"/>
    <x v="2"/>
    <x v="6"/>
    <x v="2"/>
    <n v="1.25"/>
    <n v="50636.4"/>
    <n v="0.21164095468392349"/>
    <n v="0"/>
    <x v="0"/>
    <n v="12"/>
    <s v="December"/>
    <s v="2024-12"/>
  </r>
  <r>
    <s v="FZ00008"/>
    <n v="45318"/>
    <n v="45331"/>
    <x v="1"/>
    <n v="500"/>
    <n v="1181.27"/>
    <n v="3.64"/>
    <n v="569135.89"/>
    <x v="2"/>
    <n v="970.22"/>
    <n v="485110"/>
    <n v="7413.03"/>
    <n v="1134.3900000000001"/>
    <n v="6338.15"/>
    <n v="499995.57"/>
    <n v="84025.89"/>
    <n v="69140.320000000007"/>
    <s v="Paid"/>
    <n v="569135.89"/>
    <n v="0"/>
    <s v="Delivered"/>
    <x v="4"/>
    <x v="1"/>
    <x v="7"/>
    <x v="5"/>
    <n v="1.98"/>
    <n v="69140.320000000007"/>
    <n v="0.12148297307344298"/>
    <n v="0"/>
    <x v="0"/>
    <n v="1"/>
    <s v="January"/>
    <s v="2024-01"/>
  </r>
  <r>
    <s v="FZ00009"/>
    <n v="45746"/>
    <n v="45756"/>
    <x v="0"/>
    <n v="750"/>
    <n v="836.85"/>
    <n v="2.67"/>
    <n v="610879.57999999996"/>
    <x v="3"/>
    <n v="673.75"/>
    <n v="505312.5"/>
    <n v="17584.669999999998"/>
    <n v="2579.1799999999998"/>
    <n v="5762.05"/>
    <n v="531238.40000000002"/>
    <n v="105567.08"/>
    <n v="79641.179999999993"/>
    <s v="Paid"/>
    <n v="610879.57999999996"/>
    <n v="0"/>
    <s v="Delivered"/>
    <x v="1"/>
    <x v="2"/>
    <x v="2"/>
    <x v="2"/>
    <n v="2.0099999999999998"/>
    <n v="79641.179999999993"/>
    <n v="0.130371324574313"/>
    <n v="0"/>
    <x v="1"/>
    <n v="3"/>
    <s v="March"/>
    <s v="2025-03"/>
  </r>
  <r>
    <s v="FZ00010"/>
    <n v="45779"/>
    <n v="45788"/>
    <x v="1"/>
    <n v="300"/>
    <n v="1318.81"/>
    <n v="0.21"/>
    <n v="394812.15"/>
    <x v="1"/>
    <n v="1052.8399999999999"/>
    <n v="315852"/>
    <n v="4252.58"/>
    <n v="1554.06"/>
    <n v="11598.95"/>
    <n v="333257.59000000003"/>
    <n v="78960.149999999994"/>
    <n v="61554.559999999998"/>
    <s v="Paid"/>
    <n v="394812.15"/>
    <n v="0"/>
    <s v="Delivered"/>
    <x v="0"/>
    <x v="1"/>
    <x v="8"/>
    <x v="5"/>
    <n v="1.45"/>
    <n v="61554.559999999998"/>
    <n v="0.15590847444791148"/>
    <n v="0"/>
    <x v="1"/>
    <n v="5"/>
    <s v="May"/>
    <s v="2025-05"/>
  </r>
  <r>
    <s v="FZ00011"/>
    <n v="45818"/>
    <n v="45818"/>
    <x v="0"/>
    <n v="200"/>
    <n v="823.5"/>
    <n v="2.33"/>
    <n v="160862.49"/>
    <x v="2"/>
    <n v="718.26"/>
    <n v="143652"/>
    <n v="2326.27"/>
    <n v="502.84"/>
    <n v="3897.48"/>
    <n v="150378.59"/>
    <n v="17210.490000000002"/>
    <n v="10483.9"/>
    <s v="Paid"/>
    <n v="160862.49"/>
    <n v="0"/>
    <s v="Delivered"/>
    <x v="0"/>
    <x v="1"/>
    <x v="9"/>
    <x v="1"/>
    <n v="1.79"/>
    <n v="10483.9"/>
    <n v="6.517305557063055E-2"/>
    <n v="0"/>
    <x v="1"/>
    <n v="6"/>
    <s v="June"/>
    <s v="2025-06"/>
  </r>
  <r>
    <s v="FZ00012"/>
    <n v="45638"/>
    <n v="45643"/>
    <x v="1"/>
    <n v="200"/>
    <n v="1396.14"/>
    <n v="2.4"/>
    <n v="272526.53000000003"/>
    <x v="1"/>
    <n v="1049.81"/>
    <n v="209962"/>
    <n v="3616.53"/>
    <n v="816.72"/>
    <n v="6360.06"/>
    <n v="220755.31"/>
    <n v="62564.53"/>
    <n v="51771.22"/>
    <s v="Paid"/>
    <n v="272526.53000000003"/>
    <n v="0"/>
    <s v="Delivered"/>
    <x v="5"/>
    <x v="2"/>
    <x v="6"/>
    <x v="2"/>
    <n v="1.66"/>
    <n v="51771.22"/>
    <n v="0.18996763360983607"/>
    <n v="0"/>
    <x v="0"/>
    <n v="12"/>
    <s v="December"/>
    <s v="2024-12"/>
  </r>
  <r>
    <s v="FZ00013"/>
    <n v="45309"/>
    <n v="45323"/>
    <x v="1"/>
    <n v="100"/>
    <n v="1284.1400000000001"/>
    <n v="0.74"/>
    <n v="127463.74"/>
    <x v="1"/>
    <n v="983.7"/>
    <n v="98370"/>
    <n v="914.24"/>
    <n v="405.52"/>
    <n v="5571.93"/>
    <n v="105261.69"/>
    <n v="29093.74"/>
    <n v="22202.05"/>
    <s v="Paid"/>
    <n v="127463.74"/>
    <n v="0"/>
    <s v="Collected"/>
    <x v="1"/>
    <x v="1"/>
    <x v="10"/>
    <x v="5"/>
    <n v="1.45"/>
    <n v="22202.05"/>
    <n v="0.17418326184372118"/>
    <n v="0"/>
    <x v="0"/>
    <n v="1"/>
    <s v="January"/>
    <s v="2024-01"/>
  </r>
  <r>
    <s v="FZ00014"/>
    <n v="45673"/>
    <m/>
    <x v="3"/>
    <n v="100"/>
    <n v="947.09"/>
    <n v="1.98"/>
    <n v="0"/>
    <x v="2"/>
    <n v="714.98"/>
    <n v="0"/>
    <n v="0"/>
    <n v="0"/>
    <n v="0"/>
    <n v="0"/>
    <n v="0"/>
    <n v="0"/>
    <s v="Paid"/>
    <n v="0"/>
    <n v="0"/>
    <s v="Cancelled"/>
    <x v="3"/>
    <x v="2"/>
    <x v="7"/>
    <x v="5"/>
    <n v="2.09"/>
    <n v="0"/>
    <e v="#DIV/0!"/>
    <n v="0"/>
    <x v="1"/>
    <n v="1"/>
    <s v="January"/>
    <s v="2025-01"/>
  </r>
  <r>
    <s v="FZ00015"/>
    <n v="45382"/>
    <n v="45392"/>
    <x v="0"/>
    <n v="250"/>
    <n v="897.32"/>
    <n v="1.54"/>
    <n v="220875.32"/>
    <x v="0"/>
    <n v="734.71"/>
    <n v="183677.5"/>
    <n v="4398.8"/>
    <n v="554.63"/>
    <n v="531.29999999999995"/>
    <n v="189162.23"/>
    <n v="37197.82"/>
    <n v="31713.09"/>
    <s v="Paid"/>
    <n v="220875.32"/>
    <n v="0"/>
    <s v="Delivered"/>
    <x v="0"/>
    <x v="1"/>
    <x v="4"/>
    <x v="1"/>
    <n v="1.59"/>
    <n v="31713.09"/>
    <n v="0.14357914682364692"/>
    <n v="0"/>
    <x v="0"/>
    <n v="3"/>
    <s v="March"/>
    <s v="2024-03"/>
  </r>
  <r>
    <s v="FZ00016"/>
    <n v="45682"/>
    <n v="45691"/>
    <x v="0"/>
    <n v="300"/>
    <n v="827.26"/>
    <n v="1.47"/>
    <n v="244529.78"/>
    <x v="1"/>
    <n v="748.68"/>
    <n v="224604"/>
    <n v="2951.24"/>
    <n v="1384.84"/>
    <n v="6632.79"/>
    <n v="235572.87"/>
    <n v="19925.78"/>
    <n v="8956.91"/>
    <s v="Paid"/>
    <n v="244529.78"/>
    <n v="0"/>
    <s v="Delivered"/>
    <x v="4"/>
    <x v="0"/>
    <x v="5"/>
    <x v="4"/>
    <n v="2.4700000000000002"/>
    <n v="8956.91"/>
    <n v="3.6629117320597926E-2"/>
    <n v="0"/>
    <x v="1"/>
    <n v="1"/>
    <s v="January"/>
    <s v="2025-01"/>
  </r>
  <r>
    <s v="FZ00017"/>
    <n v="45478"/>
    <n v="45487"/>
    <x v="0"/>
    <n v="50"/>
    <n v="831.37"/>
    <n v="0.28000000000000003"/>
    <n v="41452.11"/>
    <x v="2"/>
    <n v="648.63"/>
    <n v="32431.5"/>
    <n v="1170.22"/>
    <n v="257.64999999999998"/>
    <n v="9685.5400000000009"/>
    <n v="43544.91"/>
    <n v="9020.61"/>
    <n v="-2092.8000000000002"/>
    <s v="Paid"/>
    <n v="41452.11"/>
    <n v="0"/>
    <s v="Delivered"/>
    <x v="0"/>
    <x v="3"/>
    <x v="11"/>
    <x v="5"/>
    <n v="1.63"/>
    <n v="-2092.8000000000002"/>
    <n v="-5.048717664794386E-2"/>
    <n v="0"/>
    <x v="0"/>
    <n v="7"/>
    <s v="July"/>
    <s v="2024-07"/>
  </r>
  <r>
    <s v="FZ00018"/>
    <n v="45415"/>
    <n v="45422"/>
    <x v="0"/>
    <n v="500"/>
    <n v="816.16"/>
    <n v="2.04"/>
    <n v="399755.17"/>
    <x v="1"/>
    <n v="737.65"/>
    <n v="368825"/>
    <n v="6247.5"/>
    <n v="2228.46"/>
    <n v="4425.55"/>
    <n v="381726.51"/>
    <n v="30930.17"/>
    <n v="18028.66"/>
    <s v="Paid"/>
    <n v="399755.17"/>
    <n v="0"/>
    <s v="Collected"/>
    <x v="5"/>
    <x v="1"/>
    <x v="12"/>
    <x v="2"/>
    <n v="0.42"/>
    <n v="18028.66"/>
    <n v="4.5099254125969157E-2"/>
    <n v="0"/>
    <x v="0"/>
    <n v="5"/>
    <s v="May"/>
    <s v="2024-05"/>
  </r>
  <r>
    <s v="FZ00019"/>
    <n v="45606"/>
    <n v="45609"/>
    <x v="0"/>
    <n v="1000"/>
    <n v="874.45"/>
    <n v="1.21"/>
    <n v="863869.16"/>
    <x v="3"/>
    <n v="714.27"/>
    <n v="714270"/>
    <n v="18845.96"/>
    <n v="2352.9699999999998"/>
    <n v="8698.9599999999991"/>
    <n v="744167.89"/>
    <n v="149599.16"/>
    <n v="119701.27"/>
    <s v="Paid"/>
    <n v="863869.16"/>
    <n v="0"/>
    <s v="Collected"/>
    <x v="4"/>
    <x v="1"/>
    <x v="13"/>
    <x v="5"/>
    <n v="0.63"/>
    <n v="119701.27"/>
    <n v="0.13856412005725496"/>
    <n v="0"/>
    <x v="0"/>
    <n v="11"/>
    <s v="November"/>
    <s v="2024-11"/>
  </r>
  <r>
    <s v="FZ00020"/>
    <n v="45920"/>
    <n v="45923"/>
    <x v="3"/>
    <n v="100"/>
    <n v="1003.33"/>
    <n v="1.86"/>
    <n v="98466.81"/>
    <x v="0"/>
    <n v="738.3"/>
    <n v="73830"/>
    <n v="2124.59"/>
    <n v="194.49"/>
    <n v="1337.38"/>
    <n v="77486.460000000006"/>
    <n v="24636.81"/>
    <n v="20980.35"/>
    <s v="Paid"/>
    <n v="98466.81"/>
    <n v="0"/>
    <s v="Collected"/>
    <x v="0"/>
    <x v="0"/>
    <x v="10"/>
    <x v="5"/>
    <n v="0.04"/>
    <n v="20980.35"/>
    <n v="0.21307027210488488"/>
    <n v="0"/>
    <x v="1"/>
    <n v="9"/>
    <s v="September"/>
    <s v="2025-09"/>
  </r>
  <r>
    <s v="FZ00021"/>
    <n v="45970"/>
    <n v="45982"/>
    <x v="0"/>
    <n v="1200"/>
    <n v="874.82"/>
    <n v="0.11"/>
    <n v="1048629.24"/>
    <x v="1"/>
    <n v="735.28"/>
    <n v="882336"/>
    <n v="12192.83"/>
    <n v="6917.1"/>
    <n v="11134.45"/>
    <n v="912580.38"/>
    <n v="166293.24"/>
    <n v="136048.85999999999"/>
    <s v="Unpaid"/>
    <n v="0"/>
    <n v="1048629.24"/>
    <s v="Collected"/>
    <x v="2"/>
    <x v="3"/>
    <x v="7"/>
    <x v="5"/>
    <n v="2.4300000000000002"/>
    <n v="136048.85999999999"/>
    <n v="0.12973971620322164"/>
    <n v="0"/>
    <x v="1"/>
    <n v="11"/>
    <s v="November"/>
    <s v="2025-11"/>
  </r>
  <r>
    <s v="FZ00022"/>
    <n v="45664"/>
    <n v="45665"/>
    <x v="0"/>
    <n v="300"/>
    <n v="896.7"/>
    <n v="1.72"/>
    <n v="264383.03000000003"/>
    <x v="2"/>
    <n v="673.4"/>
    <n v="202020"/>
    <n v="2285.4499999999998"/>
    <n v="464.2"/>
    <n v="5447.46"/>
    <n v="210217.11"/>
    <n v="62363.03"/>
    <n v="54165.919999999998"/>
    <s v="Paid"/>
    <n v="264383.03000000003"/>
    <n v="0"/>
    <s v="Delivered"/>
    <x v="3"/>
    <x v="3"/>
    <x v="8"/>
    <x v="5"/>
    <n v="1.17"/>
    <n v="54165.919999999998"/>
    <n v="0.20487668970281486"/>
    <n v="0"/>
    <x v="1"/>
    <n v="1"/>
    <s v="January"/>
    <s v="2025-01"/>
  </r>
  <r>
    <s v="FZ00023"/>
    <n v="45586"/>
    <m/>
    <x v="3"/>
    <n v="200"/>
    <n v="956.04"/>
    <n v="2.16"/>
    <n v="187077.91"/>
    <x v="1"/>
    <n v="767.29"/>
    <n v="153458"/>
    <n v="2593.91"/>
    <n v="679.01"/>
    <n v="9353.25"/>
    <n v="166084.17000000001"/>
    <n v="33619.910000000003"/>
    <n v="20993.74"/>
    <s v="Paid"/>
    <n v="187077.91"/>
    <n v="0"/>
    <s v="Pending"/>
    <x v="2"/>
    <x v="2"/>
    <x v="7"/>
    <x v="5"/>
    <n v="2.48"/>
    <n v="20993.74"/>
    <n v="0.1122192352907941"/>
    <n v="0"/>
    <x v="0"/>
    <n v="10"/>
    <s v="October"/>
    <s v="2024-10"/>
  </r>
  <r>
    <s v="FZ00024"/>
    <n v="45875"/>
    <n v="45876"/>
    <x v="0"/>
    <n v="100"/>
    <n v="866.88"/>
    <n v="1.73"/>
    <n v="85188.3"/>
    <x v="0"/>
    <n v="694.6"/>
    <n v="69460"/>
    <n v="1107.83"/>
    <n v="192.58"/>
    <n v="9430.34"/>
    <n v="80190.75"/>
    <n v="15728.3"/>
    <n v="4997.55"/>
    <s v="Paid"/>
    <n v="85188.3"/>
    <n v="0"/>
    <s v="Collected"/>
    <x v="5"/>
    <x v="4"/>
    <x v="14"/>
    <x v="1"/>
    <n v="0.12"/>
    <n v="4997.55"/>
    <n v="5.8664746215149263E-2"/>
    <n v="0"/>
    <x v="1"/>
    <n v="8"/>
    <s v="August"/>
    <s v="2025-08"/>
  </r>
  <r>
    <s v="FZ00025"/>
    <n v="45419"/>
    <n v="45433"/>
    <x v="3"/>
    <n v="150"/>
    <n v="985.57"/>
    <n v="0.7"/>
    <n v="146800.65"/>
    <x v="1"/>
    <n v="757.53"/>
    <n v="113629.5"/>
    <n v="3511.42"/>
    <n v="397.76"/>
    <n v="10539.36"/>
    <n v="128078.04"/>
    <n v="33171.15"/>
    <n v="18722.61"/>
    <s v="Paid"/>
    <n v="146800.65"/>
    <n v="0"/>
    <s v="Delivered"/>
    <x v="0"/>
    <x v="0"/>
    <x v="0"/>
    <x v="0"/>
    <n v="0.96"/>
    <n v="18722.61"/>
    <n v="0.12753765054855004"/>
    <n v="0"/>
    <x v="0"/>
    <n v="5"/>
    <s v="May"/>
    <s v="2024-05"/>
  </r>
  <r>
    <s v="FZ00026"/>
    <n v="45879"/>
    <n v="45879"/>
    <x v="0"/>
    <n v="250"/>
    <n v="893.98"/>
    <n v="0.96"/>
    <n v="221349.45"/>
    <x v="1"/>
    <n v="726.94"/>
    <n v="181735"/>
    <n v="2069.7600000000002"/>
    <n v="816.06"/>
    <n v="10711.01"/>
    <n v="195331.83"/>
    <n v="39614.449999999997"/>
    <n v="26017.62"/>
    <s v="Paid"/>
    <n v="221349.45"/>
    <n v="0"/>
    <s v="Delivered"/>
    <x v="0"/>
    <x v="0"/>
    <x v="15"/>
    <x v="3"/>
    <n v="1.55"/>
    <n v="26017.62"/>
    <n v="0.11754092906036133"/>
    <n v="0"/>
    <x v="1"/>
    <n v="8"/>
    <s v="August"/>
    <s v="2025-08"/>
  </r>
  <r>
    <s v="FZ00027"/>
    <n v="45463"/>
    <m/>
    <x v="0"/>
    <n v="300"/>
    <n v="832.89"/>
    <n v="0.66"/>
    <n v="248217.88"/>
    <x v="3"/>
    <n v="659.94"/>
    <n v="197982"/>
    <n v="4803.96"/>
    <n v="1256.77"/>
    <n v="2373.7600000000002"/>
    <n v="206416.49"/>
    <n v="50235.88"/>
    <n v="41801.39"/>
    <s v="Unpaid"/>
    <n v="0"/>
    <n v="248217.88"/>
    <s v="Pending"/>
    <x v="2"/>
    <x v="3"/>
    <x v="16"/>
    <x v="1"/>
    <n v="1.33"/>
    <n v="41801.39"/>
    <n v="0.16840603908147148"/>
    <n v="0"/>
    <x v="0"/>
    <n v="6"/>
    <s v="June"/>
    <s v="2024-06"/>
  </r>
  <r>
    <s v="FZ00028"/>
    <n v="45852"/>
    <n v="45859"/>
    <x v="0"/>
    <n v="50"/>
    <n v="906.03"/>
    <n v="2.2000000000000002"/>
    <n v="44304.87"/>
    <x v="3"/>
    <n v="671.95"/>
    <n v="33597.5"/>
    <n v="264.61"/>
    <n v="95.03"/>
    <n v="9747.92"/>
    <n v="43705.06"/>
    <n v="10707.37"/>
    <n v="599.80999999999995"/>
    <s v="Part-paid"/>
    <n v="24041.37"/>
    <n v="20263.5"/>
    <s v="Delivered"/>
    <x v="0"/>
    <x v="4"/>
    <x v="17"/>
    <x v="3"/>
    <n v="1.52"/>
    <n v="599.80999999999995"/>
    <n v="1.353824082995842E-2"/>
    <n v="0"/>
    <x v="1"/>
    <n v="7"/>
    <s v="July"/>
    <s v="2025-07"/>
  </r>
  <r>
    <s v="FZ00029"/>
    <n v="45862"/>
    <n v="45868"/>
    <x v="0"/>
    <n v="300"/>
    <n v="870.02"/>
    <n v="2.08"/>
    <n v="255577.08"/>
    <x v="3"/>
    <n v="656.96"/>
    <n v="197088"/>
    <n v="6174.06"/>
    <n v="1041.3599999999999"/>
    <n v="2514.4299999999998"/>
    <n v="206817.85"/>
    <n v="58489.08"/>
    <n v="48759.23"/>
    <s v="Paid"/>
    <n v="255577.08"/>
    <n v="0"/>
    <s v="Delivered"/>
    <x v="4"/>
    <x v="1"/>
    <x v="5"/>
    <x v="4"/>
    <n v="1.69"/>
    <n v="48759.23"/>
    <n v="0.1907809182263136"/>
    <n v="0"/>
    <x v="1"/>
    <n v="7"/>
    <s v="July"/>
    <s v="2025-07"/>
  </r>
  <r>
    <s v="FZ00030"/>
    <n v="45753"/>
    <m/>
    <x v="0"/>
    <n v="200"/>
    <n v="856.96"/>
    <n v="1.82"/>
    <n v="168272.67"/>
    <x v="2"/>
    <n v="732.87"/>
    <n v="146574"/>
    <n v="3592.05"/>
    <n v="1007.4"/>
    <n v="11173.81"/>
    <n v="162347.26"/>
    <n v="21698.67"/>
    <n v="5925.41"/>
    <s v="Paid"/>
    <n v="168272.67"/>
    <n v="0"/>
    <s v="Pending"/>
    <x v="1"/>
    <x v="3"/>
    <x v="9"/>
    <x v="1"/>
    <n v="0.35"/>
    <n v="5925.41"/>
    <n v="3.5213145426408216E-2"/>
    <n v="0"/>
    <x v="1"/>
    <n v="4"/>
    <s v="April"/>
    <s v="2025-04"/>
  </r>
  <r>
    <s v="FZ00031"/>
    <n v="45408"/>
    <n v="45421"/>
    <x v="0"/>
    <n v="200"/>
    <n v="890.13"/>
    <n v="1.24"/>
    <n v="175818.48"/>
    <x v="0"/>
    <n v="707.76"/>
    <n v="141552"/>
    <n v="4610.08"/>
    <n v="602.91999999999996"/>
    <n v="2749.04"/>
    <n v="149514.04"/>
    <n v="34266.480000000003"/>
    <n v="26304.44"/>
    <s v="Paid"/>
    <n v="175818.48"/>
    <n v="0"/>
    <s v="Collected"/>
    <x v="1"/>
    <x v="1"/>
    <x v="17"/>
    <x v="3"/>
    <n v="1.91"/>
    <n v="26304.44"/>
    <n v="0.14961134915965602"/>
    <n v="0"/>
    <x v="0"/>
    <n v="4"/>
    <s v="April"/>
    <s v="2024-04"/>
  </r>
  <r>
    <s v="FZ00032"/>
    <n v="45933"/>
    <n v="45946"/>
    <x v="2"/>
    <n v="100"/>
    <n v="787.71"/>
    <n v="0.23"/>
    <n v="78589.83"/>
    <x v="1"/>
    <n v="545.51"/>
    <n v="54551"/>
    <n v="1211.32"/>
    <n v="243.64"/>
    <n v="5721.87"/>
    <n v="61727.83"/>
    <n v="24038.83"/>
    <n v="16862"/>
    <s v="Paid"/>
    <n v="78589.83"/>
    <n v="0"/>
    <s v="Collected"/>
    <x v="0"/>
    <x v="1"/>
    <x v="18"/>
    <x v="3"/>
    <n v="2.12"/>
    <n v="16862"/>
    <n v="0.21455702347237549"/>
    <n v="0"/>
    <x v="1"/>
    <n v="10"/>
    <s v="October"/>
    <s v="2025-10"/>
  </r>
  <r>
    <s v="FZ00033"/>
    <n v="45670"/>
    <m/>
    <x v="3"/>
    <n v="500"/>
    <n v="968.28"/>
    <n v="0.4"/>
    <n v="0"/>
    <x v="0"/>
    <n v="803.36"/>
    <n v="0"/>
    <n v="0"/>
    <n v="0"/>
    <n v="0"/>
    <n v="0"/>
    <n v="0"/>
    <n v="0"/>
    <s v="Part-paid"/>
    <n v="0"/>
    <n v="0"/>
    <s v="Cancelled"/>
    <x v="0"/>
    <x v="1"/>
    <x v="19"/>
    <x v="4"/>
    <n v="1.44"/>
    <n v="0"/>
    <e v="#DIV/0!"/>
    <n v="0"/>
    <x v="1"/>
    <n v="1"/>
    <s v="January"/>
    <s v="2025-01"/>
  </r>
  <r>
    <s v="FZ00034"/>
    <n v="45629"/>
    <n v="45636"/>
    <x v="1"/>
    <n v="250"/>
    <n v="1429.02"/>
    <n v="2.35"/>
    <n v="348859.51"/>
    <x v="0"/>
    <n v="1055.83"/>
    <n v="263957.5"/>
    <n v="5068.41"/>
    <n v="627.41"/>
    <n v="11735.64"/>
    <n v="281388.96000000002"/>
    <n v="84902.01"/>
    <n v="67470.55"/>
    <s v="Paid"/>
    <n v="348859.51"/>
    <n v="0"/>
    <s v="Delivered"/>
    <x v="2"/>
    <x v="1"/>
    <x v="20"/>
    <x v="2"/>
    <n v="2.41"/>
    <n v="67470.55"/>
    <n v="0.19340321265715243"/>
    <n v="0"/>
    <x v="0"/>
    <n v="12"/>
    <s v="December"/>
    <s v="2024-12"/>
  </r>
  <r>
    <s v="FZ00035"/>
    <n v="45728"/>
    <n v="45730"/>
    <x v="1"/>
    <n v="250"/>
    <n v="1388.55"/>
    <n v="0.05"/>
    <n v="346963.93"/>
    <x v="2"/>
    <n v="974.98"/>
    <n v="243745"/>
    <n v="4852"/>
    <n v="1361.22"/>
    <n v="204.04"/>
    <n v="250162.26"/>
    <n v="103218.93"/>
    <n v="96801.67"/>
    <s v="Part-paid"/>
    <n v="91678.99"/>
    <n v="255284.94"/>
    <s v="Collected"/>
    <x v="3"/>
    <x v="1"/>
    <x v="12"/>
    <x v="2"/>
    <n v="0.7"/>
    <n v="96801.67"/>
    <n v="0.27899634985112143"/>
    <n v="0"/>
    <x v="1"/>
    <n v="3"/>
    <s v="March"/>
    <s v="2025-03"/>
  </r>
  <r>
    <s v="FZ00036"/>
    <n v="46004"/>
    <n v="46004"/>
    <x v="4"/>
    <n v="50"/>
    <n v="2861.17"/>
    <n v="0.04"/>
    <n v="143001.28"/>
    <x v="0"/>
    <n v="2444.84"/>
    <n v="122242"/>
    <n v="636.35"/>
    <n v="266.23"/>
    <n v="1489.86"/>
    <n v="124634.44"/>
    <n v="20759.28"/>
    <n v="18366.84"/>
    <s v="Part-paid"/>
    <n v="99918.23"/>
    <n v="43083.05"/>
    <s v="Delivered"/>
    <x v="5"/>
    <x v="0"/>
    <x v="21"/>
    <x v="0"/>
    <n v="1.0900000000000001"/>
    <n v="18366.84"/>
    <n v="0.1284382909020115"/>
    <n v="0"/>
    <x v="1"/>
    <n v="12"/>
    <s v="December"/>
    <s v="2025-12"/>
  </r>
  <r>
    <s v="FZ00037"/>
    <n v="45642"/>
    <n v="45656"/>
    <x v="3"/>
    <n v="200"/>
    <n v="988.4"/>
    <n v="2.33"/>
    <n v="193074.06"/>
    <x v="1"/>
    <n v="728.18"/>
    <n v="145636"/>
    <n v="4584.32"/>
    <n v="1057.5999999999999"/>
    <n v="9535.89"/>
    <n v="160813.81"/>
    <n v="47438.06"/>
    <n v="32260.25"/>
    <s v="Paid"/>
    <n v="193074.06"/>
    <n v="0"/>
    <s v="Delivered"/>
    <x v="0"/>
    <x v="2"/>
    <x v="8"/>
    <x v="5"/>
    <n v="0.9"/>
    <n v="32260.25"/>
    <n v="0.1670874378463891"/>
    <n v="0"/>
    <x v="0"/>
    <n v="12"/>
    <s v="December"/>
    <s v="2024-12"/>
  </r>
  <r>
    <s v="FZ00038"/>
    <n v="45641"/>
    <n v="45641"/>
    <x v="0"/>
    <n v="200"/>
    <n v="874.51"/>
    <n v="0.8"/>
    <n v="173502.78"/>
    <x v="2"/>
    <n v="696.36"/>
    <n v="139272"/>
    <n v="1103.83"/>
    <n v="442.81"/>
    <n v="4254.5200000000004"/>
    <n v="145073.16"/>
    <n v="34230.78"/>
    <n v="28429.62"/>
    <s v="Part-paid"/>
    <n v="101562.34"/>
    <n v="71940.44"/>
    <s v="Delivered"/>
    <x v="4"/>
    <x v="1"/>
    <x v="10"/>
    <x v="5"/>
    <n v="1.27"/>
    <n v="28429.62"/>
    <n v="0.16385685578063935"/>
    <n v="0"/>
    <x v="0"/>
    <n v="12"/>
    <s v="December"/>
    <s v="2024-12"/>
  </r>
  <r>
    <s v="FZ00039"/>
    <n v="45328"/>
    <m/>
    <x v="3"/>
    <n v="1000"/>
    <n v="1004.83"/>
    <n v="5"/>
    <n v="954588.5"/>
    <x v="0"/>
    <n v="815.17"/>
    <n v="815170"/>
    <n v="15523.85"/>
    <n v="5576.13"/>
    <n v="3040.11"/>
    <n v="839310.09"/>
    <n v="139418.5"/>
    <n v="115278.41"/>
    <s v="Part-paid"/>
    <n v="760073.6"/>
    <n v="194514.9"/>
    <s v="Pending"/>
    <x v="3"/>
    <x v="1"/>
    <x v="4"/>
    <x v="1"/>
    <n v="0.28000000000000003"/>
    <n v="115278.41"/>
    <n v="0.12076241228550313"/>
    <n v="0"/>
    <x v="0"/>
    <n v="2"/>
    <s v="February"/>
    <s v="2024-02"/>
  </r>
  <r>
    <s v="FZ00040"/>
    <n v="45725"/>
    <n v="45737"/>
    <x v="1"/>
    <n v="100"/>
    <n v="1388.46"/>
    <n v="1.2"/>
    <n v="137179.85"/>
    <x v="2"/>
    <n v="998.79"/>
    <n v="99879"/>
    <n v="1493.95"/>
    <n v="150.38999999999999"/>
    <n v="1836.05"/>
    <n v="103359.39"/>
    <n v="37300.85"/>
    <n v="33820.46"/>
    <s v="Paid"/>
    <n v="137179.85"/>
    <n v="0"/>
    <s v="Delivered"/>
    <x v="3"/>
    <x v="3"/>
    <x v="11"/>
    <x v="5"/>
    <n v="2.2200000000000002"/>
    <n v="33820.46"/>
    <n v="0.24654101896160405"/>
    <n v="0"/>
    <x v="1"/>
    <n v="3"/>
    <s v="March"/>
    <s v="2025-03"/>
  </r>
  <r>
    <s v="FZ00041"/>
    <n v="45906"/>
    <n v="45907"/>
    <x v="0"/>
    <n v="300"/>
    <n v="854.63"/>
    <n v="2.34"/>
    <n v="250389.5"/>
    <x v="0"/>
    <n v="684.8"/>
    <n v="205440"/>
    <n v="5489.88"/>
    <n v="503.12"/>
    <n v="11798.92"/>
    <n v="223231.92"/>
    <n v="44949.5"/>
    <n v="27157.58"/>
    <s v="Paid"/>
    <n v="250389.5"/>
    <n v="0"/>
    <s v="Delivered"/>
    <x v="3"/>
    <x v="3"/>
    <x v="22"/>
    <x v="5"/>
    <n v="1.28"/>
    <n v="27157.58"/>
    <n v="0.10846133723658541"/>
    <n v="0"/>
    <x v="1"/>
    <n v="9"/>
    <s v="September"/>
    <s v="2025-09"/>
  </r>
  <r>
    <s v="FZ00042"/>
    <n v="45780"/>
    <m/>
    <x v="3"/>
    <n v="200"/>
    <n v="1005.5"/>
    <n v="0.09"/>
    <n v="200919.01"/>
    <x v="3"/>
    <n v="795.89"/>
    <n v="159178"/>
    <n v="2449.58"/>
    <n v="649.69000000000005"/>
    <n v="11123.64"/>
    <n v="173400.91"/>
    <n v="41741.01"/>
    <n v="27518.1"/>
    <s v="Paid"/>
    <n v="200919.01"/>
    <n v="0"/>
    <s v="Pending"/>
    <x v="1"/>
    <x v="1"/>
    <x v="7"/>
    <x v="5"/>
    <n v="1.26"/>
    <n v="27518.1"/>
    <n v="0.13696115663719424"/>
    <n v="0"/>
    <x v="1"/>
    <n v="5"/>
    <s v="May"/>
    <s v="2025-05"/>
  </r>
  <r>
    <s v="FZ00043"/>
    <n v="45898"/>
    <n v="45902"/>
    <x v="3"/>
    <n v="100"/>
    <n v="1040.98"/>
    <n v="1.57"/>
    <n v="102463.66"/>
    <x v="1"/>
    <n v="755.69"/>
    <n v="75569"/>
    <n v="1743.34"/>
    <n v="185.82"/>
    <n v="406.47"/>
    <n v="77904.63"/>
    <n v="26894.66"/>
    <n v="24559.03"/>
    <s v="Paid"/>
    <n v="102463.66"/>
    <n v="0"/>
    <s v="Collected"/>
    <x v="0"/>
    <x v="3"/>
    <x v="19"/>
    <x v="4"/>
    <n v="1.58"/>
    <n v="24559.03"/>
    <n v="0.23968526988007258"/>
    <n v="0"/>
    <x v="1"/>
    <n v="8"/>
    <s v="August"/>
    <s v="2025-08"/>
  </r>
  <r>
    <s v="FZ00044"/>
    <n v="45859"/>
    <m/>
    <x v="1"/>
    <n v="100"/>
    <n v="1296.17"/>
    <n v="1.24"/>
    <n v="0"/>
    <x v="2"/>
    <n v="1096.43"/>
    <n v="0"/>
    <n v="0"/>
    <n v="0"/>
    <n v="0"/>
    <n v="0"/>
    <n v="0"/>
    <n v="0"/>
    <s v="Paid"/>
    <n v="0"/>
    <n v="0"/>
    <s v="Cancelled"/>
    <x v="3"/>
    <x v="1"/>
    <x v="11"/>
    <x v="5"/>
    <n v="0.22"/>
    <n v="0"/>
    <e v="#DIV/0!"/>
    <n v="0"/>
    <x v="1"/>
    <n v="7"/>
    <s v="July"/>
    <s v="2025-07"/>
  </r>
  <r>
    <s v="FZ00045"/>
    <n v="45921"/>
    <n v="45935"/>
    <x v="0"/>
    <n v="200"/>
    <n v="954.25"/>
    <n v="1.92"/>
    <n v="187185.68"/>
    <x v="1"/>
    <n v="673.83"/>
    <n v="134766"/>
    <n v="3925.47"/>
    <n v="366.28"/>
    <n v="10015.31"/>
    <n v="149073.06"/>
    <n v="52419.68"/>
    <n v="38112.620000000003"/>
    <s v="Paid"/>
    <n v="187185.68"/>
    <n v="0"/>
    <s v="Delivered"/>
    <x v="0"/>
    <x v="2"/>
    <x v="13"/>
    <x v="5"/>
    <n v="1.67"/>
    <n v="38112.620000000003"/>
    <n v="0.20360863074568528"/>
    <n v="0"/>
    <x v="1"/>
    <n v="9"/>
    <s v="September"/>
    <s v="2025-09"/>
  </r>
  <r>
    <s v="FZ00046"/>
    <n v="45371"/>
    <n v="45380"/>
    <x v="3"/>
    <n v="300"/>
    <n v="925.08"/>
    <n v="1.43"/>
    <n v="273555.40999999997"/>
    <x v="0"/>
    <n v="824.27"/>
    <n v="247281"/>
    <n v="2874.9"/>
    <n v="1387.87"/>
    <n v="10557.61"/>
    <n v="262101.38"/>
    <n v="26274.41"/>
    <n v="11454.03"/>
    <s v="Paid"/>
    <n v="273555.40999999997"/>
    <n v="0"/>
    <s v="Delivered"/>
    <x v="1"/>
    <x v="2"/>
    <x v="23"/>
    <x v="4"/>
    <n v="1.5"/>
    <n v="11454.03"/>
    <n v="4.1870968664081624E-2"/>
    <n v="0"/>
    <x v="0"/>
    <n v="3"/>
    <s v="March"/>
    <s v="2024-03"/>
  </r>
  <r>
    <s v="FZ00047"/>
    <n v="45447"/>
    <m/>
    <x v="0"/>
    <n v="50"/>
    <n v="882.23"/>
    <n v="0.59"/>
    <n v="43851.24"/>
    <x v="0"/>
    <n v="739.67"/>
    <n v="36983.5"/>
    <n v="1030.8599999999999"/>
    <n v="217.84"/>
    <n v="11336.45"/>
    <n v="49568.65"/>
    <n v="6867.74"/>
    <n v="-5717.41"/>
    <s v="Part-paid"/>
    <n v="19359.41"/>
    <n v="24491.83"/>
    <s v="Pending"/>
    <x v="4"/>
    <x v="3"/>
    <x v="13"/>
    <x v="5"/>
    <n v="1.5"/>
    <n v="-5717.41"/>
    <n v="-0.13038194586971771"/>
    <n v="0"/>
    <x v="0"/>
    <n v="6"/>
    <s v="June"/>
    <s v="2024-06"/>
  </r>
  <r>
    <s v="FZ00048"/>
    <n v="45297"/>
    <n v="45308"/>
    <x v="0"/>
    <n v="750"/>
    <n v="917.88"/>
    <n v="1.99"/>
    <n v="674710.64"/>
    <x v="2"/>
    <n v="727.98"/>
    <n v="545985"/>
    <n v="6160.4"/>
    <n v="3269.59"/>
    <n v="271.25"/>
    <n v="555686.24"/>
    <n v="128725.64"/>
    <n v="119024.4"/>
    <s v="Paid"/>
    <n v="674710.64"/>
    <n v="0"/>
    <s v="Delivered"/>
    <x v="0"/>
    <x v="1"/>
    <x v="24"/>
    <x v="0"/>
    <n v="0.36"/>
    <n v="119024.4"/>
    <n v="0.17640806731608677"/>
    <n v="0"/>
    <x v="0"/>
    <n v="1"/>
    <s v="January"/>
    <s v="2024-01"/>
  </r>
  <r>
    <s v="FZ00049"/>
    <n v="45759"/>
    <n v="45763"/>
    <x v="0"/>
    <n v="150"/>
    <n v="905.61"/>
    <n v="0.24"/>
    <n v="135515.48000000001"/>
    <x v="1"/>
    <n v="692.67"/>
    <n v="103900.5"/>
    <n v="1526.15"/>
    <n v="325.89"/>
    <n v="5526.11"/>
    <n v="111278.65"/>
    <n v="31614.98"/>
    <n v="24236.83"/>
    <s v="Paid"/>
    <n v="135515.48000000001"/>
    <n v="0"/>
    <s v="Delivered"/>
    <x v="3"/>
    <x v="1"/>
    <x v="0"/>
    <x v="0"/>
    <n v="0.27"/>
    <n v="24236.83"/>
    <n v="0.17884916173414284"/>
    <n v="0"/>
    <x v="1"/>
    <n v="4"/>
    <s v="April"/>
    <s v="2025-04"/>
  </r>
  <r>
    <s v="FZ00050"/>
    <n v="45546"/>
    <n v="45554"/>
    <x v="1"/>
    <n v="100"/>
    <n v="1253.81"/>
    <n v="2.41"/>
    <n v="122359.32"/>
    <x v="0"/>
    <n v="971.04"/>
    <n v="97104"/>
    <n v="670.26"/>
    <n v="323.85000000000002"/>
    <n v="1780.45"/>
    <n v="99878.56"/>
    <n v="25255.32"/>
    <n v="22480.76"/>
    <s v="Paid"/>
    <n v="122359.32"/>
    <n v="0"/>
    <s v="Delivered"/>
    <x v="2"/>
    <x v="1"/>
    <x v="10"/>
    <x v="5"/>
    <n v="1.1499999999999999"/>
    <n v="22480.76"/>
    <n v="0.18372740221178083"/>
    <n v="0"/>
    <x v="0"/>
    <n v="9"/>
    <s v="September"/>
    <s v="2024-09"/>
  </r>
  <r>
    <s v="FZ00051"/>
    <n v="46001"/>
    <n v="46015"/>
    <x v="1"/>
    <n v="500"/>
    <n v="1322.3"/>
    <n v="1.6"/>
    <n v="650571.6"/>
    <x v="2"/>
    <n v="1073.96"/>
    <n v="536980"/>
    <n v="11832.25"/>
    <n v="1374.08"/>
    <n v="3469.73"/>
    <n v="553656.06000000006"/>
    <n v="113591.6"/>
    <n v="96915.54"/>
    <s v="Paid"/>
    <n v="650571.6"/>
    <n v="0"/>
    <s v="Delivered"/>
    <x v="3"/>
    <x v="3"/>
    <x v="22"/>
    <x v="5"/>
    <n v="1.01"/>
    <n v="96915.54"/>
    <n v="0.14896982899345745"/>
    <n v="0"/>
    <x v="1"/>
    <n v="12"/>
    <s v="December"/>
    <s v="2025-12"/>
  </r>
  <r>
    <s v="FZ00052"/>
    <n v="45773"/>
    <n v="45784"/>
    <x v="0"/>
    <n v="750"/>
    <n v="844.15"/>
    <n v="3.23"/>
    <n v="612662.97"/>
    <x v="0"/>
    <n v="723.75"/>
    <n v="542812.5"/>
    <n v="12429.74"/>
    <n v="1437.05"/>
    <n v="5213.58"/>
    <n v="561892.87"/>
    <n v="69850.47"/>
    <n v="50770.1"/>
    <s v="Paid"/>
    <n v="612662.97"/>
    <n v="0"/>
    <s v="Delivered"/>
    <x v="4"/>
    <x v="2"/>
    <x v="8"/>
    <x v="5"/>
    <n v="1"/>
    <n v="50770.1"/>
    <n v="8.2867910231297318E-2"/>
    <n v="0"/>
    <x v="1"/>
    <n v="4"/>
    <s v="April"/>
    <s v="2025-04"/>
  </r>
  <r>
    <s v="FZ00053"/>
    <n v="45978"/>
    <n v="45980"/>
    <x v="0"/>
    <n v="150"/>
    <n v="873.29"/>
    <n v="0.15"/>
    <n v="130797.01"/>
    <x v="2"/>
    <n v="663.46"/>
    <n v="99519"/>
    <n v="1104.45"/>
    <n v="797.1"/>
    <n v="4676.7299999999996"/>
    <n v="106097.28"/>
    <n v="31278.01"/>
    <n v="24699.73"/>
    <s v="Paid"/>
    <n v="130797.01"/>
    <n v="0"/>
    <s v="Delivered"/>
    <x v="0"/>
    <x v="3"/>
    <x v="9"/>
    <x v="1"/>
    <n v="2.12"/>
    <n v="24699.73"/>
    <n v="0.18884017302842016"/>
    <n v="0"/>
    <x v="1"/>
    <n v="11"/>
    <s v="November"/>
    <s v="2025-11"/>
  </r>
  <r>
    <s v="FZ00054"/>
    <n v="45902"/>
    <n v="45911"/>
    <x v="0"/>
    <n v="1000"/>
    <n v="908.45"/>
    <n v="3.12"/>
    <n v="880106.36"/>
    <x v="0"/>
    <n v="712.17"/>
    <n v="712170"/>
    <n v="8734.34"/>
    <n v="4985.8100000000004"/>
    <n v="5156.42"/>
    <n v="731046.57"/>
    <n v="167936.36"/>
    <n v="149059.79"/>
    <s v="Unpaid"/>
    <n v="0"/>
    <n v="880106.36"/>
    <s v="Delivered"/>
    <x v="2"/>
    <x v="0"/>
    <x v="25"/>
    <x v="3"/>
    <n v="1.1599999999999999"/>
    <n v="149059.79"/>
    <n v="0.1693656548510796"/>
    <n v="0"/>
    <x v="1"/>
    <n v="9"/>
    <s v="September"/>
    <s v="2025-09"/>
  </r>
  <r>
    <s v="FZ00055"/>
    <n v="45835"/>
    <n v="45843"/>
    <x v="0"/>
    <n v="150"/>
    <n v="836.99"/>
    <n v="0.69"/>
    <n v="124682.22"/>
    <x v="1"/>
    <n v="751.37"/>
    <n v="112705.5"/>
    <n v="2922.84"/>
    <n v="301.43"/>
    <n v="3009.95"/>
    <n v="118939.72"/>
    <n v="11976.72"/>
    <n v="5742.5"/>
    <s v="Part-paid"/>
    <n v="41873.599999999999"/>
    <n v="82808.62"/>
    <s v="Collected"/>
    <x v="0"/>
    <x v="4"/>
    <x v="26"/>
    <x v="4"/>
    <n v="1.78"/>
    <n v="5742.5"/>
    <n v="4.605708817183396E-2"/>
    <n v="0"/>
    <x v="1"/>
    <n v="6"/>
    <s v="June"/>
    <s v="2025-06"/>
  </r>
  <r>
    <s v="FZ00056"/>
    <n v="45630"/>
    <n v="45644"/>
    <x v="0"/>
    <n v="200"/>
    <n v="961.87"/>
    <n v="0.55000000000000004"/>
    <n v="191315.94"/>
    <x v="0"/>
    <n v="654.49"/>
    <n v="130898"/>
    <n v="1084.4000000000001"/>
    <n v="930.36"/>
    <n v="11121.7"/>
    <n v="144034.46"/>
    <n v="60417.94"/>
    <n v="47281.48"/>
    <s v="Paid"/>
    <n v="191315.94"/>
    <n v="0"/>
    <s v="Delivered"/>
    <x v="2"/>
    <x v="0"/>
    <x v="8"/>
    <x v="5"/>
    <n v="2.2799999999999998"/>
    <n v="47281.48"/>
    <n v="0.24713821545658979"/>
    <n v="0"/>
    <x v="0"/>
    <n v="12"/>
    <s v="December"/>
    <s v="2024-12"/>
  </r>
  <r>
    <s v="FZ00057"/>
    <n v="45601"/>
    <n v="45602"/>
    <x v="0"/>
    <n v="200"/>
    <n v="933.78"/>
    <n v="2.11"/>
    <n v="182815.45"/>
    <x v="3"/>
    <n v="675.61"/>
    <n v="135122"/>
    <n v="4182.04"/>
    <n v="791.31"/>
    <n v="11057.91"/>
    <n v="151153.26"/>
    <n v="47693.45"/>
    <n v="31662.19"/>
    <s v="Unpaid"/>
    <n v="0"/>
    <n v="182815.45"/>
    <s v="Delivered"/>
    <x v="5"/>
    <x v="1"/>
    <x v="18"/>
    <x v="3"/>
    <n v="1.2"/>
    <n v="31662.19"/>
    <n v="0.17319209071224559"/>
    <n v="0"/>
    <x v="0"/>
    <n v="11"/>
    <s v="November"/>
    <s v="2024-11"/>
  </r>
  <r>
    <s v="FZ00058"/>
    <n v="45339"/>
    <n v="45342"/>
    <x v="0"/>
    <n v="300"/>
    <n v="819.93"/>
    <n v="1.47"/>
    <n v="242363.11"/>
    <x v="3"/>
    <n v="669.82"/>
    <n v="200946"/>
    <n v="6536.41"/>
    <n v="584.54999999999995"/>
    <n v="6538.08"/>
    <n v="214605.04"/>
    <n v="41417.11"/>
    <n v="27758.07"/>
    <s v="Paid"/>
    <n v="242363.11"/>
    <n v="0"/>
    <s v="Delivered"/>
    <x v="0"/>
    <x v="2"/>
    <x v="4"/>
    <x v="1"/>
    <n v="1.88"/>
    <n v="27758.07"/>
    <n v="0.11453092015529921"/>
    <n v="0"/>
    <x v="0"/>
    <n v="2"/>
    <s v="February"/>
    <s v="2024-02"/>
  </r>
  <r>
    <s v="FZ00059"/>
    <n v="45847"/>
    <n v="45861"/>
    <x v="0"/>
    <n v="1000"/>
    <n v="894.04"/>
    <n v="4.5999999999999996"/>
    <n v="852914.16"/>
    <x v="3"/>
    <n v="661.35"/>
    <n v="661350"/>
    <n v="19712.04"/>
    <n v="3794.24"/>
    <n v="5233.46"/>
    <n v="690089.74"/>
    <n v="191564.16"/>
    <n v="162824.42000000001"/>
    <s v="Paid"/>
    <n v="852914.16"/>
    <n v="0"/>
    <s v="Delivered"/>
    <x v="0"/>
    <x v="2"/>
    <x v="21"/>
    <x v="0"/>
    <n v="2.31"/>
    <n v="162824.42000000001"/>
    <n v="0.19090364263620621"/>
    <n v="0"/>
    <x v="1"/>
    <n v="7"/>
    <s v="July"/>
    <s v="2025-07"/>
  </r>
  <r>
    <s v="FZ00060"/>
    <n v="45990"/>
    <n v="45999"/>
    <x v="1"/>
    <n v="300"/>
    <n v="1342.37"/>
    <n v="1.38"/>
    <n v="397153.59"/>
    <x v="0"/>
    <n v="1044.28"/>
    <n v="313284"/>
    <n v="1822.22"/>
    <n v="987.17"/>
    <n v="1159.82"/>
    <n v="317253.21000000002"/>
    <n v="83869.59"/>
    <n v="79900.38"/>
    <s v="Part-paid"/>
    <n v="247732.82"/>
    <n v="149420.76999999999"/>
    <s v="Delivered"/>
    <x v="4"/>
    <x v="2"/>
    <x v="6"/>
    <x v="2"/>
    <n v="0.73"/>
    <n v="79900.38"/>
    <n v="0.20118257019910105"/>
    <n v="0"/>
    <x v="1"/>
    <n v="11"/>
    <s v="November"/>
    <s v="2025-11"/>
  </r>
  <r>
    <s v="FZ00061"/>
    <n v="45344"/>
    <m/>
    <x v="1"/>
    <n v="200"/>
    <n v="1325.28"/>
    <n v="0.28999999999999998"/>
    <n v="0"/>
    <x v="1"/>
    <n v="1042.92"/>
    <n v="0"/>
    <n v="0"/>
    <n v="0"/>
    <n v="0"/>
    <n v="0"/>
    <n v="0"/>
    <n v="0"/>
    <s v="Paid"/>
    <n v="0"/>
    <n v="0"/>
    <s v="Cancelled"/>
    <x v="4"/>
    <x v="1"/>
    <x v="7"/>
    <x v="5"/>
    <n v="1.31"/>
    <n v="0"/>
    <e v="#DIV/0!"/>
    <n v="0"/>
    <x v="0"/>
    <n v="2"/>
    <s v="February"/>
    <s v="2024-02"/>
  </r>
  <r>
    <s v="FZ00062"/>
    <n v="45438"/>
    <n v="45439"/>
    <x v="0"/>
    <n v="50"/>
    <n v="829.71"/>
    <n v="1.72"/>
    <n v="40771.949999999997"/>
    <x v="0"/>
    <n v="659.78"/>
    <n v="32989"/>
    <n v="1179.3399999999999"/>
    <n v="176.48"/>
    <n v="11383.84"/>
    <n v="45728.66"/>
    <n v="7782.95"/>
    <n v="-4956.71"/>
    <s v="Paid"/>
    <n v="40771.949999999997"/>
    <n v="0"/>
    <s v="Delivered"/>
    <x v="0"/>
    <x v="0"/>
    <x v="10"/>
    <x v="5"/>
    <n v="1.39"/>
    <n v="-4956.71"/>
    <n v="-0.12157157065090093"/>
    <n v="0"/>
    <x v="0"/>
    <n v="5"/>
    <s v="May"/>
    <s v="2024-05"/>
  </r>
  <r>
    <s v="FZ00063"/>
    <n v="45955"/>
    <n v="45957"/>
    <x v="0"/>
    <n v="1200"/>
    <n v="921.89"/>
    <n v="4.42"/>
    <n v="1057370.95"/>
    <x v="0"/>
    <n v="679.61"/>
    <n v="815532"/>
    <n v="26111.74"/>
    <n v="4080.36"/>
    <n v="517.47"/>
    <n v="846241.57"/>
    <n v="241838.95"/>
    <n v="211129.38"/>
    <s v="Paid"/>
    <n v="1057370.95"/>
    <n v="0"/>
    <s v="Delivered"/>
    <x v="0"/>
    <x v="1"/>
    <x v="13"/>
    <x v="5"/>
    <n v="0.33"/>
    <n v="211129.38"/>
    <n v="0.19967389873913219"/>
    <n v="0"/>
    <x v="1"/>
    <n v="10"/>
    <s v="October"/>
    <s v="2025-10"/>
  </r>
  <r>
    <s v="FZ00064"/>
    <n v="45465"/>
    <n v="45470"/>
    <x v="1"/>
    <n v="750"/>
    <n v="1176.97"/>
    <n v="4.24"/>
    <n v="845299.85"/>
    <x v="0"/>
    <n v="1035.3800000000001"/>
    <n v="776535"/>
    <n v="13853.18"/>
    <n v="3608.29"/>
    <n v="7246.13"/>
    <n v="801242.6"/>
    <n v="68764.850000000006"/>
    <n v="44057.25"/>
    <s v="Paid"/>
    <n v="845299.85"/>
    <n v="0"/>
    <s v="Collected"/>
    <x v="3"/>
    <x v="3"/>
    <x v="27"/>
    <x v="2"/>
    <n v="1.42"/>
    <n v="44057.25"/>
    <n v="5.212026241339094E-2"/>
    <n v="0"/>
    <x v="0"/>
    <n v="6"/>
    <s v="June"/>
    <s v="2024-06"/>
  </r>
  <r>
    <s v="FZ00065"/>
    <n v="45581"/>
    <n v="45590"/>
    <x v="0"/>
    <n v="250"/>
    <n v="905.52"/>
    <n v="2.1"/>
    <n v="221626.02"/>
    <x v="1"/>
    <n v="689.59"/>
    <n v="172397.5"/>
    <n v="4310.13"/>
    <n v="664.29"/>
    <n v="6337.5"/>
    <n v="183709.42"/>
    <n v="49228.52"/>
    <n v="37916.6"/>
    <s v="Unpaid"/>
    <n v="0"/>
    <n v="221626.02"/>
    <s v="Delivered"/>
    <x v="2"/>
    <x v="0"/>
    <x v="16"/>
    <x v="1"/>
    <n v="1.88"/>
    <n v="37916.6"/>
    <n v="0.17108370217540342"/>
    <n v="0"/>
    <x v="0"/>
    <n v="10"/>
    <s v="October"/>
    <s v="2024-10"/>
  </r>
  <r>
    <s v="FZ00066"/>
    <n v="45365"/>
    <n v="45370"/>
    <x v="0"/>
    <n v="150"/>
    <n v="833.35"/>
    <n v="2.04"/>
    <n v="122452.45"/>
    <x v="0"/>
    <n v="731.31"/>
    <n v="109696.5"/>
    <n v="1262.28"/>
    <n v="682.21"/>
    <n v="7350.19"/>
    <n v="118991.18"/>
    <n v="12755.95"/>
    <n v="3461.27"/>
    <s v="Unpaid"/>
    <n v="0"/>
    <n v="122452.45"/>
    <s v="Delivered"/>
    <x v="0"/>
    <x v="0"/>
    <x v="28"/>
    <x v="4"/>
    <n v="2"/>
    <n v="3461.27"/>
    <n v="2.8266237221060093E-2"/>
    <n v="0"/>
    <x v="0"/>
    <n v="3"/>
    <s v="March"/>
    <s v="2024-03"/>
  </r>
  <r>
    <s v="FZ00067"/>
    <n v="45352"/>
    <n v="45358"/>
    <x v="0"/>
    <n v="150"/>
    <n v="853.25"/>
    <n v="0.77"/>
    <n v="127002"/>
    <x v="1"/>
    <n v="654.51"/>
    <n v="98176.5"/>
    <n v="988.93"/>
    <n v="826.67"/>
    <n v="10936.15"/>
    <n v="110928.25"/>
    <n v="28825.5"/>
    <n v="16073.75"/>
    <s v="Paid"/>
    <n v="127002"/>
    <n v="0"/>
    <s v="Delivered"/>
    <x v="3"/>
    <x v="2"/>
    <x v="24"/>
    <x v="0"/>
    <n v="1.93"/>
    <n v="16073.75"/>
    <n v="0.12656296751232263"/>
    <n v="0"/>
    <x v="0"/>
    <n v="3"/>
    <s v="March"/>
    <s v="2024-03"/>
  </r>
  <r>
    <s v="FZ00068"/>
    <n v="45597"/>
    <n v="45605"/>
    <x v="1"/>
    <n v="250"/>
    <n v="1360.55"/>
    <n v="0.13"/>
    <n v="339695.32"/>
    <x v="2"/>
    <n v="997.92"/>
    <n v="249480"/>
    <n v="2058.5700000000002"/>
    <n v="1343.72"/>
    <n v="6262.15"/>
    <n v="259144.44"/>
    <n v="90215.32"/>
    <n v="80550.880000000005"/>
    <s v="Paid"/>
    <n v="339695.32"/>
    <n v="0"/>
    <s v="Collected"/>
    <x v="2"/>
    <x v="4"/>
    <x v="11"/>
    <x v="5"/>
    <n v="0.33"/>
    <n v="80550.880000000005"/>
    <n v="0.23712684649291019"/>
    <n v="0"/>
    <x v="0"/>
    <n v="11"/>
    <s v="November"/>
    <s v="2024-11"/>
  </r>
  <r>
    <s v="FZ00069"/>
    <n v="45800"/>
    <n v="45810"/>
    <x v="1"/>
    <n v="200"/>
    <n v="1283.3599999999999"/>
    <n v="2.17"/>
    <n v="251102.22"/>
    <x v="0"/>
    <n v="1109.53"/>
    <n v="221906"/>
    <n v="3929.82"/>
    <n v="733.03"/>
    <n v="3916.57"/>
    <n v="230485.42"/>
    <n v="29196.22"/>
    <n v="20616.8"/>
    <s v="Paid"/>
    <n v="251102.22"/>
    <n v="0"/>
    <s v="Collected"/>
    <x v="2"/>
    <x v="0"/>
    <x v="25"/>
    <x v="3"/>
    <n v="0.56000000000000005"/>
    <n v="20616.8"/>
    <n v="8.2105207990594425E-2"/>
    <n v="0"/>
    <x v="1"/>
    <n v="5"/>
    <s v="May"/>
    <s v="2025-05"/>
  </r>
  <r>
    <s v="FZ00070"/>
    <n v="45810"/>
    <n v="45821"/>
    <x v="3"/>
    <n v="750"/>
    <n v="1023.27"/>
    <n v="3.62"/>
    <n v="739670.72"/>
    <x v="1"/>
    <n v="744.4"/>
    <n v="558300"/>
    <n v="7155.01"/>
    <n v="4124.07"/>
    <n v="8913.8799999999992"/>
    <n v="578492.96"/>
    <n v="181370.72"/>
    <n v="161177.76"/>
    <s v="Unpaid"/>
    <n v="0"/>
    <n v="739670.72"/>
    <s v="Collected"/>
    <x v="2"/>
    <x v="0"/>
    <x v="11"/>
    <x v="5"/>
    <n v="1.36"/>
    <n v="161177.76"/>
    <n v="0.21790474550621663"/>
    <n v="0"/>
    <x v="1"/>
    <n v="6"/>
    <s v="June"/>
    <s v="2025-06"/>
  </r>
  <r>
    <s v="FZ00071"/>
    <n v="45330"/>
    <n v="45330"/>
    <x v="1"/>
    <n v="500"/>
    <n v="1194"/>
    <n v="2.21"/>
    <n v="583806.30000000005"/>
    <x v="2"/>
    <n v="1093.76"/>
    <n v="546880"/>
    <n v="8351.61"/>
    <n v="2193.29"/>
    <n v="7711.88"/>
    <n v="565136.78"/>
    <n v="36926.300000000003"/>
    <n v="18669.52"/>
    <s v="Paid"/>
    <n v="583806.30000000005"/>
    <n v="0"/>
    <s v="Delivered"/>
    <x v="0"/>
    <x v="1"/>
    <x v="23"/>
    <x v="4"/>
    <n v="1.41"/>
    <n v="18669.52"/>
    <n v="3.1978962885463889E-2"/>
    <n v="0"/>
    <x v="0"/>
    <n v="2"/>
    <s v="February"/>
    <s v="2024-02"/>
  </r>
  <r>
    <s v="FZ00072"/>
    <n v="45319"/>
    <n v="45326"/>
    <x v="0"/>
    <n v="150"/>
    <n v="916.43"/>
    <n v="1.83"/>
    <n v="134948.9"/>
    <x v="1"/>
    <n v="702.83"/>
    <n v="105424.5"/>
    <n v="1432.19"/>
    <n v="344.69"/>
    <n v="1941.66"/>
    <n v="109143.03999999999"/>
    <n v="29524.400000000001"/>
    <n v="25805.86"/>
    <s v="Paid"/>
    <n v="134948.9"/>
    <n v="0"/>
    <s v="Delivered"/>
    <x v="2"/>
    <x v="1"/>
    <x v="20"/>
    <x v="2"/>
    <n v="1.54"/>
    <n v="25805.86"/>
    <n v="0.19122690144195323"/>
    <n v="0"/>
    <x v="0"/>
    <n v="1"/>
    <s v="January"/>
    <s v="2024-01"/>
  </r>
  <r>
    <s v="FZ00073"/>
    <n v="45876"/>
    <n v="45884"/>
    <x v="3"/>
    <n v="250"/>
    <n v="967.66"/>
    <n v="1.92"/>
    <n v="237270.23"/>
    <x v="0"/>
    <n v="725.21"/>
    <n v="181302.5"/>
    <n v="4004.88"/>
    <n v="389.95"/>
    <n v="1636.43"/>
    <n v="187333.76000000001"/>
    <n v="55967.73"/>
    <n v="49936.47"/>
    <s v="Paid"/>
    <n v="237270.23"/>
    <n v="0"/>
    <s v="Collected"/>
    <x v="1"/>
    <x v="4"/>
    <x v="10"/>
    <x v="5"/>
    <n v="1.71"/>
    <n v="49936.47"/>
    <n v="0.21046243348775781"/>
    <n v="0"/>
    <x v="1"/>
    <n v="8"/>
    <s v="August"/>
    <s v="2025-08"/>
  </r>
  <r>
    <s v="FZ00074"/>
    <n v="45492"/>
    <n v="45497"/>
    <x v="0"/>
    <n v="50"/>
    <n v="883.84"/>
    <n v="1.67"/>
    <n v="43453.99"/>
    <x v="2"/>
    <n v="656.05"/>
    <n v="32802.5"/>
    <n v="994.52"/>
    <n v="98.22"/>
    <n v="4570.71"/>
    <n v="38465.949999999997"/>
    <n v="10651.49"/>
    <n v="4988.04"/>
    <s v="Unpaid"/>
    <n v="0"/>
    <n v="43453.99"/>
    <s v="Delivered"/>
    <x v="0"/>
    <x v="1"/>
    <x v="10"/>
    <x v="5"/>
    <n v="1.03"/>
    <n v="4988.04"/>
    <n v="0.11478899866272349"/>
    <n v="0"/>
    <x v="0"/>
    <n v="7"/>
    <s v="July"/>
    <s v="2024-07"/>
  </r>
  <r>
    <s v="FZ00075"/>
    <n v="45949"/>
    <n v="45954"/>
    <x v="1"/>
    <n v="300"/>
    <n v="1250.24"/>
    <n v="1.35"/>
    <n v="370008.53"/>
    <x v="3"/>
    <n v="1089.94"/>
    <n v="326982"/>
    <n v="2337.23"/>
    <n v="1178.94"/>
    <n v="2067.3000000000002"/>
    <n v="332565.46999999997"/>
    <n v="43026.53"/>
    <n v="37443.06"/>
    <s v="Paid"/>
    <n v="370008.53"/>
    <n v="0"/>
    <s v="Delivered"/>
    <x v="5"/>
    <x v="2"/>
    <x v="1"/>
    <x v="1"/>
    <n v="1.31"/>
    <n v="37443.06"/>
    <n v="0.10119512650154307"/>
    <n v="0"/>
    <x v="1"/>
    <n v="10"/>
    <s v="October"/>
    <s v="2025-10"/>
  </r>
  <r>
    <s v="FZ00076"/>
    <n v="45531"/>
    <n v="45544"/>
    <x v="0"/>
    <n v="300"/>
    <n v="855.72"/>
    <n v="0.54"/>
    <n v="255329.73"/>
    <x v="1"/>
    <n v="652.02"/>
    <n v="195606"/>
    <n v="7183.02"/>
    <n v="1496.34"/>
    <n v="8494.19"/>
    <n v="212779.55"/>
    <n v="59723.73"/>
    <n v="42550.18"/>
    <s v="Unpaid"/>
    <n v="0"/>
    <n v="255329.73"/>
    <s v="Delivered"/>
    <x v="4"/>
    <x v="3"/>
    <x v="11"/>
    <x v="5"/>
    <n v="1.31"/>
    <n v="42550.18"/>
    <n v="0.16664796535836229"/>
    <n v="0"/>
    <x v="0"/>
    <n v="8"/>
    <s v="August"/>
    <s v="2024-08"/>
  </r>
  <r>
    <s v="FZ00077"/>
    <n v="45817"/>
    <n v="45821"/>
    <x v="0"/>
    <n v="1000"/>
    <n v="907.22"/>
    <n v="4.1900000000000004"/>
    <n v="869207.48"/>
    <x v="2"/>
    <n v="726.66"/>
    <n v="726660"/>
    <n v="13571.57"/>
    <n v="2934.62"/>
    <n v="6019.06"/>
    <n v="749185.25"/>
    <n v="142547.48000000001"/>
    <n v="120022.23"/>
    <s v="Paid"/>
    <n v="869207.48"/>
    <n v="0"/>
    <s v="Collected"/>
    <x v="0"/>
    <x v="2"/>
    <x v="14"/>
    <x v="1"/>
    <n v="1.81"/>
    <n v="120022.23"/>
    <n v="0.13808237131139275"/>
    <n v="0"/>
    <x v="1"/>
    <n v="6"/>
    <s v="June"/>
    <s v="2025-06"/>
  </r>
  <r>
    <s v="FZ00078"/>
    <n v="45545"/>
    <n v="45545"/>
    <x v="0"/>
    <n v="150"/>
    <n v="939.16"/>
    <n v="0.81"/>
    <n v="139732.92000000001"/>
    <x v="1"/>
    <n v="684.27"/>
    <n v="102640.5"/>
    <n v="3310.37"/>
    <n v="508.11"/>
    <n v="5921.3"/>
    <n v="112380.28"/>
    <n v="37092.42"/>
    <n v="27352.639999999999"/>
    <s v="Paid"/>
    <n v="139732.92000000001"/>
    <n v="0"/>
    <s v="Delivered"/>
    <x v="0"/>
    <x v="4"/>
    <x v="23"/>
    <x v="4"/>
    <n v="0.2"/>
    <n v="27352.639999999999"/>
    <n v="0.19574943399164632"/>
    <n v="0"/>
    <x v="0"/>
    <n v="9"/>
    <s v="September"/>
    <s v="2024-09"/>
  </r>
  <r>
    <s v="FZ00079"/>
    <n v="45720"/>
    <m/>
    <x v="0"/>
    <n v="150"/>
    <n v="922.46"/>
    <n v="1.86"/>
    <n v="0"/>
    <x v="2"/>
    <n v="696.46"/>
    <n v="0"/>
    <n v="0"/>
    <n v="0"/>
    <n v="0"/>
    <n v="0"/>
    <n v="0"/>
    <n v="0"/>
    <s v="Paid"/>
    <n v="0"/>
    <n v="0"/>
    <s v="Cancelled"/>
    <x v="3"/>
    <x v="2"/>
    <x v="16"/>
    <x v="1"/>
    <n v="2.16"/>
    <n v="0"/>
    <e v="#DIV/0!"/>
    <n v="0"/>
    <x v="1"/>
    <n v="3"/>
    <s v="March"/>
    <s v="2025-03"/>
  </r>
  <r>
    <s v="FZ00080"/>
    <n v="46012"/>
    <m/>
    <x v="2"/>
    <n v="1000"/>
    <n v="762.7"/>
    <n v="2.89"/>
    <n v="740657.97"/>
    <x v="0"/>
    <n v="547.77"/>
    <n v="547770"/>
    <n v="7053.38"/>
    <n v="2195.81"/>
    <n v="6489.59"/>
    <n v="563508.78"/>
    <n v="192887.97"/>
    <n v="177149.19"/>
    <s v="Paid"/>
    <n v="740657.97"/>
    <n v="0"/>
    <s v="Pending"/>
    <x v="5"/>
    <x v="1"/>
    <x v="2"/>
    <x v="2"/>
    <n v="0.5"/>
    <n v="177149.19"/>
    <n v="0.23917813238410168"/>
    <n v="0"/>
    <x v="1"/>
    <n v="12"/>
    <s v="December"/>
    <s v="2025-12"/>
  </r>
  <r>
    <s v="FZ00081"/>
    <n v="45445"/>
    <n v="45451"/>
    <x v="3"/>
    <n v="100"/>
    <n v="972.56"/>
    <n v="2.1"/>
    <n v="95213.62"/>
    <x v="1"/>
    <n v="820.18"/>
    <n v="82018"/>
    <n v="1822.4"/>
    <n v="209.82"/>
    <n v="9694.56"/>
    <n v="93744.78"/>
    <n v="13195.62"/>
    <n v="1468.84"/>
    <s v="Paid"/>
    <n v="95213.62"/>
    <n v="0"/>
    <s v="Delivered"/>
    <x v="0"/>
    <x v="1"/>
    <x v="29"/>
    <x v="0"/>
    <n v="0.46"/>
    <n v="1468.84"/>
    <n v="1.5426784529356198E-2"/>
    <n v="0"/>
    <x v="0"/>
    <n v="6"/>
    <s v="June"/>
    <s v="2024-06"/>
  </r>
  <r>
    <s v="FZ00082"/>
    <n v="45418"/>
    <n v="45425"/>
    <x v="0"/>
    <n v="750"/>
    <n v="902.34"/>
    <n v="2.64"/>
    <n v="658888.67000000004"/>
    <x v="1"/>
    <n v="658.25"/>
    <n v="493687.5"/>
    <n v="5589.68"/>
    <n v="2190.4"/>
    <n v="10682.45"/>
    <n v="512150.03"/>
    <n v="165201.17000000001"/>
    <n v="146738.64000000001"/>
    <s v="Paid"/>
    <n v="658888.67000000004"/>
    <n v="0"/>
    <s v="Delivered"/>
    <x v="1"/>
    <x v="0"/>
    <x v="8"/>
    <x v="5"/>
    <n v="1.48"/>
    <n v="146738.64000000001"/>
    <n v="0.22270627297324752"/>
    <n v="0"/>
    <x v="0"/>
    <n v="5"/>
    <s v="May"/>
    <s v="2024-05"/>
  </r>
  <r>
    <s v="FZ00083"/>
    <n v="45472"/>
    <n v="45477"/>
    <x v="0"/>
    <n v="150"/>
    <n v="906.62"/>
    <n v="1.45"/>
    <n v="134021.1"/>
    <x v="3"/>
    <n v="676.95"/>
    <n v="101542.5"/>
    <n v="1930.38"/>
    <n v="377"/>
    <n v="333.45"/>
    <n v="104183.33"/>
    <n v="32478.6"/>
    <n v="29837.77"/>
    <s v="Paid"/>
    <n v="134021.1"/>
    <n v="0"/>
    <s v="Delivered"/>
    <x v="1"/>
    <x v="2"/>
    <x v="15"/>
    <x v="3"/>
    <n v="1.9"/>
    <n v="29837.77"/>
    <n v="0.22263486868858709"/>
    <n v="0"/>
    <x v="0"/>
    <n v="6"/>
    <s v="June"/>
    <s v="2024-06"/>
  </r>
  <r>
    <s v="FZ00084"/>
    <n v="45483"/>
    <n v="45488"/>
    <x v="3"/>
    <n v="250"/>
    <n v="891.93"/>
    <n v="0.93"/>
    <n v="220908.76"/>
    <x v="2"/>
    <n v="784.61"/>
    <n v="196152.5"/>
    <n v="3284.53"/>
    <n v="941.77"/>
    <n v="6219.18"/>
    <n v="206597.98"/>
    <n v="24756.26"/>
    <n v="14310.78"/>
    <s v="Paid"/>
    <n v="220908.76"/>
    <n v="0"/>
    <s v="Collected"/>
    <x v="5"/>
    <x v="3"/>
    <x v="12"/>
    <x v="2"/>
    <n v="1.59"/>
    <n v="14310.78"/>
    <n v="6.4781405680788759E-2"/>
    <n v="0"/>
    <x v="0"/>
    <n v="7"/>
    <s v="July"/>
    <s v="2024-07"/>
  </r>
  <r>
    <s v="FZ00085"/>
    <n v="45629"/>
    <n v="45642"/>
    <x v="1"/>
    <n v="200"/>
    <n v="1312.61"/>
    <n v="1.58"/>
    <n v="258374.15"/>
    <x v="2"/>
    <n v="1021.12"/>
    <n v="204224"/>
    <n v="3632.63"/>
    <n v="1146.05"/>
    <n v="6901.68"/>
    <n v="215904.36"/>
    <n v="54150.15"/>
    <n v="42469.79"/>
    <s v="Paid"/>
    <n v="258374.15"/>
    <n v="0"/>
    <s v="Delivered"/>
    <x v="0"/>
    <x v="0"/>
    <x v="1"/>
    <x v="1"/>
    <n v="2.04"/>
    <n v="42469.79"/>
    <n v="0.16437321612862588"/>
    <n v="0"/>
    <x v="0"/>
    <n v="12"/>
    <s v="December"/>
    <s v="2024-12"/>
  </r>
  <r>
    <s v="FZ00086"/>
    <n v="45629"/>
    <n v="45643"/>
    <x v="0"/>
    <n v="50"/>
    <n v="972.01"/>
    <n v="0.71"/>
    <n v="48255.44"/>
    <x v="0"/>
    <n v="696.05"/>
    <n v="34802.5"/>
    <n v="891.64"/>
    <n v="285.26"/>
    <n v="8058.19"/>
    <n v="44037.59"/>
    <n v="13452.94"/>
    <n v="4217.8500000000004"/>
    <s v="Paid"/>
    <n v="48255.44"/>
    <n v="0"/>
    <s v="Delivered"/>
    <x v="5"/>
    <x v="2"/>
    <x v="30"/>
    <x v="0"/>
    <n v="2.0299999999999998"/>
    <n v="4217.8500000000004"/>
    <n v="8.7406725542239383E-2"/>
    <n v="0"/>
    <x v="0"/>
    <n v="12"/>
    <s v="December"/>
    <s v="2024-12"/>
  </r>
  <r>
    <s v="FZ00087"/>
    <n v="45280"/>
    <n v="45294"/>
    <x v="1"/>
    <n v="100"/>
    <n v="1264.03"/>
    <n v="0.33"/>
    <n v="125985.87"/>
    <x v="1"/>
    <n v="1105.95"/>
    <n v="110595"/>
    <n v="1978.58"/>
    <n v="443.17"/>
    <n v="4095.59"/>
    <n v="117112.34"/>
    <n v="15390.87"/>
    <n v="8873.5300000000007"/>
    <s v="Paid"/>
    <n v="125985.87"/>
    <n v="0"/>
    <s v="Collected"/>
    <x v="4"/>
    <x v="2"/>
    <x v="30"/>
    <x v="0"/>
    <n v="1.97"/>
    <n v="8873.5300000000007"/>
    <n v="7.043273979851869E-2"/>
    <n v="0"/>
    <x v="2"/>
    <n v="12"/>
    <s v="December"/>
    <s v="2023-12"/>
  </r>
  <r>
    <s v="FZ00088"/>
    <n v="45731"/>
    <n v="45731"/>
    <x v="0"/>
    <n v="100"/>
    <n v="920.67"/>
    <n v="1.76"/>
    <n v="90446.62"/>
    <x v="2"/>
    <n v="750.52"/>
    <n v="75052"/>
    <n v="1361.36"/>
    <n v="575.16999999999996"/>
    <n v="6606.02"/>
    <n v="83594.55"/>
    <n v="15394.62"/>
    <n v="6852.07"/>
    <s v="Paid"/>
    <n v="90446.62"/>
    <n v="0"/>
    <s v="Delivered"/>
    <x v="3"/>
    <x v="1"/>
    <x v="6"/>
    <x v="2"/>
    <n v="1.89"/>
    <n v="6852.07"/>
    <n v="7.5758165423981574E-2"/>
    <n v="0"/>
    <x v="1"/>
    <n v="3"/>
    <s v="March"/>
    <s v="2025-03"/>
  </r>
  <r>
    <s v="FZ00089"/>
    <n v="45824"/>
    <n v="45834"/>
    <x v="0"/>
    <n v="750"/>
    <n v="829.07"/>
    <n v="1.3"/>
    <n v="613719.06999999995"/>
    <x v="2"/>
    <n v="700.38"/>
    <n v="525285"/>
    <n v="17303.03"/>
    <n v="2425.08"/>
    <n v="11242.67"/>
    <n v="556255.78"/>
    <n v="88434.07"/>
    <n v="57463.29"/>
    <s v="Paid"/>
    <n v="613719.06999999995"/>
    <n v="0"/>
    <s v="Delivered"/>
    <x v="2"/>
    <x v="1"/>
    <x v="20"/>
    <x v="2"/>
    <n v="1.58"/>
    <n v="57463.29"/>
    <n v="9.3631260309379016E-2"/>
    <n v="0"/>
    <x v="1"/>
    <n v="6"/>
    <s v="June"/>
    <s v="2025-06"/>
  </r>
  <r>
    <s v="FZ00090"/>
    <n v="45891"/>
    <n v="45897"/>
    <x v="0"/>
    <n v="100"/>
    <n v="914.85"/>
    <n v="2.29"/>
    <n v="89389.99"/>
    <x v="2"/>
    <n v="688.31"/>
    <n v="68831"/>
    <n v="1838.52"/>
    <n v="474.06"/>
    <n v="10190.27"/>
    <n v="81333.850000000006"/>
    <n v="20558.990000000002"/>
    <n v="8056.14"/>
    <s v="Paid"/>
    <n v="89389.99"/>
    <n v="0"/>
    <s v="Delivered"/>
    <x v="5"/>
    <x v="1"/>
    <x v="23"/>
    <x v="4"/>
    <n v="0.2"/>
    <n v="8056.14"/>
    <n v="9.0123513829680479E-2"/>
    <n v="0"/>
    <x v="1"/>
    <n v="8"/>
    <s v="August"/>
    <s v="2025-08"/>
  </r>
  <r>
    <s v="FZ00091"/>
    <n v="45853"/>
    <n v="45862"/>
    <x v="2"/>
    <n v="100"/>
    <n v="671.07"/>
    <n v="0.57999999999999996"/>
    <n v="66717.78"/>
    <x v="2"/>
    <n v="529.29999999999995"/>
    <n v="52930"/>
    <n v="1712.72"/>
    <n v="482.9"/>
    <n v="9290.76"/>
    <n v="64416.38"/>
    <n v="13787.78"/>
    <n v="2301.4"/>
    <s v="Part-paid"/>
    <n v="28364.57"/>
    <n v="38353.21"/>
    <s v="Delivered"/>
    <x v="0"/>
    <x v="1"/>
    <x v="20"/>
    <x v="2"/>
    <n v="0.99"/>
    <n v="2301.4"/>
    <n v="3.4494553026194821E-2"/>
    <n v="0"/>
    <x v="1"/>
    <n v="7"/>
    <s v="July"/>
    <s v="2025-07"/>
  </r>
  <r>
    <s v="FZ00092"/>
    <n v="45567"/>
    <n v="45581"/>
    <x v="0"/>
    <n v="500"/>
    <n v="848.88"/>
    <n v="4.76"/>
    <n v="404236.66"/>
    <x v="2"/>
    <n v="706.6"/>
    <n v="353300"/>
    <n v="4285.58"/>
    <n v="2663.34"/>
    <n v="8084.24"/>
    <n v="368333.16"/>
    <n v="50936.66"/>
    <n v="35903.5"/>
    <s v="Part-paid"/>
    <n v="303148.71999999997"/>
    <n v="101087.94"/>
    <s v="Collected"/>
    <x v="1"/>
    <x v="4"/>
    <x v="22"/>
    <x v="5"/>
    <n v="0.99"/>
    <n v="35903.5"/>
    <n v="8.8818020611985071E-2"/>
    <n v="0"/>
    <x v="0"/>
    <n v="10"/>
    <s v="October"/>
    <s v="2024-10"/>
  </r>
  <r>
    <s v="FZ00093"/>
    <n v="45552"/>
    <n v="45557"/>
    <x v="2"/>
    <n v="750"/>
    <n v="726.07"/>
    <n v="2.72"/>
    <n v="529740.67000000004"/>
    <x v="1"/>
    <n v="544.03"/>
    <n v="408022.5"/>
    <n v="11668.21"/>
    <n v="3943.98"/>
    <n v="7321.06"/>
    <n v="430955.75"/>
    <n v="121718.17"/>
    <n v="98784.92"/>
    <s v="Paid"/>
    <n v="529740.67000000004"/>
    <n v="0"/>
    <s v="Collected"/>
    <x v="0"/>
    <x v="0"/>
    <x v="31"/>
    <x v="1"/>
    <n v="1.1499999999999999"/>
    <n v="98784.92"/>
    <n v="0.18647788549064959"/>
    <n v="0"/>
    <x v="0"/>
    <n v="9"/>
    <s v="September"/>
    <s v="2024-09"/>
  </r>
  <r>
    <s v="FZ00094"/>
    <n v="45311"/>
    <n v="45324"/>
    <x v="0"/>
    <n v="1000"/>
    <n v="852.44"/>
    <n v="2.0499999999999998"/>
    <n v="834964.98"/>
    <x v="2"/>
    <n v="670.79"/>
    <n v="670790"/>
    <n v="9853.09"/>
    <n v="3359.08"/>
    <n v="8024.9"/>
    <n v="692027.07"/>
    <n v="164174.98000000001"/>
    <n v="142937.91"/>
    <s v="Paid"/>
    <n v="834964.98"/>
    <n v="0"/>
    <s v="Delivered"/>
    <x v="3"/>
    <x v="0"/>
    <x v="8"/>
    <x v="5"/>
    <n v="0.18"/>
    <n v="142937.91"/>
    <n v="0.17119030549041711"/>
    <n v="0"/>
    <x v="0"/>
    <n v="1"/>
    <s v="January"/>
    <s v="2024-01"/>
  </r>
  <r>
    <s v="FZ00095"/>
    <n v="45962"/>
    <m/>
    <x v="0"/>
    <n v="300"/>
    <n v="903.76"/>
    <n v="1.63"/>
    <n v="266708.61"/>
    <x v="0"/>
    <n v="712.58"/>
    <n v="213774"/>
    <n v="5040.59"/>
    <n v="1131.47"/>
    <n v="10601.83"/>
    <n v="230547.89"/>
    <n v="52934.61"/>
    <n v="36160.720000000001"/>
    <s v="Paid"/>
    <n v="266708.61"/>
    <n v="0"/>
    <s v="Pending"/>
    <x v="0"/>
    <x v="0"/>
    <x v="12"/>
    <x v="2"/>
    <n v="1.03"/>
    <n v="36160.720000000001"/>
    <n v="0.13558137474451989"/>
    <n v="0"/>
    <x v="1"/>
    <n v="11"/>
    <s v="November"/>
    <s v="2025-11"/>
  </r>
  <r>
    <s v="FZ00096"/>
    <n v="45615"/>
    <n v="45620"/>
    <x v="1"/>
    <n v="200"/>
    <n v="1345.78"/>
    <n v="1.91"/>
    <n v="264015.12"/>
    <x v="2"/>
    <n v="1054.3599999999999"/>
    <n v="210872"/>
    <n v="2151.59"/>
    <n v="455.02"/>
    <n v="2491.88"/>
    <n v="215970.49"/>
    <n v="53143.12"/>
    <n v="48044.63"/>
    <s v="Paid"/>
    <n v="264015.12"/>
    <n v="0"/>
    <s v="Collected"/>
    <x v="0"/>
    <x v="1"/>
    <x v="19"/>
    <x v="4"/>
    <n v="0.89"/>
    <n v="48044.63"/>
    <n v="0.18197681254013026"/>
    <n v="0"/>
    <x v="0"/>
    <n v="11"/>
    <s v="November"/>
    <s v="2024-11"/>
  </r>
  <r>
    <s v="FZ00097"/>
    <n v="45695"/>
    <n v="45708"/>
    <x v="1"/>
    <n v="500"/>
    <n v="1348.84"/>
    <n v="3.43"/>
    <n v="651287.39"/>
    <x v="0"/>
    <n v="977.88"/>
    <n v="488940"/>
    <n v="8462.86"/>
    <n v="1855.53"/>
    <n v="6253.83"/>
    <n v="505512.22"/>
    <n v="162347.39000000001"/>
    <n v="145775.17000000001"/>
    <s v="Unpaid"/>
    <n v="0"/>
    <n v="651287.39"/>
    <s v="Delivered"/>
    <x v="4"/>
    <x v="1"/>
    <x v="7"/>
    <x v="5"/>
    <n v="1.99"/>
    <n v="145775.17000000001"/>
    <n v="0.22382618217128389"/>
    <n v="0"/>
    <x v="1"/>
    <n v="2"/>
    <s v="February"/>
    <s v="2025-02"/>
  </r>
  <r>
    <s v="FZ00098"/>
    <n v="45654"/>
    <n v="45657"/>
    <x v="0"/>
    <n v="200"/>
    <n v="865.75"/>
    <n v="0.56000000000000005"/>
    <n v="172180.36"/>
    <x v="1"/>
    <n v="649.66"/>
    <n v="129932"/>
    <n v="2714.01"/>
    <n v="385.3"/>
    <n v="9949.89"/>
    <n v="142981.20000000001"/>
    <n v="42248.36"/>
    <n v="29199.16"/>
    <s v="Paid"/>
    <n v="172180.36"/>
    <n v="0"/>
    <s v="Delivered"/>
    <x v="0"/>
    <x v="2"/>
    <x v="10"/>
    <x v="5"/>
    <n v="1.2"/>
    <n v="29199.16"/>
    <n v="0.16958473080204967"/>
    <n v="0"/>
    <x v="0"/>
    <n v="12"/>
    <s v="December"/>
    <s v="2024-12"/>
  </r>
  <r>
    <s v="FZ00099"/>
    <n v="45523"/>
    <m/>
    <x v="2"/>
    <n v="150"/>
    <n v="707.39"/>
    <n v="0.79"/>
    <n v="105270.24"/>
    <x v="2"/>
    <n v="526.99"/>
    <n v="79048.5"/>
    <n v="1859.56"/>
    <n v="797.41"/>
    <n v="8870.2800000000007"/>
    <n v="90575.75"/>
    <n v="26221.74"/>
    <n v="14694.49"/>
    <s v="Paid"/>
    <n v="105270.24"/>
    <n v="0"/>
    <s v="Pending"/>
    <x v="3"/>
    <x v="0"/>
    <x v="6"/>
    <x v="2"/>
    <n v="2.27"/>
    <n v="14694.49"/>
    <n v="0.13958826350163159"/>
    <n v="0"/>
    <x v="0"/>
    <n v="8"/>
    <s v="August"/>
    <s v="2024-08"/>
  </r>
  <r>
    <s v="FZ00100"/>
    <n v="46011"/>
    <n v="46014"/>
    <x v="0"/>
    <n v="750"/>
    <n v="891.62"/>
    <n v="0.64"/>
    <n v="664435.22"/>
    <x v="3"/>
    <n v="671.59"/>
    <n v="503692.5"/>
    <n v="16464.740000000002"/>
    <n v="4497.1899999999996"/>
    <n v="6655.28"/>
    <n v="531309.71"/>
    <n v="160742.72"/>
    <n v="133125.51"/>
    <s v="Part-paid"/>
    <n v="206197.08"/>
    <n v="458238.14"/>
    <s v="Delivered"/>
    <x v="1"/>
    <x v="2"/>
    <x v="16"/>
    <x v="1"/>
    <n v="1.69"/>
    <n v="133125.51"/>
    <n v="0.20035890030031825"/>
    <n v="0"/>
    <x v="1"/>
    <n v="12"/>
    <s v="December"/>
    <s v="2025-12"/>
  </r>
  <r>
    <s v="FZ00101"/>
    <n v="45600"/>
    <n v="45608"/>
    <x v="2"/>
    <n v="150"/>
    <n v="732.23"/>
    <n v="1.64"/>
    <n v="108033.21"/>
    <x v="1"/>
    <n v="530.84"/>
    <n v="79626"/>
    <n v="2910.24"/>
    <n v="536.23"/>
    <n v="5889.96"/>
    <n v="88962.43"/>
    <n v="28407.21"/>
    <n v="19070.78"/>
    <s v="Paid"/>
    <n v="108033.21"/>
    <n v="0"/>
    <s v="Delivered"/>
    <x v="3"/>
    <x v="2"/>
    <x v="22"/>
    <x v="5"/>
    <n v="0.32"/>
    <n v="19070.78"/>
    <n v="0.17652701423941766"/>
    <n v="0"/>
    <x v="0"/>
    <n v="11"/>
    <s v="November"/>
    <s v="2024-11"/>
  </r>
  <r>
    <s v="FZ00102"/>
    <n v="45797"/>
    <n v="45801"/>
    <x v="0"/>
    <n v="200"/>
    <n v="834.39"/>
    <n v="1.2"/>
    <n v="164875.46"/>
    <x v="1"/>
    <n v="696.6"/>
    <n v="139320"/>
    <n v="1938.66"/>
    <n v="1064.52"/>
    <n v="9057.8799999999992"/>
    <n v="151381.06"/>
    <n v="25555.46"/>
    <n v="13494.4"/>
    <s v="Paid"/>
    <n v="164875.46"/>
    <n v="0"/>
    <s v="Delivered"/>
    <x v="0"/>
    <x v="1"/>
    <x v="26"/>
    <x v="4"/>
    <n v="0"/>
    <n v="13494.4"/>
    <n v="8.1846018807165119E-2"/>
    <n v="0"/>
    <x v="1"/>
    <n v="5"/>
    <s v="May"/>
    <s v="2025-05"/>
  </r>
  <r>
    <s v="FZ00103"/>
    <n v="45589"/>
    <n v="45601"/>
    <x v="1"/>
    <n v="1000"/>
    <n v="1280.1300000000001"/>
    <n v="4.8099999999999996"/>
    <n v="1218555.75"/>
    <x v="1"/>
    <n v="986.39"/>
    <n v="986390"/>
    <n v="18815.71"/>
    <n v="3530.23"/>
    <n v="10496.16"/>
    <n v="1019232.1"/>
    <n v="232165.75"/>
    <n v="199323.65"/>
    <s v="Paid"/>
    <n v="1218555.75"/>
    <n v="0"/>
    <s v="Collected"/>
    <x v="0"/>
    <x v="0"/>
    <x v="20"/>
    <x v="2"/>
    <n v="1.26"/>
    <n v="199323.65"/>
    <n v="0.16357368138470479"/>
    <n v="0"/>
    <x v="0"/>
    <n v="10"/>
    <s v="October"/>
    <s v="2024-10"/>
  </r>
  <r>
    <s v="FZ00104"/>
    <n v="45405"/>
    <n v="45405"/>
    <x v="3"/>
    <n v="750"/>
    <n v="982.28"/>
    <n v="2.71"/>
    <n v="716745.16"/>
    <x v="3"/>
    <n v="742.75"/>
    <n v="557062.5"/>
    <n v="12974.54"/>
    <n v="3680.46"/>
    <n v="1081.5"/>
    <n v="574799"/>
    <n v="159682.66"/>
    <n v="141946.16"/>
    <s v="Part-paid"/>
    <n v="387857.66"/>
    <n v="328887.5"/>
    <s v="Delivered"/>
    <x v="5"/>
    <x v="4"/>
    <x v="1"/>
    <x v="1"/>
    <n v="1.79"/>
    <n v="141946.16"/>
    <n v="0.19804271855843436"/>
    <n v="0"/>
    <x v="0"/>
    <n v="4"/>
    <s v="April"/>
    <s v="2024-04"/>
  </r>
  <r>
    <s v="FZ00105"/>
    <n v="45906"/>
    <n v="45917"/>
    <x v="0"/>
    <n v="500"/>
    <n v="884.7"/>
    <n v="2.44"/>
    <n v="431556.66"/>
    <x v="0"/>
    <n v="726.08"/>
    <n v="363040"/>
    <n v="3841.29"/>
    <n v="1534.77"/>
    <n v="10801.17"/>
    <n v="379217.23"/>
    <n v="68516.66"/>
    <n v="52339.43"/>
    <s v="Paid"/>
    <n v="431556.66"/>
    <n v="0"/>
    <s v="Collected"/>
    <x v="0"/>
    <x v="4"/>
    <x v="4"/>
    <x v="1"/>
    <n v="1.3"/>
    <n v="52339.43"/>
    <n v="0.12128055212958595"/>
    <n v="0"/>
    <x v="1"/>
    <n v="9"/>
    <s v="September"/>
    <s v="2025-09"/>
  </r>
  <r>
    <s v="FZ00106"/>
    <n v="45651"/>
    <n v="45662"/>
    <x v="0"/>
    <n v="50"/>
    <n v="858.32"/>
    <n v="1.77"/>
    <n v="42156.39"/>
    <x v="0"/>
    <n v="695.57"/>
    <n v="34778.5"/>
    <n v="700.8"/>
    <n v="131.56"/>
    <n v="7036.63"/>
    <n v="42647.49"/>
    <n v="7377.89"/>
    <n v="-491.1"/>
    <s v="Paid"/>
    <n v="42156.39"/>
    <n v="0"/>
    <s v="Collected"/>
    <x v="0"/>
    <x v="0"/>
    <x v="11"/>
    <x v="5"/>
    <n v="1.55"/>
    <n v="-491.1"/>
    <n v="-1.1649479473930288E-2"/>
    <n v="0"/>
    <x v="0"/>
    <n v="12"/>
    <s v="December"/>
    <s v="2024-12"/>
  </r>
  <r>
    <s v="FZ00107"/>
    <n v="45566"/>
    <m/>
    <x v="0"/>
    <n v="500"/>
    <n v="876.22"/>
    <n v="1.1000000000000001"/>
    <n v="433290.79"/>
    <x v="1"/>
    <n v="709.48"/>
    <n v="354740"/>
    <n v="2813.9"/>
    <n v="1041.58"/>
    <n v="4675.24"/>
    <n v="363270.72"/>
    <n v="78550.789999999994"/>
    <n v="70020.070000000007"/>
    <s v="Unpaid"/>
    <n v="0"/>
    <n v="433290.79"/>
    <s v="Pending"/>
    <x v="1"/>
    <x v="1"/>
    <x v="7"/>
    <x v="5"/>
    <n v="0.02"/>
    <n v="70020.070000000007"/>
    <n v="0.16160064237691277"/>
    <n v="0"/>
    <x v="0"/>
    <n v="10"/>
    <s v="October"/>
    <s v="2024-10"/>
  </r>
  <r>
    <s v="FZ00108"/>
    <n v="45476"/>
    <n v="45479"/>
    <x v="0"/>
    <n v="100"/>
    <n v="822.16"/>
    <n v="0.45"/>
    <n v="81846.03"/>
    <x v="1"/>
    <n v="704.84"/>
    <n v="70484"/>
    <n v="1948.19"/>
    <n v="397.31"/>
    <n v="7245.47"/>
    <n v="80074.97"/>
    <n v="11362.03"/>
    <n v="1771.06"/>
    <s v="Paid"/>
    <n v="81846.03"/>
    <n v="0"/>
    <s v="Delivered"/>
    <x v="0"/>
    <x v="1"/>
    <x v="12"/>
    <x v="2"/>
    <n v="1.67"/>
    <n v="1771.06"/>
    <n v="2.1638923720551869E-2"/>
    <n v="0"/>
    <x v="0"/>
    <n v="7"/>
    <s v="July"/>
    <s v="2024-07"/>
  </r>
  <r>
    <s v="FZ00109"/>
    <n v="45610"/>
    <m/>
    <x v="3"/>
    <n v="100"/>
    <n v="991.82"/>
    <n v="0.92"/>
    <n v="0"/>
    <x v="0"/>
    <n v="726.97"/>
    <n v="0"/>
    <n v="0"/>
    <n v="0"/>
    <n v="0"/>
    <n v="0"/>
    <n v="0"/>
    <n v="0"/>
    <s v="Paid"/>
    <n v="0"/>
    <n v="0"/>
    <s v="Cancelled"/>
    <x v="0"/>
    <x v="1"/>
    <x v="28"/>
    <x v="4"/>
    <n v="1.38"/>
    <n v="0"/>
    <e v="#DIV/0!"/>
    <n v="0"/>
    <x v="0"/>
    <n v="11"/>
    <s v="November"/>
    <s v="2024-11"/>
  </r>
  <r>
    <s v="FZ00110"/>
    <n v="45745"/>
    <n v="45754"/>
    <x v="0"/>
    <n v="300"/>
    <n v="893.4"/>
    <n v="1.62"/>
    <n v="263678.08000000002"/>
    <x v="2"/>
    <n v="712.51"/>
    <n v="213753"/>
    <n v="6789.36"/>
    <n v="797.41"/>
    <n v="5324.64"/>
    <n v="226664.41"/>
    <n v="49925.08"/>
    <n v="37013.67"/>
    <s v="Paid"/>
    <n v="263678.08000000002"/>
    <n v="0"/>
    <s v="Collected"/>
    <x v="2"/>
    <x v="2"/>
    <x v="6"/>
    <x v="2"/>
    <n v="2.0499999999999998"/>
    <n v="37013.67"/>
    <n v="0.1403744672291303"/>
    <n v="0"/>
    <x v="1"/>
    <n v="3"/>
    <s v="March"/>
    <s v="2025-03"/>
  </r>
  <r>
    <s v="FZ00111"/>
    <n v="45392"/>
    <n v="45394"/>
    <x v="0"/>
    <n v="100"/>
    <n v="930.84"/>
    <n v="0.94"/>
    <n v="92209.01"/>
    <x v="2"/>
    <n v="728.92"/>
    <n v="72892"/>
    <n v="1932.19"/>
    <n v="509.86"/>
    <n v="9874.19"/>
    <n v="85208.24"/>
    <n v="19317.009999999998"/>
    <n v="7000.77"/>
    <s v="Paid"/>
    <n v="92209.01"/>
    <n v="0"/>
    <s v="Delivered"/>
    <x v="3"/>
    <x v="1"/>
    <x v="10"/>
    <x v="5"/>
    <n v="1.71"/>
    <n v="7000.77"/>
    <n v="7.5922840945803455E-2"/>
    <n v="0"/>
    <x v="0"/>
    <n v="4"/>
    <s v="April"/>
    <s v="2024-04"/>
  </r>
  <r>
    <s v="FZ00112"/>
    <n v="45863"/>
    <m/>
    <x v="0"/>
    <n v="200"/>
    <n v="855.9"/>
    <n v="1.1599999999999999"/>
    <n v="169194.31"/>
    <x v="1"/>
    <n v="713.94"/>
    <n v="142788"/>
    <n v="1407.19"/>
    <n v="926.39"/>
    <n v="8777.1"/>
    <n v="153898.68"/>
    <n v="26406.31"/>
    <n v="15295.63"/>
    <s v="Unpaid"/>
    <n v="0"/>
    <n v="169194.31"/>
    <s v="Pending"/>
    <x v="0"/>
    <x v="1"/>
    <x v="3"/>
    <x v="3"/>
    <n v="2.4300000000000002"/>
    <n v="15295.63"/>
    <n v="9.0402744631305862E-2"/>
    <n v="0"/>
    <x v="1"/>
    <n v="7"/>
    <s v="July"/>
    <s v="2025-07"/>
  </r>
  <r>
    <s v="FZ00113"/>
    <n v="45786"/>
    <n v="45797"/>
    <x v="0"/>
    <n v="500"/>
    <n v="923.52"/>
    <n v="4.21"/>
    <n v="442319.9"/>
    <x v="0"/>
    <n v="751.32"/>
    <n v="375660"/>
    <n v="3719.3"/>
    <n v="2274.4299999999998"/>
    <n v="7976.54"/>
    <n v="389630.27"/>
    <n v="66659.899999999994"/>
    <n v="52689.63"/>
    <s v="Part-paid"/>
    <n v="353741.63"/>
    <n v="88578.27"/>
    <s v="Collected"/>
    <x v="5"/>
    <x v="1"/>
    <x v="22"/>
    <x v="5"/>
    <n v="1.55"/>
    <n v="52689.63"/>
    <n v="0.11912109312739488"/>
    <n v="0"/>
    <x v="1"/>
    <n v="5"/>
    <s v="May"/>
    <s v="2025-05"/>
  </r>
  <r>
    <s v="FZ00114"/>
    <n v="45784"/>
    <n v="45787"/>
    <x v="3"/>
    <n v="150"/>
    <n v="1025.7"/>
    <n v="1.73"/>
    <n v="151193.31"/>
    <x v="0"/>
    <n v="742.98"/>
    <n v="111447"/>
    <n v="3170.25"/>
    <n v="672.88"/>
    <n v="1944.8"/>
    <n v="117234.93"/>
    <n v="39746.31"/>
    <n v="33958.379999999997"/>
    <s v="Unpaid"/>
    <n v="0"/>
    <n v="151193.31"/>
    <s v="Delivered"/>
    <x v="0"/>
    <x v="1"/>
    <x v="31"/>
    <x v="1"/>
    <n v="2.4700000000000002"/>
    <n v="33958.379999999997"/>
    <n v="0.2246023980822961"/>
    <n v="0"/>
    <x v="1"/>
    <n v="5"/>
    <s v="May"/>
    <s v="2025-05"/>
  </r>
  <r>
    <s v="FZ00115"/>
    <n v="45888"/>
    <n v="45890"/>
    <x v="0"/>
    <n v="150"/>
    <n v="893.26"/>
    <n v="1.51"/>
    <n v="131965.76999999999"/>
    <x v="1"/>
    <n v="674.37"/>
    <n v="101155.5"/>
    <n v="1306.67"/>
    <n v="886.59"/>
    <n v="4733.5"/>
    <n v="108082.26"/>
    <n v="30810.27"/>
    <n v="23883.51"/>
    <s v="Paid"/>
    <n v="131965.76999999999"/>
    <n v="0"/>
    <s v="Delivered"/>
    <x v="5"/>
    <x v="1"/>
    <x v="7"/>
    <x v="5"/>
    <n v="1.7"/>
    <n v="23883.51"/>
    <n v="0.18098261390055922"/>
    <n v="0"/>
    <x v="1"/>
    <n v="8"/>
    <s v="August"/>
    <s v="2025-08"/>
  </r>
  <r>
    <s v="FZ00116"/>
    <n v="45307"/>
    <n v="45314"/>
    <x v="1"/>
    <n v="500"/>
    <n v="1354.74"/>
    <n v="3.47"/>
    <n v="653865.26"/>
    <x v="1"/>
    <n v="1043.8900000000001"/>
    <n v="521945"/>
    <n v="10285.24"/>
    <n v="2073.89"/>
    <n v="10915.4"/>
    <n v="545219.53"/>
    <n v="131920.26"/>
    <n v="108645.73"/>
    <s v="Unpaid"/>
    <n v="0"/>
    <n v="653865.26"/>
    <s v="Delivered"/>
    <x v="1"/>
    <x v="4"/>
    <x v="25"/>
    <x v="3"/>
    <n v="2.13"/>
    <n v="108645.73"/>
    <n v="0.16615920227968678"/>
    <n v="0"/>
    <x v="0"/>
    <n v="1"/>
    <s v="January"/>
    <s v="2024-01"/>
  </r>
  <r>
    <s v="FZ00117"/>
    <n v="45761"/>
    <n v="45768"/>
    <x v="0"/>
    <n v="1000"/>
    <n v="950.95"/>
    <n v="3.06"/>
    <n v="921850.93"/>
    <x v="3"/>
    <n v="654.49"/>
    <n v="654490"/>
    <n v="15198.62"/>
    <n v="4555.34"/>
    <n v="7951.56"/>
    <n v="682195.52"/>
    <n v="267360.93"/>
    <n v="239655.41"/>
    <s v="Paid"/>
    <n v="921850.93"/>
    <n v="0"/>
    <s v="Delivered"/>
    <x v="5"/>
    <x v="2"/>
    <x v="18"/>
    <x v="3"/>
    <n v="0.68"/>
    <n v="239655.41"/>
    <n v="0.25997197833276581"/>
    <n v="0"/>
    <x v="1"/>
    <n v="4"/>
    <s v="April"/>
    <s v="2025-04"/>
  </r>
  <r>
    <s v="FZ00118"/>
    <n v="45490"/>
    <n v="45497"/>
    <x v="0"/>
    <n v="500"/>
    <n v="865.62"/>
    <n v="0.24"/>
    <n v="431771.26"/>
    <x v="1"/>
    <n v="747.43"/>
    <n v="373715"/>
    <n v="4895.45"/>
    <n v="1350.95"/>
    <n v="7008.78"/>
    <n v="386970.18"/>
    <n v="58056.26"/>
    <n v="44801.08"/>
    <s v="Part-paid"/>
    <n v="265299.56"/>
    <n v="166471.70000000001"/>
    <s v="Delivered"/>
    <x v="3"/>
    <x v="0"/>
    <x v="7"/>
    <x v="5"/>
    <n v="1.35"/>
    <n v="44801.08"/>
    <n v="0.10376114426884273"/>
    <n v="0"/>
    <x v="0"/>
    <n v="7"/>
    <s v="July"/>
    <s v="2024-07"/>
  </r>
  <r>
    <s v="FZ00119"/>
    <n v="45596"/>
    <n v="45602"/>
    <x v="0"/>
    <n v="50"/>
    <n v="956.71"/>
    <n v="0"/>
    <n v="47835.5"/>
    <x v="2"/>
    <n v="671.85"/>
    <n v="33592.5"/>
    <n v="956.83"/>
    <n v="224.62"/>
    <n v="7923.54"/>
    <n v="42697.49"/>
    <n v="14243"/>
    <n v="5138.01"/>
    <s v="Part-paid"/>
    <n v="16006.03"/>
    <n v="31829.47"/>
    <s v="Delivered"/>
    <x v="1"/>
    <x v="0"/>
    <x v="22"/>
    <x v="5"/>
    <n v="0.53"/>
    <n v="5138.01"/>
    <n v="0.10740997794524987"/>
    <n v="0"/>
    <x v="0"/>
    <n v="10"/>
    <s v="October"/>
    <s v="2024-10"/>
  </r>
  <r>
    <s v="FZ00120"/>
    <n v="45507"/>
    <m/>
    <x v="2"/>
    <n v="750"/>
    <n v="731.28"/>
    <n v="2.06"/>
    <n v="0"/>
    <x v="2"/>
    <n v="585.04"/>
    <n v="0"/>
    <n v="0"/>
    <n v="0"/>
    <n v="0"/>
    <n v="0"/>
    <n v="0"/>
    <n v="0"/>
    <s v="Part-paid"/>
    <n v="0"/>
    <n v="0"/>
    <s v="Cancelled"/>
    <x v="5"/>
    <x v="0"/>
    <x v="23"/>
    <x v="4"/>
    <n v="1"/>
    <n v="0"/>
    <e v="#DIV/0!"/>
    <n v="0"/>
    <x v="0"/>
    <n v="8"/>
    <s v="August"/>
    <s v="2024-08"/>
  </r>
  <r>
    <s v="FZ00121"/>
    <n v="45802"/>
    <m/>
    <x v="1"/>
    <n v="100"/>
    <n v="1275.53"/>
    <n v="2.46"/>
    <n v="124415.2"/>
    <x v="1"/>
    <n v="1112.8699999999999"/>
    <n v="111287"/>
    <n v="1521.74"/>
    <n v="510.64"/>
    <n v="4522.8"/>
    <n v="117842.18"/>
    <n v="13128.2"/>
    <n v="6573.02"/>
    <s v="Unpaid"/>
    <n v="0"/>
    <n v="124415.2"/>
    <s v="Pending"/>
    <x v="0"/>
    <x v="1"/>
    <x v="11"/>
    <x v="5"/>
    <n v="0.33"/>
    <n v="6573.02"/>
    <n v="5.2831326075913558E-2"/>
    <n v="0"/>
    <x v="1"/>
    <n v="5"/>
    <s v="May"/>
    <s v="2025-05"/>
  </r>
  <r>
    <s v="FZ00122"/>
    <n v="45385"/>
    <n v="45397"/>
    <x v="0"/>
    <n v="100"/>
    <n v="853.34"/>
    <n v="0.88"/>
    <n v="84583.06"/>
    <x v="2"/>
    <n v="653.51"/>
    <n v="65351"/>
    <n v="2155.31"/>
    <n v="464.35"/>
    <n v="4810.49"/>
    <n v="72781.149999999994"/>
    <n v="19232.060000000001"/>
    <n v="11801.91"/>
    <s v="Paid"/>
    <n v="84583.06"/>
    <n v="0"/>
    <s v="Delivered"/>
    <x v="0"/>
    <x v="2"/>
    <x v="21"/>
    <x v="0"/>
    <n v="0.57999999999999996"/>
    <n v="11801.91"/>
    <n v="0.13953042133968668"/>
    <n v="0"/>
    <x v="0"/>
    <n v="4"/>
    <s v="April"/>
    <s v="2024-04"/>
  </r>
  <r>
    <s v="FZ00123"/>
    <n v="45988"/>
    <n v="45992"/>
    <x v="0"/>
    <n v="100"/>
    <n v="898.08"/>
    <n v="1.29"/>
    <n v="88649.48"/>
    <x v="2"/>
    <n v="724.54"/>
    <n v="72454"/>
    <n v="1854.09"/>
    <n v="577.51"/>
    <n v="8842.9599999999991"/>
    <n v="83728.56"/>
    <n v="16195.48"/>
    <n v="4920.92"/>
    <s v="Paid"/>
    <n v="88649.48"/>
    <n v="0"/>
    <s v="Delivered"/>
    <x v="5"/>
    <x v="1"/>
    <x v="15"/>
    <x v="3"/>
    <n v="0.57999999999999996"/>
    <n v="4920.92"/>
    <n v="5.5509857474629297E-2"/>
    <n v="0"/>
    <x v="1"/>
    <n v="11"/>
    <s v="November"/>
    <s v="2025-11"/>
  </r>
  <r>
    <s v="FZ00124"/>
    <n v="45694"/>
    <m/>
    <x v="1"/>
    <n v="500"/>
    <n v="1251.27"/>
    <n v="1.95"/>
    <n v="613435.12"/>
    <x v="0"/>
    <n v="976.5"/>
    <n v="488250"/>
    <n v="3065.07"/>
    <n v="2608.1999999999998"/>
    <n v="3824.87"/>
    <n v="497748.14"/>
    <n v="125185.12"/>
    <n v="115686.98"/>
    <s v="Paid"/>
    <n v="613435.12"/>
    <n v="0"/>
    <s v="Pending"/>
    <x v="3"/>
    <x v="1"/>
    <x v="26"/>
    <x v="4"/>
    <n v="0.99"/>
    <n v="115686.98"/>
    <n v="0.18858877854922945"/>
    <n v="0"/>
    <x v="1"/>
    <n v="2"/>
    <s v="February"/>
    <s v="2025-02"/>
  </r>
  <r>
    <s v="FZ00125"/>
    <n v="45449"/>
    <n v="45454"/>
    <x v="0"/>
    <n v="100"/>
    <n v="823.39"/>
    <n v="0.72"/>
    <n v="81746.16"/>
    <x v="1"/>
    <n v="736.34"/>
    <n v="73634"/>
    <n v="520.71"/>
    <n v="544.36"/>
    <n v="11593.7"/>
    <n v="86292.77"/>
    <n v="8112.16"/>
    <n v="-4546.6099999999997"/>
    <s v="Paid"/>
    <n v="81746.16"/>
    <n v="0"/>
    <s v="Delivered"/>
    <x v="4"/>
    <x v="3"/>
    <x v="16"/>
    <x v="1"/>
    <n v="0.73"/>
    <n v="-4546.6099999999997"/>
    <n v="-5.5618637009983089E-2"/>
    <n v="0"/>
    <x v="0"/>
    <n v="6"/>
    <s v="June"/>
    <s v="2024-06"/>
  </r>
  <r>
    <s v="FZ00126"/>
    <n v="45560"/>
    <n v="45563"/>
    <x v="0"/>
    <n v="100"/>
    <n v="934.74"/>
    <n v="2.4"/>
    <n v="91230.62"/>
    <x v="2"/>
    <n v="725.6"/>
    <n v="72560"/>
    <n v="1209.0999999999999"/>
    <n v="299.92"/>
    <n v="732.7"/>
    <n v="74801.72"/>
    <n v="18670.62"/>
    <n v="16428.900000000001"/>
    <s v="Part-paid"/>
    <n v="36357.94"/>
    <n v="54872.68"/>
    <s v="Delivered"/>
    <x v="4"/>
    <x v="1"/>
    <x v="31"/>
    <x v="1"/>
    <n v="0.88"/>
    <n v="16428.900000000001"/>
    <n v="0.18008098596721148"/>
    <n v="0"/>
    <x v="0"/>
    <n v="9"/>
    <s v="September"/>
    <s v="2024-09"/>
  </r>
  <r>
    <s v="FZ00127"/>
    <n v="45812"/>
    <n v="45815"/>
    <x v="3"/>
    <n v="200"/>
    <n v="902.98"/>
    <n v="0.15"/>
    <n v="180325.11"/>
    <x v="1"/>
    <n v="733.18"/>
    <n v="146636"/>
    <n v="2559.44"/>
    <n v="534.16999999999996"/>
    <n v="9009.07"/>
    <n v="158738.68"/>
    <n v="33689.11"/>
    <n v="21586.43"/>
    <s v="Paid"/>
    <n v="180325.11"/>
    <n v="0"/>
    <s v="Delivered"/>
    <x v="2"/>
    <x v="1"/>
    <x v="32"/>
    <x v="0"/>
    <n v="1.1200000000000001"/>
    <n v="21586.43"/>
    <n v="0.1197083977932968"/>
    <n v="0"/>
    <x v="1"/>
    <n v="6"/>
    <s v="June"/>
    <s v="2025-06"/>
  </r>
  <r>
    <s v="FZ00128"/>
    <n v="45323"/>
    <n v="45327"/>
    <x v="0"/>
    <n v="150"/>
    <n v="800.08"/>
    <n v="1.26"/>
    <n v="118499.85"/>
    <x v="0"/>
    <n v="654.70000000000005"/>
    <n v="98205"/>
    <n v="3424.71"/>
    <n v="611.25"/>
    <n v="2095.85"/>
    <n v="104336.81"/>
    <n v="20294.849999999999"/>
    <n v="14163.04"/>
    <s v="Paid"/>
    <n v="118499.85"/>
    <n v="0"/>
    <s v="Collected"/>
    <x v="0"/>
    <x v="0"/>
    <x v="5"/>
    <x v="4"/>
    <n v="2.2400000000000002"/>
    <n v="14163.04"/>
    <n v="0.11951947618499095"/>
    <n v="0"/>
    <x v="0"/>
    <n v="2"/>
    <s v="February"/>
    <s v="2024-02"/>
  </r>
  <r>
    <s v="FZ00129"/>
    <n v="45460"/>
    <m/>
    <x v="1"/>
    <n v="1000"/>
    <n v="1300.79"/>
    <n v="3.44"/>
    <n v="1256042.82"/>
    <x v="1"/>
    <n v="1101.74"/>
    <n v="1101740"/>
    <n v="14601.08"/>
    <n v="5700.25"/>
    <n v="8675.1299999999992"/>
    <n v="1130716.46"/>
    <n v="154302.82"/>
    <n v="125326.36"/>
    <s v="Paid"/>
    <n v="1256042.82"/>
    <n v="0"/>
    <s v="Pending"/>
    <x v="0"/>
    <x v="2"/>
    <x v="0"/>
    <x v="0"/>
    <n v="0.96"/>
    <n v="125326.36"/>
    <n v="9.977873206583833E-2"/>
    <n v="0"/>
    <x v="0"/>
    <n v="6"/>
    <s v="June"/>
    <s v="2024-06"/>
  </r>
  <r>
    <s v="FZ00130"/>
    <n v="45702"/>
    <n v="45708"/>
    <x v="4"/>
    <n v="50"/>
    <n v="2733.13"/>
    <n v="1.95"/>
    <n v="133991.70000000001"/>
    <x v="1"/>
    <n v="2384.09"/>
    <n v="119204.5"/>
    <n v="343.03"/>
    <n v="77.930000000000007"/>
    <n v="1273.6500000000001"/>
    <n v="120899.11"/>
    <n v="14787.2"/>
    <n v="13092.59"/>
    <s v="Paid"/>
    <n v="133991.70000000001"/>
    <n v="0"/>
    <s v="Delivered"/>
    <x v="5"/>
    <x v="4"/>
    <x v="9"/>
    <x v="1"/>
    <n v="1.08"/>
    <n v="13092.59"/>
    <n v="9.7711947829604365E-2"/>
    <n v="0"/>
    <x v="1"/>
    <n v="2"/>
    <s v="February"/>
    <s v="2025-02"/>
  </r>
  <r>
    <s v="FZ00131"/>
    <n v="45451"/>
    <m/>
    <x v="0"/>
    <n v="100"/>
    <n v="855.44"/>
    <n v="1.85"/>
    <n v="83961.44"/>
    <x v="1"/>
    <n v="689.51"/>
    <n v="68951"/>
    <n v="1643.19"/>
    <n v="568.78"/>
    <n v="4942.2700000000004"/>
    <n v="76105.240000000005"/>
    <n v="15010.44"/>
    <n v="7856.2"/>
    <s v="Part-paid"/>
    <n v="26930.3"/>
    <n v="57031.14"/>
    <s v="Pending"/>
    <x v="1"/>
    <x v="1"/>
    <x v="29"/>
    <x v="0"/>
    <n v="1.0900000000000001"/>
    <n v="7856.2"/>
    <n v="9.3569143168578339E-2"/>
    <n v="0"/>
    <x v="0"/>
    <n v="6"/>
    <s v="June"/>
    <s v="2024-06"/>
  </r>
  <r>
    <s v="FZ00132"/>
    <n v="45378"/>
    <n v="45378"/>
    <x v="3"/>
    <n v="200"/>
    <n v="941.37"/>
    <n v="0.65"/>
    <n v="187050.22"/>
    <x v="2"/>
    <n v="785.04"/>
    <n v="157008"/>
    <n v="2596.81"/>
    <n v="626.85"/>
    <n v="7513.27"/>
    <n v="167744.93"/>
    <n v="30042.22"/>
    <n v="19305.29"/>
    <s v="Paid"/>
    <n v="187050.22"/>
    <n v="0"/>
    <s v="Delivered"/>
    <x v="4"/>
    <x v="4"/>
    <x v="19"/>
    <x v="4"/>
    <n v="0.23"/>
    <n v="19305.29"/>
    <n v="0.10320912747389445"/>
    <n v="0"/>
    <x v="0"/>
    <n v="3"/>
    <s v="March"/>
    <s v="2024-03"/>
  </r>
  <r>
    <s v="FZ00133"/>
    <n v="45627"/>
    <n v="45630"/>
    <x v="0"/>
    <n v="100"/>
    <n v="875.67"/>
    <n v="1.05"/>
    <n v="86647.55"/>
    <x v="2"/>
    <n v="704.66"/>
    <n v="70466"/>
    <n v="2167.11"/>
    <n v="183.58"/>
    <n v="11343.72"/>
    <n v="84160.41"/>
    <n v="16181.55"/>
    <n v="2487.14"/>
    <s v="Paid"/>
    <n v="86647.55"/>
    <n v="0"/>
    <s v="Delivered"/>
    <x v="1"/>
    <x v="1"/>
    <x v="31"/>
    <x v="1"/>
    <n v="1.08"/>
    <n v="2487.14"/>
    <n v="2.8704100692979777E-2"/>
    <n v="0"/>
    <x v="0"/>
    <n v="12"/>
    <s v="December"/>
    <s v="2024-12"/>
  </r>
  <r>
    <s v="FZ00134"/>
    <n v="45694"/>
    <n v="45701"/>
    <x v="2"/>
    <n v="200"/>
    <n v="745.5"/>
    <n v="1.03"/>
    <n v="147564.26999999999"/>
    <x v="2"/>
    <n v="587.59"/>
    <n v="117518"/>
    <n v="1050.56"/>
    <n v="645.27"/>
    <n v="373.44"/>
    <n v="119587.27"/>
    <n v="30046.27"/>
    <n v="27977"/>
    <s v="Paid"/>
    <n v="147564.26999999999"/>
    <n v="0"/>
    <s v="Delivered"/>
    <x v="3"/>
    <x v="0"/>
    <x v="18"/>
    <x v="3"/>
    <n v="1.18"/>
    <n v="27977"/>
    <n v="0.18959196558895999"/>
    <n v="0"/>
    <x v="1"/>
    <n v="2"/>
    <s v="February"/>
    <s v="2025-02"/>
  </r>
  <r>
    <s v="FZ00135"/>
    <n v="45937"/>
    <n v="45948"/>
    <x v="3"/>
    <n v="200"/>
    <n v="992.97"/>
    <n v="0.82"/>
    <n v="196965.53"/>
    <x v="1"/>
    <n v="775.15"/>
    <n v="155030"/>
    <n v="2441.96"/>
    <n v="632.41999999999996"/>
    <n v="2343.73"/>
    <n v="160448.10999999999"/>
    <n v="41935.53"/>
    <n v="36517.42"/>
    <s v="Paid"/>
    <n v="196965.53"/>
    <n v="0"/>
    <s v="Delivered"/>
    <x v="0"/>
    <x v="2"/>
    <x v="6"/>
    <x v="2"/>
    <n v="0.41"/>
    <n v="36517.42"/>
    <n v="0.18540005451715333"/>
    <n v="0"/>
    <x v="1"/>
    <n v="10"/>
    <s v="October"/>
    <s v="2025-10"/>
  </r>
  <r>
    <s v="FZ00136"/>
    <n v="45739"/>
    <n v="45749"/>
    <x v="0"/>
    <n v="150"/>
    <n v="948.93"/>
    <n v="2.02"/>
    <n v="139464.24"/>
    <x v="2"/>
    <n v="676.37"/>
    <n v="101455.5"/>
    <n v="3191.56"/>
    <n v="408.76"/>
    <n v="2447.44"/>
    <n v="107503.26"/>
    <n v="38008.74"/>
    <n v="31960.98"/>
    <s v="Paid"/>
    <n v="139464.24"/>
    <n v="0"/>
    <s v="Delivered"/>
    <x v="0"/>
    <x v="1"/>
    <x v="33"/>
    <x v="1"/>
    <n v="2.2000000000000002"/>
    <n v="31960.98"/>
    <n v="0.2291697140428256"/>
    <n v="0"/>
    <x v="1"/>
    <n v="3"/>
    <s v="March"/>
    <s v="2025-03"/>
  </r>
  <r>
    <s v="FZ00137"/>
    <n v="45747"/>
    <n v="45761"/>
    <x v="4"/>
    <n v="750"/>
    <n v="3093.49"/>
    <n v="3.73"/>
    <n v="2233577.12"/>
    <x v="0"/>
    <n v="2163.94"/>
    <n v="1622955"/>
    <n v="6170.1"/>
    <n v="4117.09"/>
    <n v="11163.72"/>
    <n v="1644405.91"/>
    <n v="610622.12"/>
    <n v="589171.21"/>
    <s v="Paid"/>
    <n v="2233577.12"/>
    <n v="0"/>
    <s v="Delivered"/>
    <x v="3"/>
    <x v="2"/>
    <x v="15"/>
    <x v="3"/>
    <n v="0.78"/>
    <n v="589171.21"/>
    <n v="0.2637792108114001"/>
    <n v="0"/>
    <x v="1"/>
    <n v="3"/>
    <s v="March"/>
    <s v="2025-03"/>
  </r>
  <r>
    <s v="FZ00138"/>
    <n v="45918"/>
    <n v="45932"/>
    <x v="1"/>
    <n v="300"/>
    <n v="1289.96"/>
    <n v="0.43"/>
    <n v="385323.95"/>
    <x v="1"/>
    <n v="986.76"/>
    <n v="296028"/>
    <n v="6467.18"/>
    <n v="949.5"/>
    <n v="7888.14"/>
    <n v="311332.82"/>
    <n v="89295.95"/>
    <n v="73991.13"/>
    <s v="Paid"/>
    <n v="385323.95"/>
    <n v="0"/>
    <s v="Collected"/>
    <x v="0"/>
    <x v="3"/>
    <x v="22"/>
    <x v="5"/>
    <n v="1.48"/>
    <n v="73991.13"/>
    <n v="0.19202317945718142"/>
    <n v="0"/>
    <x v="1"/>
    <n v="9"/>
    <s v="September"/>
    <s v="2025-09"/>
  </r>
  <r>
    <s v="FZ00139"/>
    <n v="45971"/>
    <m/>
    <x v="3"/>
    <n v="150"/>
    <n v="989.28"/>
    <n v="2.09"/>
    <n v="145290.60999999999"/>
    <x v="2"/>
    <n v="793.15"/>
    <n v="118972.5"/>
    <n v="3531.45"/>
    <n v="300.02999999999997"/>
    <n v="11397.89"/>
    <n v="134201.87"/>
    <n v="26318.11"/>
    <n v="11088.74"/>
    <s v="Paid"/>
    <n v="145290.60999999999"/>
    <n v="0"/>
    <s v="Pending"/>
    <x v="1"/>
    <x v="4"/>
    <x v="3"/>
    <x v="3"/>
    <n v="2.21"/>
    <n v="11088.74"/>
    <n v="7.6321105679162615E-2"/>
    <n v="0"/>
    <x v="1"/>
    <n v="11"/>
    <s v="November"/>
    <s v="2025-11"/>
  </r>
  <r>
    <s v="FZ00140"/>
    <n v="45597"/>
    <n v="45598"/>
    <x v="3"/>
    <n v="750"/>
    <n v="1077"/>
    <n v="4.87"/>
    <n v="768412.58"/>
    <x v="2"/>
    <n v="810.76"/>
    <n v="608070"/>
    <n v="16059.49"/>
    <n v="2414.5500000000002"/>
    <n v="3400.74"/>
    <n v="629944.78"/>
    <n v="160342.57999999999"/>
    <n v="138467.79999999999"/>
    <s v="Part-paid"/>
    <n v="607806.42000000004"/>
    <n v="160606.16"/>
    <s v="Delivered"/>
    <x v="3"/>
    <x v="0"/>
    <x v="27"/>
    <x v="2"/>
    <n v="1.24"/>
    <n v="138467.79999999999"/>
    <n v="0.18019980880583708"/>
    <n v="0"/>
    <x v="0"/>
    <n v="11"/>
    <s v="November"/>
    <s v="2024-11"/>
  </r>
  <r>
    <s v="FZ00141"/>
    <n v="45925"/>
    <n v="45928"/>
    <x v="1"/>
    <n v="200"/>
    <n v="1210.27"/>
    <n v="2.0299999999999998"/>
    <n v="237140.3"/>
    <x v="1"/>
    <n v="1031.5899999999999"/>
    <n v="206318"/>
    <n v="2198.1799999999998"/>
    <n v="478"/>
    <n v="5354.1"/>
    <n v="214348.28"/>
    <n v="30822.3"/>
    <n v="22792.02"/>
    <s v="Part-paid"/>
    <n v="102062.78"/>
    <n v="135077.51999999999"/>
    <s v="Delivered"/>
    <x v="0"/>
    <x v="3"/>
    <x v="9"/>
    <x v="1"/>
    <n v="1.08"/>
    <n v="22792.02"/>
    <n v="9.6111964098889988E-2"/>
    <n v="0"/>
    <x v="1"/>
    <n v="9"/>
    <s v="September"/>
    <s v="2025-09"/>
  </r>
  <r>
    <s v="FZ00142"/>
    <n v="45941"/>
    <n v="45949"/>
    <x v="0"/>
    <n v="500"/>
    <n v="896.84"/>
    <n v="4.6399999999999997"/>
    <n v="427613.31"/>
    <x v="2"/>
    <n v="703.13"/>
    <n v="351565"/>
    <n v="10145.69"/>
    <n v="2130.9499999999998"/>
    <n v="2875.93"/>
    <n v="366717.57"/>
    <n v="76048.31"/>
    <n v="60895.74"/>
    <s v="Paid"/>
    <n v="427613.31"/>
    <n v="0"/>
    <s v="Delivered"/>
    <x v="3"/>
    <x v="3"/>
    <x v="11"/>
    <x v="5"/>
    <n v="1.92"/>
    <n v="60895.74"/>
    <n v="0.14240842970954296"/>
    <n v="0"/>
    <x v="1"/>
    <n v="10"/>
    <s v="October"/>
    <s v="2025-10"/>
  </r>
  <r>
    <s v="FZ00143"/>
    <n v="45756"/>
    <n v="45761"/>
    <x v="1"/>
    <n v="250"/>
    <n v="1310.75"/>
    <n v="0.06"/>
    <n v="327490.89"/>
    <x v="2"/>
    <n v="981.59"/>
    <n v="245397.5"/>
    <n v="5524.58"/>
    <n v="525.98"/>
    <n v="9987.15"/>
    <n v="261435.21"/>
    <n v="82093.39"/>
    <n v="66055.679999999993"/>
    <s v="Paid"/>
    <n v="327490.89"/>
    <n v="0"/>
    <s v="Delivered"/>
    <x v="0"/>
    <x v="0"/>
    <x v="23"/>
    <x v="4"/>
    <n v="1.93"/>
    <n v="66055.679999999993"/>
    <n v="0.20170234353694538"/>
    <n v="0"/>
    <x v="1"/>
    <n v="4"/>
    <s v="April"/>
    <s v="2025-04"/>
  </r>
  <r>
    <s v="FZ00144"/>
    <n v="45321"/>
    <n v="45326"/>
    <x v="0"/>
    <n v="1000"/>
    <n v="895.15"/>
    <n v="3.31"/>
    <n v="865520.54"/>
    <x v="1"/>
    <n v="677.06"/>
    <n v="677060"/>
    <n v="19802.05"/>
    <n v="2694.35"/>
    <n v="7914.18"/>
    <n v="707470.58"/>
    <n v="188460.54"/>
    <n v="158049.96"/>
    <s v="Paid"/>
    <n v="865520.54"/>
    <n v="0"/>
    <s v="Collected"/>
    <x v="0"/>
    <x v="3"/>
    <x v="7"/>
    <x v="5"/>
    <n v="1.86"/>
    <n v="158049.96"/>
    <n v="0.18260682756298308"/>
    <n v="0"/>
    <x v="0"/>
    <n v="1"/>
    <s v="January"/>
    <s v="2024-01"/>
  </r>
  <r>
    <s v="FZ00145"/>
    <n v="45697"/>
    <n v="45700"/>
    <x v="2"/>
    <n v="500"/>
    <n v="732.23"/>
    <n v="4.87"/>
    <n v="348285.2"/>
    <x v="1"/>
    <n v="556.84"/>
    <n v="278420"/>
    <n v="6217.94"/>
    <n v="1240.44"/>
    <n v="8538.91"/>
    <n v="294417.28999999998"/>
    <n v="69865.2"/>
    <n v="53867.91"/>
    <s v="Paid"/>
    <n v="348285.2"/>
    <n v="0"/>
    <s v="Delivered"/>
    <x v="0"/>
    <x v="0"/>
    <x v="11"/>
    <x v="5"/>
    <n v="2.35"/>
    <n v="53867.91"/>
    <n v="0.15466608974484131"/>
    <n v="0"/>
    <x v="1"/>
    <n v="2"/>
    <s v="February"/>
    <s v="2025-02"/>
  </r>
  <r>
    <s v="FZ00146"/>
    <n v="45802"/>
    <n v="45813"/>
    <x v="0"/>
    <n v="100"/>
    <n v="809.52"/>
    <n v="1.1200000000000001"/>
    <n v="80045.34"/>
    <x v="2"/>
    <n v="657.43"/>
    <n v="65743"/>
    <n v="782.37"/>
    <n v="380.76"/>
    <n v="1890.81"/>
    <n v="68796.94"/>
    <n v="14302.34"/>
    <n v="11248.4"/>
    <s v="Part-paid"/>
    <n v="34556.82"/>
    <n v="45488.52"/>
    <s v="Delivered"/>
    <x v="1"/>
    <x v="0"/>
    <x v="4"/>
    <x v="1"/>
    <n v="2.17"/>
    <n v="11248.4"/>
    <n v="0.14052535725377643"/>
    <n v="0"/>
    <x v="1"/>
    <n v="5"/>
    <s v="May"/>
    <s v="2025-05"/>
  </r>
  <r>
    <s v="FZ00147"/>
    <n v="45921"/>
    <n v="45925"/>
    <x v="0"/>
    <n v="250"/>
    <n v="931.84"/>
    <n v="0.9"/>
    <n v="230863.35999999999"/>
    <x v="0"/>
    <n v="674.12"/>
    <n v="168530"/>
    <n v="1725.47"/>
    <n v="1090.08"/>
    <n v="4025.28"/>
    <n v="175370.83"/>
    <n v="62333.36"/>
    <n v="55492.53"/>
    <s v="Part-paid"/>
    <n v="64401.53"/>
    <n v="166461.82999999999"/>
    <s v="Delivered"/>
    <x v="4"/>
    <x v="3"/>
    <x v="0"/>
    <x v="0"/>
    <n v="1.47"/>
    <n v="55492.53"/>
    <n v="0.24036958484880408"/>
    <n v="0"/>
    <x v="1"/>
    <n v="9"/>
    <s v="September"/>
    <s v="2025-09"/>
  </r>
  <r>
    <s v="FZ00148"/>
    <n v="45904"/>
    <n v="45915"/>
    <x v="0"/>
    <n v="300"/>
    <n v="856.79"/>
    <n v="1.06"/>
    <n v="254312.41"/>
    <x v="3"/>
    <n v="677.73"/>
    <n v="203319"/>
    <n v="2948.3"/>
    <n v="550.12"/>
    <n v="3479"/>
    <n v="210296.42"/>
    <n v="50993.41"/>
    <n v="44015.99"/>
    <s v="Paid"/>
    <n v="254312.41"/>
    <n v="0"/>
    <s v="Delivered"/>
    <x v="3"/>
    <x v="4"/>
    <x v="13"/>
    <x v="5"/>
    <n v="2.37"/>
    <n v="44015.99"/>
    <n v="0.17307841957063755"/>
    <n v="0"/>
    <x v="1"/>
    <n v="9"/>
    <s v="September"/>
    <s v="2025-09"/>
  </r>
  <r>
    <s v="FZ00149"/>
    <n v="45774"/>
    <n v="45782"/>
    <x v="0"/>
    <n v="50"/>
    <n v="881.1"/>
    <n v="1.62"/>
    <n v="43341.31"/>
    <x v="1"/>
    <n v="658.95"/>
    <n v="32947.5"/>
    <n v="1166.6199999999999"/>
    <n v="299.81"/>
    <n v="3900.8"/>
    <n v="38314.730000000003"/>
    <n v="10393.81"/>
    <n v="5026.58"/>
    <s v="Part-paid"/>
    <n v="11068.49"/>
    <n v="32272.82"/>
    <s v="Delivered"/>
    <x v="3"/>
    <x v="1"/>
    <x v="3"/>
    <x v="3"/>
    <n v="1.1100000000000001"/>
    <n v="5026.58"/>
    <n v="0.11597665137486615"/>
    <n v="0"/>
    <x v="1"/>
    <n v="4"/>
    <s v="April"/>
    <s v="2025-04"/>
  </r>
  <r>
    <s v="FZ00150"/>
    <n v="45505"/>
    <n v="45506"/>
    <x v="1"/>
    <n v="300"/>
    <n v="1333.22"/>
    <n v="2.2999999999999998"/>
    <n v="390766.78"/>
    <x v="3"/>
    <n v="1089.06"/>
    <n v="326718"/>
    <n v="3387.75"/>
    <n v="1623.09"/>
    <n v="2261.64"/>
    <n v="333990.48"/>
    <n v="64048.78"/>
    <n v="56776.3"/>
    <s v="Paid"/>
    <n v="390766.78"/>
    <n v="0"/>
    <s v="Delivered"/>
    <x v="1"/>
    <x v="3"/>
    <x v="11"/>
    <x v="5"/>
    <n v="2.44"/>
    <n v="56776.3"/>
    <n v="0.14529459233970707"/>
    <n v="0"/>
    <x v="0"/>
    <n v="8"/>
    <s v="August"/>
    <s v="2024-08"/>
  </r>
  <r>
    <s v="FZ00151"/>
    <n v="45851"/>
    <n v="45860"/>
    <x v="3"/>
    <n v="100"/>
    <n v="995.04"/>
    <n v="0.88"/>
    <n v="98628.36"/>
    <x v="0"/>
    <n v="798.08"/>
    <n v="79808"/>
    <n v="644.45000000000005"/>
    <n v="578.95000000000005"/>
    <n v="9386.01"/>
    <n v="90417.41"/>
    <n v="18820.36"/>
    <n v="8210.9500000000007"/>
    <s v="Paid"/>
    <n v="98628.36"/>
    <n v="0"/>
    <s v="Delivered"/>
    <x v="1"/>
    <x v="0"/>
    <x v="15"/>
    <x v="3"/>
    <n v="1.75"/>
    <n v="8210.9500000000007"/>
    <n v="8.325140963511915E-2"/>
    <n v="0"/>
    <x v="1"/>
    <n v="7"/>
    <s v="July"/>
    <s v="2025-07"/>
  </r>
  <r>
    <s v="FZ00152"/>
    <n v="45831"/>
    <n v="45837"/>
    <x v="3"/>
    <n v="500"/>
    <n v="985.4"/>
    <n v="4.4400000000000004"/>
    <n v="470824.12"/>
    <x v="1"/>
    <n v="824.28"/>
    <n v="412140"/>
    <n v="5536.02"/>
    <n v="895.88"/>
    <n v="10236.57"/>
    <n v="428808.47"/>
    <n v="58684.12"/>
    <n v="42015.65"/>
    <s v="Part-paid"/>
    <n v="322193.37"/>
    <n v="148630.75"/>
    <s v="Delivered"/>
    <x v="1"/>
    <x v="3"/>
    <x v="21"/>
    <x v="0"/>
    <n v="1.44"/>
    <n v="42015.65"/>
    <n v="8.9238524993154558E-2"/>
    <n v="0"/>
    <x v="1"/>
    <n v="6"/>
    <s v="June"/>
    <s v="2025-06"/>
  </r>
  <r>
    <s v="FZ00153"/>
    <n v="45429"/>
    <n v="45437"/>
    <x v="3"/>
    <n v="250"/>
    <n v="951.09"/>
    <n v="1.4"/>
    <n v="234443.68"/>
    <x v="3"/>
    <n v="772.51"/>
    <n v="193127.5"/>
    <n v="2274.98"/>
    <n v="408.02"/>
    <n v="11924.95"/>
    <n v="207735.45"/>
    <n v="41316.18"/>
    <n v="26708.23"/>
    <s v="Paid"/>
    <n v="234443.68"/>
    <n v="0"/>
    <s v="Collected"/>
    <x v="1"/>
    <x v="2"/>
    <x v="8"/>
    <x v="5"/>
    <n v="0.08"/>
    <n v="26708.23"/>
    <n v="0.11392173165000652"/>
    <n v="0"/>
    <x v="0"/>
    <n v="5"/>
    <s v="May"/>
    <s v="2024-05"/>
  </r>
  <r>
    <s v="FZ00154"/>
    <n v="45740"/>
    <n v="45753"/>
    <x v="0"/>
    <n v="500"/>
    <n v="851.4"/>
    <n v="4.2699999999999996"/>
    <n v="407522.61"/>
    <x v="1"/>
    <n v="664.22"/>
    <n v="332110"/>
    <n v="4384.18"/>
    <n v="2903.62"/>
    <n v="295.11"/>
    <n v="339692.91"/>
    <n v="75412.61"/>
    <n v="67829.7"/>
    <s v="Part-paid"/>
    <n v="136816.95000000001"/>
    <n v="270705.65999999997"/>
    <s v="Delivered"/>
    <x v="3"/>
    <x v="1"/>
    <x v="8"/>
    <x v="5"/>
    <n v="0.14000000000000001"/>
    <n v="67829.7"/>
    <n v="0.16644401644365203"/>
    <n v="0"/>
    <x v="1"/>
    <n v="3"/>
    <s v="March"/>
    <s v="2025-03"/>
  </r>
  <r>
    <s v="FZ00155"/>
    <n v="45968"/>
    <n v="45972"/>
    <x v="3"/>
    <n v="100"/>
    <n v="1086.48"/>
    <n v="1.1399999999999999"/>
    <n v="107409.41"/>
    <x v="1"/>
    <n v="717.29"/>
    <n v="71729"/>
    <n v="896.85"/>
    <n v="424.85"/>
    <n v="11481.84"/>
    <n v="84532.54"/>
    <n v="35680.410000000003"/>
    <n v="22876.87"/>
    <s v="Paid"/>
    <n v="107409.41"/>
    <n v="0"/>
    <s v="Delivered"/>
    <x v="5"/>
    <x v="2"/>
    <x v="25"/>
    <x v="3"/>
    <n v="1.92"/>
    <n v="22876.87"/>
    <n v="0.21298757715920791"/>
    <n v="0"/>
    <x v="1"/>
    <n v="11"/>
    <s v="November"/>
    <s v="2025-11"/>
  </r>
  <r>
    <s v="FZ00156"/>
    <n v="45591"/>
    <n v="45596"/>
    <x v="3"/>
    <n v="250"/>
    <n v="1036.25"/>
    <n v="2.42"/>
    <n v="252793.19"/>
    <x v="2"/>
    <n v="737.44"/>
    <n v="184360"/>
    <n v="4343.25"/>
    <n v="898.7"/>
    <n v="3319.15"/>
    <n v="192921.1"/>
    <n v="68433.19"/>
    <n v="59872.09"/>
    <s v="Paid"/>
    <n v="252793.19"/>
    <n v="0"/>
    <s v="Delivered"/>
    <x v="4"/>
    <x v="1"/>
    <x v="28"/>
    <x v="4"/>
    <n v="1.04"/>
    <n v="59872.09"/>
    <n v="0.23684217917420955"/>
    <n v="0"/>
    <x v="0"/>
    <n v="10"/>
    <s v="October"/>
    <s v="2024-10"/>
  </r>
  <r>
    <s v="FZ00157"/>
    <n v="45477"/>
    <n v="45478"/>
    <x v="0"/>
    <n v="500"/>
    <n v="815.84"/>
    <n v="0.33"/>
    <n v="406573.86"/>
    <x v="1"/>
    <n v="725.99"/>
    <n v="362995"/>
    <n v="11426.08"/>
    <n v="2764.65"/>
    <n v="4017.05"/>
    <n v="381202.78"/>
    <n v="43578.86"/>
    <n v="25371.08"/>
    <s v="Paid"/>
    <n v="406573.86"/>
    <n v="0"/>
    <s v="Delivered"/>
    <x v="3"/>
    <x v="2"/>
    <x v="5"/>
    <x v="4"/>
    <n v="0.54"/>
    <n v="25371.08"/>
    <n v="6.240214262668043E-2"/>
    <n v="0"/>
    <x v="0"/>
    <n v="7"/>
    <s v="July"/>
    <s v="2024-07"/>
  </r>
  <r>
    <s v="FZ00158"/>
    <n v="45800"/>
    <n v="45804"/>
    <x v="0"/>
    <n v="100"/>
    <n v="922.71"/>
    <n v="1.87"/>
    <n v="90545.53"/>
    <x v="0"/>
    <n v="712.1"/>
    <n v="71210"/>
    <n v="573.17999999999995"/>
    <n v="372.08"/>
    <n v="6777.89"/>
    <n v="78933.149999999994"/>
    <n v="19335.53"/>
    <n v="11612.38"/>
    <s v="Paid"/>
    <n v="90545.53"/>
    <n v="0"/>
    <s v="Delivered"/>
    <x v="0"/>
    <x v="0"/>
    <x v="22"/>
    <x v="5"/>
    <n v="0.56000000000000005"/>
    <n v="11612.38"/>
    <n v="0.12824906983260245"/>
    <n v="0"/>
    <x v="1"/>
    <n v="5"/>
    <s v="May"/>
    <s v="2025-05"/>
  </r>
  <r>
    <s v="FZ00159"/>
    <n v="45467"/>
    <n v="45481"/>
    <x v="0"/>
    <n v="200"/>
    <n v="861.72"/>
    <n v="0.13"/>
    <n v="172119.95"/>
    <x v="2"/>
    <n v="750.85"/>
    <n v="150170"/>
    <n v="1633.8"/>
    <n v="1084.02"/>
    <n v="8533.7000000000007"/>
    <n v="161421.51999999999"/>
    <n v="21949.95"/>
    <n v="10698.43"/>
    <s v="Paid"/>
    <n v="172119.95"/>
    <n v="0"/>
    <s v="Delivered"/>
    <x v="1"/>
    <x v="0"/>
    <x v="13"/>
    <x v="5"/>
    <n v="2.16"/>
    <n v="10698.43"/>
    <n v="6.2156827259129459E-2"/>
    <n v="0"/>
    <x v="0"/>
    <n v="6"/>
    <s v="June"/>
    <s v="2024-06"/>
  </r>
  <r>
    <s v="FZ00160"/>
    <n v="45504"/>
    <n v="45517"/>
    <x v="0"/>
    <n v="300"/>
    <n v="893.2"/>
    <n v="1.63"/>
    <n v="263592.25"/>
    <x v="2"/>
    <n v="661.25"/>
    <n v="198375"/>
    <n v="6230.84"/>
    <n v="1706.77"/>
    <n v="3827.05"/>
    <n v="210139.66"/>
    <n v="65217.25"/>
    <n v="53452.59"/>
    <s v="Paid"/>
    <n v="263592.25"/>
    <n v="0"/>
    <s v="Delivered"/>
    <x v="4"/>
    <x v="2"/>
    <x v="8"/>
    <x v="5"/>
    <n v="1.65"/>
    <n v="53452.59"/>
    <n v="0.20278513499543327"/>
    <n v="0"/>
    <x v="0"/>
    <n v="7"/>
    <s v="July"/>
    <s v="2024-07"/>
  </r>
  <r>
    <s v="FZ00161"/>
    <n v="45376"/>
    <n v="45381"/>
    <x v="1"/>
    <n v="300"/>
    <n v="1296.01"/>
    <n v="1.73"/>
    <n v="382076.71"/>
    <x v="1"/>
    <n v="1071.6400000000001"/>
    <n v="321492"/>
    <n v="2585.7399999999998"/>
    <n v="503.48"/>
    <n v="1244.3599999999999"/>
    <n v="325825.58"/>
    <n v="60584.71"/>
    <n v="56251.13"/>
    <s v="Part-paid"/>
    <n v="175400.23"/>
    <n v="206676.48000000001"/>
    <s v="Delivered"/>
    <x v="0"/>
    <x v="2"/>
    <x v="18"/>
    <x v="3"/>
    <n v="2.11"/>
    <n v="56251.13"/>
    <n v="0.14722470259964288"/>
    <n v="0"/>
    <x v="0"/>
    <n v="3"/>
    <s v="March"/>
    <s v="2024-03"/>
  </r>
  <r>
    <s v="FZ00162"/>
    <n v="45492"/>
    <n v="45505"/>
    <x v="0"/>
    <n v="150"/>
    <n v="824.86"/>
    <n v="1.25"/>
    <n v="122182.39"/>
    <x v="2"/>
    <n v="695.62"/>
    <n v="104343"/>
    <n v="1289.6400000000001"/>
    <n v="581.08000000000004"/>
    <n v="2933.83"/>
    <n v="109147.55"/>
    <n v="17839.39"/>
    <n v="13034.84"/>
    <s v="Paid"/>
    <n v="122182.39"/>
    <n v="0"/>
    <s v="Delivered"/>
    <x v="5"/>
    <x v="1"/>
    <x v="8"/>
    <x v="5"/>
    <n v="0.2"/>
    <n v="13034.84"/>
    <n v="0.10668345904839478"/>
    <n v="0"/>
    <x v="0"/>
    <n v="7"/>
    <s v="July"/>
    <s v="2024-07"/>
  </r>
  <r>
    <s v="FZ00163"/>
    <n v="45357"/>
    <n v="45358"/>
    <x v="0"/>
    <n v="100"/>
    <n v="864"/>
    <n v="1.07"/>
    <n v="85475.520000000004"/>
    <x v="1"/>
    <n v="712.56"/>
    <n v="71256"/>
    <n v="1445.3"/>
    <n v="562.6"/>
    <n v="5648.18"/>
    <n v="78912.08"/>
    <n v="14219.52"/>
    <n v="6563.44"/>
    <s v="Paid"/>
    <n v="85475.520000000004"/>
    <n v="0"/>
    <s v="Delivered"/>
    <x v="5"/>
    <x v="1"/>
    <x v="2"/>
    <x v="2"/>
    <n v="0.94"/>
    <n v="6563.44"/>
    <n v="7.6787365552148726E-2"/>
    <n v="0"/>
    <x v="0"/>
    <n v="3"/>
    <s v="March"/>
    <s v="2024-03"/>
  </r>
  <r>
    <s v="FZ00164"/>
    <n v="45963"/>
    <n v="45972"/>
    <x v="0"/>
    <n v="100"/>
    <n v="953.28"/>
    <n v="2.3199999999999998"/>
    <n v="93116.39"/>
    <x v="1"/>
    <n v="730.02"/>
    <n v="73002"/>
    <n v="1052.23"/>
    <n v="467.59"/>
    <n v="10189.4"/>
    <n v="84711.22"/>
    <n v="20114.39"/>
    <n v="8405.17"/>
    <s v="Paid"/>
    <n v="93116.39"/>
    <n v="0"/>
    <s v="Delivered"/>
    <x v="0"/>
    <x v="1"/>
    <x v="32"/>
    <x v="0"/>
    <n v="0.73"/>
    <n v="8405.17"/>
    <n v="9.0265204654089368E-2"/>
    <n v="0"/>
    <x v="1"/>
    <n v="11"/>
    <s v="November"/>
    <s v="2025-11"/>
  </r>
  <r>
    <s v="FZ00165"/>
    <n v="45973"/>
    <n v="45982"/>
    <x v="0"/>
    <n v="300"/>
    <n v="951.47"/>
    <n v="0.94"/>
    <n v="282757.84999999998"/>
    <x v="3"/>
    <n v="736.37"/>
    <n v="220911"/>
    <n v="4887.3100000000004"/>
    <n v="932.27"/>
    <n v="11889.1"/>
    <n v="238619.68"/>
    <n v="61846.85"/>
    <n v="44138.17"/>
    <s v="Part-paid"/>
    <n v="173434.12"/>
    <n v="109323.73"/>
    <s v="Delivered"/>
    <x v="3"/>
    <x v="0"/>
    <x v="21"/>
    <x v="0"/>
    <n v="1.54"/>
    <n v="44138.17"/>
    <n v="0.1560988315620592"/>
    <n v="0"/>
    <x v="1"/>
    <n v="11"/>
    <s v="November"/>
    <s v="2025-11"/>
  </r>
  <r>
    <s v="FZ00166"/>
    <n v="45650"/>
    <n v="45658"/>
    <x v="0"/>
    <n v="100"/>
    <n v="894.98"/>
    <n v="0.46"/>
    <n v="89086.31"/>
    <x v="2"/>
    <n v="653.44000000000005"/>
    <n v="65344"/>
    <n v="1419.28"/>
    <n v="526.25"/>
    <n v="6884.47"/>
    <n v="74174"/>
    <n v="23742.31"/>
    <n v="14912.31"/>
    <s v="Paid"/>
    <n v="89086.31"/>
    <n v="0"/>
    <s v="Collected"/>
    <x v="0"/>
    <x v="4"/>
    <x v="22"/>
    <x v="5"/>
    <n v="0.45"/>
    <n v="14912.31"/>
    <n v="0.16739171259871466"/>
    <n v="0"/>
    <x v="0"/>
    <n v="12"/>
    <s v="December"/>
    <s v="2024-12"/>
  </r>
  <r>
    <s v="FZ00167"/>
    <n v="45342"/>
    <n v="45350"/>
    <x v="0"/>
    <n v="500"/>
    <n v="802.59"/>
    <n v="2.64"/>
    <n v="390700.81"/>
    <x v="1"/>
    <n v="738"/>
    <n v="369000"/>
    <n v="11899.55"/>
    <n v="2140.3000000000002"/>
    <n v="5424.85"/>
    <n v="388464.7"/>
    <n v="21700.81"/>
    <n v="2236.11"/>
    <s v="Part-paid"/>
    <n v="149893.14000000001"/>
    <n v="240807.67"/>
    <s v="Delivered"/>
    <x v="1"/>
    <x v="2"/>
    <x v="11"/>
    <x v="5"/>
    <n v="0.59"/>
    <n v="2236.11"/>
    <n v="5.7233308525774492E-3"/>
    <n v="0"/>
    <x v="0"/>
    <n v="2"/>
    <s v="February"/>
    <s v="2024-02"/>
  </r>
  <r>
    <s v="FZ00168"/>
    <n v="45561"/>
    <n v="45566"/>
    <x v="0"/>
    <n v="750"/>
    <n v="956.89"/>
    <n v="4.25"/>
    <n v="687166.63"/>
    <x v="1"/>
    <n v="692.12"/>
    <n v="519090"/>
    <n v="11554.92"/>
    <n v="2109.4899999999998"/>
    <n v="10423.73"/>
    <n v="543178.14"/>
    <n v="168076.63"/>
    <n v="143988.49"/>
    <s v="Paid"/>
    <n v="687166.63"/>
    <n v="0"/>
    <s v="Delivered"/>
    <x v="0"/>
    <x v="3"/>
    <x v="24"/>
    <x v="0"/>
    <n v="1.64"/>
    <n v="143988.49"/>
    <n v="0.20953940967709678"/>
    <n v="0"/>
    <x v="0"/>
    <n v="9"/>
    <s v="September"/>
    <s v="2024-09"/>
  </r>
  <r>
    <s v="FZ00169"/>
    <n v="45321"/>
    <n v="45325"/>
    <x v="4"/>
    <n v="750"/>
    <n v="2767.8"/>
    <n v="4.3099999999999996"/>
    <n v="1986380.87"/>
    <x v="0"/>
    <n v="2372.85"/>
    <n v="1779637.5"/>
    <n v="8096.01"/>
    <n v="3012.99"/>
    <n v="1933.06"/>
    <n v="1792679.56"/>
    <n v="206743.37"/>
    <n v="193701.31"/>
    <s v="Paid"/>
    <n v="1986380.87"/>
    <n v="0"/>
    <s v="Delivered"/>
    <x v="5"/>
    <x v="0"/>
    <x v="13"/>
    <x v="5"/>
    <n v="0.19"/>
    <n v="193701.31"/>
    <n v="9.751468760369203E-2"/>
    <n v="0"/>
    <x v="0"/>
    <n v="1"/>
    <s v="January"/>
    <s v="2024-01"/>
  </r>
  <r>
    <s v="FZ00170"/>
    <n v="45656"/>
    <n v="45665"/>
    <x v="1"/>
    <n v="100"/>
    <n v="1276.28"/>
    <n v="0.36"/>
    <n v="127168.54"/>
    <x v="2"/>
    <n v="1067.73"/>
    <n v="106773"/>
    <n v="1025.74"/>
    <n v="372.54"/>
    <n v="9833.35"/>
    <n v="118004.63"/>
    <n v="20395.54"/>
    <n v="9163.91"/>
    <s v="Paid"/>
    <n v="127168.54"/>
    <n v="0"/>
    <s v="Delivered"/>
    <x v="5"/>
    <x v="2"/>
    <x v="22"/>
    <x v="5"/>
    <n v="0.36"/>
    <n v="9163.91"/>
    <n v="7.2061140278877153E-2"/>
    <n v="0"/>
    <x v="0"/>
    <n v="12"/>
    <s v="December"/>
    <s v="2024-12"/>
  </r>
  <r>
    <s v="FZ00171"/>
    <n v="45403"/>
    <n v="45407"/>
    <x v="3"/>
    <n v="150"/>
    <n v="980.49"/>
    <n v="2.2200000000000002"/>
    <n v="143808.47"/>
    <x v="2"/>
    <n v="726.62"/>
    <n v="108993"/>
    <n v="3261.94"/>
    <n v="585.75"/>
    <n v="3576.79"/>
    <n v="116417.48"/>
    <n v="34815.47"/>
    <n v="27390.99"/>
    <s v="Paid"/>
    <n v="143808.47"/>
    <n v="0"/>
    <s v="Delivered"/>
    <x v="4"/>
    <x v="4"/>
    <x v="10"/>
    <x v="5"/>
    <n v="1.98"/>
    <n v="27390.99"/>
    <n v="0.1904685447247996"/>
    <n v="0"/>
    <x v="0"/>
    <n v="4"/>
    <s v="April"/>
    <s v="2024-04"/>
  </r>
  <r>
    <s v="FZ00172"/>
    <n v="45775"/>
    <n v="45787"/>
    <x v="1"/>
    <n v="50"/>
    <n v="1371.18"/>
    <n v="0.33"/>
    <n v="68332.759999999995"/>
    <x v="1"/>
    <n v="1014.07"/>
    <n v="50703.5"/>
    <n v="683.38"/>
    <n v="165.32"/>
    <n v="9175.43"/>
    <n v="60727.63"/>
    <n v="17629.259999999998"/>
    <n v="7605.13"/>
    <s v="Paid"/>
    <n v="68332.759999999995"/>
    <n v="0"/>
    <s v="Collected"/>
    <x v="4"/>
    <x v="1"/>
    <x v="31"/>
    <x v="1"/>
    <n v="0.74"/>
    <n v="7605.13"/>
    <n v="0.1112955191624047"/>
    <n v="0"/>
    <x v="1"/>
    <n v="4"/>
    <s v="April"/>
    <s v="2025-04"/>
  </r>
  <r>
    <s v="FZ00173"/>
    <n v="45897"/>
    <n v="45901"/>
    <x v="0"/>
    <n v="100"/>
    <n v="826.02"/>
    <n v="1.5"/>
    <n v="81362.97"/>
    <x v="2"/>
    <n v="681.24"/>
    <n v="68124"/>
    <n v="1433.78"/>
    <n v="205.58"/>
    <n v="6397.33"/>
    <n v="76160.69"/>
    <n v="13238.97"/>
    <n v="5202.28"/>
    <s v="Paid"/>
    <n v="81362.97"/>
    <n v="0"/>
    <s v="Delivered"/>
    <x v="3"/>
    <x v="1"/>
    <x v="8"/>
    <x v="5"/>
    <n v="0.08"/>
    <n v="5202.28"/>
    <n v="6.3939160529661088E-2"/>
    <n v="0"/>
    <x v="1"/>
    <n v="8"/>
    <s v="August"/>
    <s v="2025-08"/>
  </r>
  <r>
    <s v="FZ00174"/>
    <n v="45828"/>
    <m/>
    <x v="1"/>
    <n v="200"/>
    <n v="1336.31"/>
    <n v="0.43"/>
    <n v="266112.77"/>
    <x v="3"/>
    <n v="987.87"/>
    <n v="197574"/>
    <n v="1158.17"/>
    <n v="326.62"/>
    <n v="1468.01"/>
    <n v="200526.8"/>
    <n v="68538.77"/>
    <n v="65585.97"/>
    <s v="Paid"/>
    <n v="266112.77"/>
    <n v="0"/>
    <s v="Pending"/>
    <x v="5"/>
    <x v="0"/>
    <x v="5"/>
    <x v="4"/>
    <n v="0.36"/>
    <n v="65585.97"/>
    <n v="0.24645931121606826"/>
    <n v="0"/>
    <x v="1"/>
    <n v="6"/>
    <s v="June"/>
    <s v="2025-06"/>
  </r>
  <r>
    <s v="FZ00175"/>
    <n v="45826"/>
    <n v="45839"/>
    <x v="3"/>
    <n v="250"/>
    <n v="955.25"/>
    <n v="1"/>
    <n v="236424.38"/>
    <x v="2"/>
    <n v="765.76"/>
    <n v="191440"/>
    <n v="1743.68"/>
    <n v="1252.95"/>
    <n v="2781.96"/>
    <n v="197218.59"/>
    <n v="44984.38"/>
    <n v="39205.79"/>
    <s v="Paid"/>
    <n v="236424.38"/>
    <n v="0"/>
    <s v="Delivered"/>
    <x v="4"/>
    <x v="3"/>
    <x v="19"/>
    <x v="4"/>
    <n v="0.8"/>
    <n v="39205.79"/>
    <n v="0.1658280334709982"/>
    <n v="0"/>
    <x v="1"/>
    <n v="6"/>
    <s v="June"/>
    <s v="2025-06"/>
  </r>
  <r>
    <s v="FZ00176"/>
    <n v="45730"/>
    <n v="45733"/>
    <x v="1"/>
    <n v="200"/>
    <n v="1226.33"/>
    <n v="2.2999999999999998"/>
    <n v="239624.88"/>
    <x v="0"/>
    <n v="1055.43"/>
    <n v="211086"/>
    <n v="1120.81"/>
    <n v="1164.8699999999999"/>
    <n v="11699.46"/>
    <n v="225071.14"/>
    <n v="28538.880000000001"/>
    <n v="14553.74"/>
    <s v="Paid"/>
    <n v="239624.88"/>
    <n v="0"/>
    <s v="Collected"/>
    <x v="3"/>
    <x v="3"/>
    <x v="1"/>
    <x v="1"/>
    <n v="1.82"/>
    <n v="14553.74"/>
    <n v="6.073551294005864E-2"/>
    <n v="0"/>
    <x v="1"/>
    <n v="3"/>
    <s v="March"/>
    <s v="2025-03"/>
  </r>
  <r>
    <s v="FZ00177"/>
    <n v="45842"/>
    <n v="45846"/>
    <x v="0"/>
    <n v="100"/>
    <n v="839.84"/>
    <n v="1.26"/>
    <n v="82925.8"/>
    <x v="2"/>
    <n v="663.49"/>
    <n v="66349"/>
    <n v="2136.7199999999998"/>
    <n v="439.99"/>
    <n v="4175.5200000000004"/>
    <n v="73101.23"/>
    <n v="16576.8"/>
    <n v="9824.57"/>
    <s v="Paid"/>
    <n v="82925.8"/>
    <n v="0"/>
    <s v="Collected"/>
    <x v="0"/>
    <x v="1"/>
    <x v="34"/>
    <x v="4"/>
    <n v="2.14"/>
    <n v="9824.57"/>
    <n v="0.11847422635657419"/>
    <n v="0"/>
    <x v="1"/>
    <n v="7"/>
    <s v="July"/>
    <s v="2025-07"/>
  </r>
  <r>
    <s v="FZ00178"/>
    <n v="45341"/>
    <m/>
    <x v="0"/>
    <n v="150"/>
    <n v="825.37"/>
    <n v="2.4300000000000002"/>
    <n v="0"/>
    <x v="2"/>
    <n v="721.48"/>
    <n v="0"/>
    <n v="0"/>
    <n v="0"/>
    <n v="0"/>
    <n v="0"/>
    <n v="0"/>
    <n v="0"/>
    <s v="Paid"/>
    <n v="0"/>
    <n v="0"/>
    <s v="Cancelled"/>
    <x v="1"/>
    <x v="1"/>
    <x v="12"/>
    <x v="2"/>
    <n v="0.62"/>
    <n v="0"/>
    <e v="#DIV/0!"/>
    <n v="0"/>
    <x v="0"/>
    <n v="2"/>
    <s v="February"/>
    <s v="2024-02"/>
  </r>
  <r>
    <s v="FZ00179"/>
    <n v="45738"/>
    <n v="45747"/>
    <x v="4"/>
    <n v="100"/>
    <n v="2731.94"/>
    <n v="1.99"/>
    <n v="267757.44"/>
    <x v="2"/>
    <n v="2222.7399999999998"/>
    <n v="222274"/>
    <n v="2097.42"/>
    <n v="287.77999999999997"/>
    <n v="11204.32"/>
    <n v="235863.52"/>
    <n v="45483.44"/>
    <n v="31893.919999999998"/>
    <s v="Paid"/>
    <n v="267757.44"/>
    <n v="0"/>
    <s v="Delivered"/>
    <x v="3"/>
    <x v="0"/>
    <x v="3"/>
    <x v="3"/>
    <n v="1.1100000000000001"/>
    <n v="31893.919999999998"/>
    <n v="0.11911497211804832"/>
    <n v="0"/>
    <x v="1"/>
    <n v="3"/>
    <s v="March"/>
    <s v="2025-03"/>
  </r>
  <r>
    <s v="FZ00180"/>
    <n v="45378"/>
    <n v="45382"/>
    <x v="2"/>
    <n v="150"/>
    <n v="679.74"/>
    <n v="0.18"/>
    <n v="101777.47"/>
    <x v="3"/>
    <n v="558.16999999999996"/>
    <n v="83725.5"/>
    <n v="1060.79"/>
    <n v="311.99"/>
    <n v="758.86"/>
    <n v="85857.14"/>
    <n v="18051.97"/>
    <n v="15920.33"/>
    <s v="Paid"/>
    <n v="101777.47"/>
    <n v="0"/>
    <s v="Delivered"/>
    <x v="1"/>
    <x v="4"/>
    <x v="11"/>
    <x v="5"/>
    <n v="1.9"/>
    <n v="15920.33"/>
    <n v="0.1564229293575484"/>
    <n v="0"/>
    <x v="0"/>
    <n v="3"/>
    <s v="March"/>
    <s v="2024-03"/>
  </r>
  <r>
    <s v="FZ00181"/>
    <n v="45672"/>
    <n v="45673"/>
    <x v="2"/>
    <n v="150"/>
    <n v="702.51"/>
    <n v="2.31"/>
    <n v="102942.3"/>
    <x v="0"/>
    <n v="566.38"/>
    <n v="84957"/>
    <n v="3298.15"/>
    <n v="365.39"/>
    <n v="1748.85"/>
    <n v="90369.39"/>
    <n v="17985.3"/>
    <n v="12572.91"/>
    <s v="Part-paid"/>
    <n v="75043.929999999993"/>
    <n v="27898.37"/>
    <s v="Delivered"/>
    <x v="4"/>
    <x v="2"/>
    <x v="12"/>
    <x v="2"/>
    <n v="0.69"/>
    <n v="12572.91"/>
    <n v="0.12213550697818097"/>
    <n v="0"/>
    <x v="1"/>
    <n v="1"/>
    <s v="January"/>
    <s v="2025-01"/>
  </r>
  <r>
    <s v="FZ00182"/>
    <n v="45768"/>
    <n v="45775"/>
    <x v="0"/>
    <n v="50"/>
    <n v="901.77"/>
    <n v="1.83"/>
    <n v="44263.38"/>
    <x v="3"/>
    <n v="662.96"/>
    <n v="33148"/>
    <n v="1103.6600000000001"/>
    <n v="151.12"/>
    <n v="11560.06"/>
    <n v="45962.84"/>
    <n v="11115.38"/>
    <n v="-1699.46"/>
    <s v="Paid"/>
    <n v="44263.38"/>
    <n v="0"/>
    <s v="Delivered"/>
    <x v="1"/>
    <x v="3"/>
    <x v="7"/>
    <x v="5"/>
    <n v="1.86"/>
    <n v="-1699.46"/>
    <n v="-3.8394266321279583E-2"/>
    <n v="0"/>
    <x v="1"/>
    <n v="4"/>
    <s v="April"/>
    <s v="2025-04"/>
  </r>
  <r>
    <s v="FZ00183"/>
    <n v="45437"/>
    <n v="45439"/>
    <x v="0"/>
    <n v="750"/>
    <n v="901.26"/>
    <n v="2.67"/>
    <n v="657897.27"/>
    <x v="2"/>
    <n v="691.03"/>
    <n v="518272.5"/>
    <n v="16546.41"/>
    <n v="3035.92"/>
    <n v="8729.1299999999992"/>
    <n v="546583.96"/>
    <n v="139624.76999999999"/>
    <n v="111313.31"/>
    <s v="Paid"/>
    <n v="657897.27"/>
    <n v="0"/>
    <s v="Delivered"/>
    <x v="0"/>
    <x v="4"/>
    <x v="24"/>
    <x v="0"/>
    <n v="1.35"/>
    <n v="111313.31"/>
    <n v="0.1691955797293398"/>
    <n v="0"/>
    <x v="0"/>
    <n v="5"/>
    <s v="May"/>
    <s v="2024-05"/>
  </r>
  <r>
    <s v="FZ00184"/>
    <n v="45689"/>
    <n v="45699"/>
    <x v="3"/>
    <n v="300"/>
    <n v="975.94"/>
    <n v="1.88"/>
    <n v="287277.7"/>
    <x v="2"/>
    <n v="775.9"/>
    <n v="232770"/>
    <n v="2152.02"/>
    <n v="1168.3699999999999"/>
    <n v="6719.23"/>
    <n v="242809.62"/>
    <n v="54507.7"/>
    <n v="44468.08"/>
    <s v="Unpaid"/>
    <n v="0"/>
    <n v="287277.7"/>
    <s v="Collected"/>
    <x v="1"/>
    <x v="2"/>
    <x v="11"/>
    <x v="5"/>
    <n v="0.95"/>
    <n v="44468.08"/>
    <n v="0.15479126991061262"/>
    <n v="0"/>
    <x v="1"/>
    <n v="2"/>
    <s v="February"/>
    <s v="2025-02"/>
  </r>
  <r>
    <s v="FZ00185"/>
    <n v="45481"/>
    <m/>
    <x v="3"/>
    <n v="250"/>
    <n v="937.24"/>
    <n v="2.35"/>
    <n v="228803.72"/>
    <x v="1"/>
    <n v="793.2"/>
    <n v="198300"/>
    <n v="2112.4499999999998"/>
    <n v="1463.92"/>
    <n v="1163.71"/>
    <n v="203040.08"/>
    <n v="30503.72"/>
    <n v="25763.64"/>
    <s v="Paid"/>
    <n v="228803.72"/>
    <n v="0"/>
    <s v="Pending"/>
    <x v="3"/>
    <x v="0"/>
    <x v="18"/>
    <x v="3"/>
    <n v="0.6"/>
    <n v="25763.64"/>
    <n v="0.11260149091981546"/>
    <n v="0"/>
    <x v="0"/>
    <n v="7"/>
    <s v="July"/>
    <s v="2024-07"/>
  </r>
  <r>
    <s v="FZ00186"/>
    <n v="45491"/>
    <n v="45499"/>
    <x v="0"/>
    <n v="200"/>
    <n v="825.23"/>
    <n v="2.2400000000000002"/>
    <n v="161348.97"/>
    <x v="1"/>
    <n v="650.49"/>
    <n v="130098"/>
    <n v="2601.89"/>
    <n v="893.82"/>
    <n v="9712.67"/>
    <n v="143306.38"/>
    <n v="31250.97"/>
    <n v="18042.59"/>
    <s v="Paid"/>
    <n v="161348.97"/>
    <n v="0"/>
    <s v="Collected"/>
    <x v="3"/>
    <x v="4"/>
    <x v="10"/>
    <x v="5"/>
    <n v="2.2599999999999998"/>
    <n v="18042.59"/>
    <n v="0.11182339744716065"/>
    <n v="0"/>
    <x v="0"/>
    <n v="7"/>
    <s v="July"/>
    <s v="2024-07"/>
  </r>
  <r>
    <s v="FZ00187"/>
    <n v="45507"/>
    <n v="45515"/>
    <x v="3"/>
    <n v="200"/>
    <n v="908.02"/>
    <n v="0.95"/>
    <n v="179878.76"/>
    <x v="2"/>
    <n v="720.22"/>
    <n v="144044"/>
    <n v="3767.34"/>
    <n v="938.54"/>
    <n v="5120.55"/>
    <n v="153870.43"/>
    <n v="35834.76"/>
    <n v="26008.33"/>
    <s v="Unpaid"/>
    <n v="0"/>
    <n v="179878.76"/>
    <s v="Collected"/>
    <x v="2"/>
    <x v="1"/>
    <x v="20"/>
    <x v="2"/>
    <n v="0.88"/>
    <n v="26008.33"/>
    <n v="0.14458811034721386"/>
    <n v="0"/>
    <x v="0"/>
    <n v="8"/>
    <s v="August"/>
    <s v="2024-08"/>
  </r>
  <r>
    <s v="FZ00188"/>
    <n v="45510"/>
    <m/>
    <x v="0"/>
    <n v="200"/>
    <n v="831.43"/>
    <n v="1.1299999999999999"/>
    <n v="164406.97"/>
    <x v="1"/>
    <n v="688.2"/>
    <n v="137640"/>
    <n v="3884.71"/>
    <n v="795.03"/>
    <n v="10205.66"/>
    <n v="152525.4"/>
    <n v="26766.97"/>
    <n v="11881.57"/>
    <s v="Unpaid"/>
    <n v="0"/>
    <n v="164406.97"/>
    <s v="Pending"/>
    <x v="4"/>
    <x v="1"/>
    <x v="4"/>
    <x v="1"/>
    <n v="0.42"/>
    <n v="11881.57"/>
    <n v="7.2269259630537555E-2"/>
    <n v="0"/>
    <x v="0"/>
    <n v="8"/>
    <s v="August"/>
    <s v="2024-08"/>
  </r>
  <r>
    <s v="FZ00189"/>
    <n v="45685"/>
    <m/>
    <x v="0"/>
    <n v="200"/>
    <n v="822.44"/>
    <n v="1.04"/>
    <n v="162777.32"/>
    <x v="1"/>
    <n v="685.95"/>
    <n v="137190"/>
    <n v="2796.89"/>
    <n v="421.12"/>
    <n v="11077.17"/>
    <n v="151485.18"/>
    <n v="25587.32"/>
    <n v="11292.14"/>
    <s v="Part-paid"/>
    <n v="108536.08"/>
    <n v="54241.24"/>
    <s v="Pending"/>
    <x v="4"/>
    <x v="1"/>
    <x v="10"/>
    <x v="5"/>
    <n v="1.45"/>
    <n v="11292.14"/>
    <n v="6.9371703625541931E-2"/>
    <n v="0"/>
    <x v="1"/>
    <n v="1"/>
    <s v="January"/>
    <s v="2025-01"/>
  </r>
  <r>
    <s v="FZ00190"/>
    <n v="45785"/>
    <n v="45799"/>
    <x v="3"/>
    <n v="150"/>
    <n v="1001.24"/>
    <n v="0.28999999999999998"/>
    <n v="149750.46"/>
    <x v="0"/>
    <n v="785.75"/>
    <n v="117862.5"/>
    <n v="968.06"/>
    <n v="484.56"/>
    <n v="4462.93"/>
    <n v="123778.05"/>
    <n v="31887.96"/>
    <n v="25972.41"/>
    <s v="Part-paid"/>
    <n v="87588.85"/>
    <n v="62161.61"/>
    <s v="Delivered"/>
    <x v="2"/>
    <x v="1"/>
    <x v="22"/>
    <x v="5"/>
    <n v="2.39"/>
    <n v="25972.41"/>
    <n v="0.17343793134258154"/>
    <n v="0"/>
    <x v="1"/>
    <n v="5"/>
    <s v="May"/>
    <s v="2025-05"/>
  </r>
  <r>
    <s v="FZ00191"/>
    <n v="45343"/>
    <n v="45356"/>
    <x v="0"/>
    <n v="250"/>
    <n v="874.61"/>
    <n v="1.44"/>
    <n v="215503.9"/>
    <x v="1"/>
    <n v="698.37"/>
    <n v="174592.5"/>
    <n v="4215.3999999999996"/>
    <n v="1140.8699999999999"/>
    <n v="566.83000000000004"/>
    <n v="180515.6"/>
    <n v="40911.4"/>
    <n v="34988.300000000003"/>
    <s v="Paid"/>
    <n v="215503.9"/>
    <n v="0"/>
    <s v="Delivered"/>
    <x v="4"/>
    <x v="1"/>
    <x v="7"/>
    <x v="5"/>
    <n v="2.29"/>
    <n v="34988.300000000003"/>
    <n v="0.16235576247112002"/>
    <n v="0"/>
    <x v="0"/>
    <n v="2"/>
    <s v="February"/>
    <s v="2024-02"/>
  </r>
  <r>
    <s v="FZ00192"/>
    <n v="45478"/>
    <n v="45484"/>
    <x v="0"/>
    <n v="1000"/>
    <n v="802.13"/>
    <n v="1.52"/>
    <n v="789937.62"/>
    <x v="3"/>
    <n v="749.37"/>
    <n v="749370"/>
    <n v="11715.59"/>
    <n v="4200.43"/>
    <n v="1445.37"/>
    <n v="766731.39"/>
    <n v="40567.620000000003"/>
    <n v="23206.23"/>
    <s v="Unpaid"/>
    <n v="0"/>
    <n v="789937.62"/>
    <s v="Delivered"/>
    <x v="0"/>
    <x v="1"/>
    <x v="5"/>
    <x v="4"/>
    <n v="1.68"/>
    <n v="23206.23"/>
    <n v="2.9377294374206407E-2"/>
    <n v="0"/>
    <x v="0"/>
    <n v="7"/>
    <s v="July"/>
    <s v="2024-07"/>
  </r>
  <r>
    <s v="FZ00193"/>
    <n v="45526"/>
    <n v="45534"/>
    <x v="2"/>
    <n v="200"/>
    <n v="718.04"/>
    <n v="0.63"/>
    <n v="142703.26999999999"/>
    <x v="3"/>
    <n v="604.66"/>
    <n v="120932"/>
    <n v="1229.06"/>
    <n v="371.9"/>
    <n v="2664.21"/>
    <n v="125197.17"/>
    <n v="21771.27"/>
    <n v="17506.099999999999"/>
    <s v="Paid"/>
    <n v="142703.26999999999"/>
    <n v="0"/>
    <s v="Delivered"/>
    <x v="3"/>
    <x v="3"/>
    <x v="22"/>
    <x v="5"/>
    <n v="0.54"/>
    <n v="17506.099999999999"/>
    <n v="0.12267483429076292"/>
    <n v="0"/>
    <x v="0"/>
    <n v="8"/>
    <s v="August"/>
    <s v="2024-08"/>
  </r>
  <r>
    <s v="FZ00194"/>
    <n v="45333"/>
    <n v="45341"/>
    <x v="0"/>
    <n v="500"/>
    <n v="917.32"/>
    <n v="0.37"/>
    <n v="456962.96"/>
    <x v="2"/>
    <n v="694.52"/>
    <n v="347260"/>
    <n v="4329.87"/>
    <n v="2006.9"/>
    <n v="375.61"/>
    <n v="353972.38"/>
    <n v="109702.96"/>
    <n v="102990.58"/>
    <s v="Paid"/>
    <n v="456962.96"/>
    <n v="0"/>
    <s v="Delivered"/>
    <x v="1"/>
    <x v="1"/>
    <x v="26"/>
    <x v="4"/>
    <n v="0.23"/>
    <n v="102990.58"/>
    <n v="0.22538058664535962"/>
    <n v="0"/>
    <x v="0"/>
    <n v="2"/>
    <s v="February"/>
    <s v="2024-02"/>
  </r>
  <r>
    <s v="FZ00195"/>
    <n v="45784"/>
    <n v="45786"/>
    <x v="0"/>
    <n v="750"/>
    <n v="829.09"/>
    <n v="4.29"/>
    <n v="595141.53"/>
    <x v="2"/>
    <n v="700.41"/>
    <n v="525307.5"/>
    <n v="17815.93"/>
    <n v="3699.99"/>
    <n v="5294.8"/>
    <n v="552118.22"/>
    <n v="69834.03"/>
    <n v="43023.31"/>
    <s v="Part-paid"/>
    <n v="332095.59999999998"/>
    <n v="263045.93"/>
    <s v="Delivered"/>
    <x v="3"/>
    <x v="1"/>
    <x v="26"/>
    <x v="4"/>
    <n v="0.52"/>
    <n v="43023.31"/>
    <n v="7.2290888521928554E-2"/>
    <n v="0"/>
    <x v="1"/>
    <n v="5"/>
    <s v="May"/>
    <s v="2025-05"/>
  </r>
  <r>
    <s v="FZ00196"/>
    <n v="45963"/>
    <n v="45972"/>
    <x v="0"/>
    <n v="1200"/>
    <n v="971.8"/>
    <n v="3.2"/>
    <n v="1128842.8799999999"/>
    <x v="3"/>
    <n v="661.11"/>
    <n v="793332"/>
    <n v="23006.09"/>
    <n v="2634.08"/>
    <n v="2195.0100000000002"/>
    <n v="821167.18"/>
    <n v="335510.88"/>
    <n v="307675.7"/>
    <s v="Unpaid"/>
    <n v="0"/>
    <n v="1128842.8799999999"/>
    <s v="Delivered"/>
    <x v="2"/>
    <x v="1"/>
    <x v="7"/>
    <x v="5"/>
    <n v="1.86"/>
    <n v="307675.7"/>
    <n v="0.27255848041491837"/>
    <n v="0"/>
    <x v="1"/>
    <n v="11"/>
    <s v="November"/>
    <s v="2025-11"/>
  </r>
  <r>
    <s v="FZ00197"/>
    <n v="45865"/>
    <n v="45879"/>
    <x v="0"/>
    <n v="300"/>
    <n v="824.56"/>
    <n v="1.5"/>
    <n v="243657.48"/>
    <x v="2"/>
    <n v="669.05"/>
    <n v="200715"/>
    <n v="3189.62"/>
    <n v="1277.24"/>
    <n v="3860.8"/>
    <n v="209042.66"/>
    <n v="42942.48"/>
    <n v="34614.82"/>
    <s v="Paid"/>
    <n v="243657.48"/>
    <n v="0"/>
    <s v="Delivered"/>
    <x v="1"/>
    <x v="2"/>
    <x v="7"/>
    <x v="5"/>
    <n v="1.38"/>
    <n v="34614.82"/>
    <n v="0.14206344085968547"/>
    <n v="0"/>
    <x v="1"/>
    <n v="7"/>
    <s v="July"/>
    <s v="2025-07"/>
  </r>
  <r>
    <s v="FZ00198"/>
    <n v="45328"/>
    <n v="45335"/>
    <x v="3"/>
    <n v="100"/>
    <n v="918.09"/>
    <n v="1.06"/>
    <n v="90835.82"/>
    <x v="2"/>
    <n v="744.66"/>
    <n v="74466"/>
    <n v="544.66"/>
    <n v="195.15"/>
    <n v="10054.719999999999"/>
    <n v="85260.53"/>
    <n v="16369.82"/>
    <n v="5575.29"/>
    <s v="Paid"/>
    <n v="90835.82"/>
    <n v="0"/>
    <s v="Delivered"/>
    <x v="0"/>
    <x v="4"/>
    <x v="17"/>
    <x v="3"/>
    <n v="2.2000000000000002"/>
    <n v="5575.29"/>
    <n v="6.1377659165734393E-2"/>
    <n v="0"/>
    <x v="0"/>
    <n v="2"/>
    <s v="February"/>
    <s v="2024-02"/>
  </r>
  <r>
    <s v="FZ00199"/>
    <n v="45294"/>
    <n v="45307"/>
    <x v="1"/>
    <n v="200"/>
    <n v="1375.69"/>
    <n v="0.75"/>
    <n v="273074.46999999997"/>
    <x v="1"/>
    <n v="1114.49"/>
    <n v="222898"/>
    <n v="3936.22"/>
    <n v="387.63"/>
    <n v="494.68"/>
    <n v="227716.53"/>
    <n v="50176.47"/>
    <n v="45357.94"/>
    <s v="Paid"/>
    <n v="273074.46999999997"/>
    <n v="0"/>
    <s v="Delivered"/>
    <x v="2"/>
    <x v="2"/>
    <x v="7"/>
    <x v="5"/>
    <n v="1.82"/>
    <n v="45357.94"/>
    <n v="0.16610099069312487"/>
    <n v="0"/>
    <x v="0"/>
    <n v="1"/>
    <s v="January"/>
    <s v="2024-01"/>
  </r>
  <r>
    <s v="FZ00200"/>
    <n v="45555"/>
    <n v="45555"/>
    <x v="3"/>
    <n v="300"/>
    <n v="994.92"/>
    <n v="0.2"/>
    <n v="297879.05"/>
    <x v="0"/>
    <n v="731.01"/>
    <n v="219303"/>
    <n v="1996.18"/>
    <n v="1765.8"/>
    <n v="2452.35"/>
    <n v="225517.33"/>
    <n v="78576.05"/>
    <n v="72361.72"/>
    <s v="Paid"/>
    <n v="297879.05"/>
    <n v="0"/>
    <s v="Delivered"/>
    <x v="5"/>
    <x v="2"/>
    <x v="18"/>
    <x v="3"/>
    <n v="0.52"/>
    <n v="72361.72"/>
    <n v="0.2429231595844018"/>
    <n v="0"/>
    <x v="0"/>
    <n v="9"/>
    <s v="September"/>
    <s v="2024-09"/>
  </r>
  <r>
    <s v="FZ00201"/>
    <n v="45378"/>
    <n v="45380"/>
    <x v="0"/>
    <n v="200"/>
    <n v="920.03"/>
    <n v="7.0000000000000007E-2"/>
    <n v="183877.2"/>
    <x v="2"/>
    <n v="671.93"/>
    <n v="134386"/>
    <n v="2315.59"/>
    <n v="563.78"/>
    <n v="2048.3200000000002"/>
    <n v="139313.69"/>
    <n v="49491.199999999997"/>
    <n v="44563.51"/>
    <s v="Part-paid"/>
    <n v="99829.42"/>
    <n v="84047.78"/>
    <s v="Delivered"/>
    <x v="0"/>
    <x v="1"/>
    <x v="2"/>
    <x v="2"/>
    <n v="1.32"/>
    <n v="44563.51"/>
    <n v="0.24235473457285622"/>
    <n v="0"/>
    <x v="0"/>
    <n v="3"/>
    <s v="March"/>
    <s v="2024-03"/>
  </r>
  <r>
    <s v="FZ00202"/>
    <n v="45352"/>
    <n v="45366"/>
    <x v="0"/>
    <n v="250"/>
    <n v="831.4"/>
    <n v="0.48"/>
    <n v="206852.32"/>
    <x v="1"/>
    <n v="661.46"/>
    <n v="165365"/>
    <n v="3892.17"/>
    <n v="1318.13"/>
    <n v="1835.44"/>
    <n v="172410.74"/>
    <n v="41487.32"/>
    <n v="34441.58"/>
    <s v="Paid"/>
    <n v="206852.32"/>
    <n v="0"/>
    <s v="Delivered"/>
    <x v="5"/>
    <x v="2"/>
    <x v="10"/>
    <x v="5"/>
    <n v="2.42"/>
    <n v="34441.58"/>
    <n v="0.1665032328378043"/>
    <n v="0"/>
    <x v="0"/>
    <n v="3"/>
    <s v="March"/>
    <s v="2024-03"/>
  </r>
  <r>
    <s v="FZ00203"/>
    <n v="45539"/>
    <n v="45539"/>
    <x v="1"/>
    <n v="250"/>
    <n v="1363.56"/>
    <n v="1.4"/>
    <n v="336117.54"/>
    <x v="0"/>
    <n v="1031.1500000000001"/>
    <n v="257787.5"/>
    <n v="3808.34"/>
    <n v="1195.3"/>
    <n v="5612.14"/>
    <n v="268403.28000000003"/>
    <n v="78330.039999999994"/>
    <n v="67714.259999999995"/>
    <s v="Paid"/>
    <n v="336117.54"/>
    <n v="0"/>
    <s v="Collected"/>
    <x v="1"/>
    <x v="2"/>
    <x v="0"/>
    <x v="0"/>
    <n v="2.04"/>
    <n v="67714.259999999995"/>
    <n v="0.20146006066806271"/>
    <n v="0"/>
    <x v="0"/>
    <n v="9"/>
    <s v="September"/>
    <s v="2024-09"/>
  </r>
  <r>
    <s v="FZ00204"/>
    <n v="45892"/>
    <n v="45892"/>
    <x v="0"/>
    <n v="200"/>
    <n v="867.62"/>
    <n v="2.11"/>
    <n v="169862.64"/>
    <x v="3"/>
    <n v="727.29"/>
    <n v="145458"/>
    <n v="4255.83"/>
    <n v="451.03"/>
    <n v="9176.2099999999991"/>
    <n v="159341.07"/>
    <n v="24404.639999999999"/>
    <n v="10521.57"/>
    <s v="Paid"/>
    <n v="169862.64"/>
    <n v="0"/>
    <s v="Delivered"/>
    <x v="4"/>
    <x v="1"/>
    <x v="8"/>
    <x v="5"/>
    <n v="1.53"/>
    <n v="10521.57"/>
    <n v="6.1941637078053176E-2"/>
    <n v="0"/>
    <x v="1"/>
    <n v="8"/>
    <s v="August"/>
    <s v="2025-08"/>
  </r>
  <r>
    <s v="FZ00205"/>
    <n v="45954"/>
    <m/>
    <x v="1"/>
    <n v="500"/>
    <n v="1376.25"/>
    <n v="0.69"/>
    <n v="683376.94"/>
    <x v="0"/>
    <n v="1066.3399999999999"/>
    <n v="533170"/>
    <n v="2588.8200000000002"/>
    <n v="1514.86"/>
    <n v="1947.84"/>
    <n v="539221.52"/>
    <n v="150206.94"/>
    <n v="144155.42000000001"/>
    <s v="Paid"/>
    <n v="683376.94"/>
    <n v="0"/>
    <s v="Pending"/>
    <x v="5"/>
    <x v="1"/>
    <x v="22"/>
    <x v="5"/>
    <n v="1.44"/>
    <n v="144155.42000000001"/>
    <n v="0.21094568979749306"/>
    <n v="0"/>
    <x v="1"/>
    <n v="10"/>
    <s v="October"/>
    <s v="2025-10"/>
  </r>
  <r>
    <s v="FZ00206"/>
    <n v="45805"/>
    <n v="45806"/>
    <x v="2"/>
    <n v="150"/>
    <n v="690.76"/>
    <n v="1.36"/>
    <n v="102204.85"/>
    <x v="1"/>
    <n v="590.96"/>
    <n v="88644"/>
    <n v="2900.99"/>
    <n v="787.58"/>
    <n v="6830.33"/>
    <n v="99162.9"/>
    <n v="13560.85"/>
    <n v="3041.95"/>
    <s v="Unpaid"/>
    <n v="0"/>
    <n v="102204.85"/>
    <s v="Delivered"/>
    <x v="3"/>
    <x v="1"/>
    <x v="32"/>
    <x v="0"/>
    <n v="1.95"/>
    <n v="3041.95"/>
    <n v="2.9763264659162451E-2"/>
    <n v="0"/>
    <x v="1"/>
    <n v="5"/>
    <s v="May"/>
    <s v="2025-05"/>
  </r>
  <r>
    <s v="FZ00207"/>
    <n v="45711"/>
    <n v="45718"/>
    <x v="1"/>
    <n v="100"/>
    <n v="1254.8599999999999"/>
    <n v="0.99"/>
    <n v="124243.69"/>
    <x v="1"/>
    <n v="1111.17"/>
    <n v="111117"/>
    <n v="1791.84"/>
    <n v="151.99"/>
    <n v="2663.26"/>
    <n v="115724.09"/>
    <n v="13126.69"/>
    <n v="8519.6"/>
    <s v="Part-paid"/>
    <n v="79311.98"/>
    <n v="44931.71"/>
    <s v="Delivered"/>
    <x v="3"/>
    <x v="3"/>
    <x v="5"/>
    <x v="4"/>
    <n v="1.66"/>
    <n v="8519.6"/>
    <n v="6.8571691648887767E-2"/>
    <n v="0"/>
    <x v="1"/>
    <n v="2"/>
    <s v="February"/>
    <s v="2025-02"/>
  </r>
  <r>
    <s v="FZ00208"/>
    <n v="45717"/>
    <n v="45721"/>
    <x v="0"/>
    <n v="50"/>
    <n v="865.85"/>
    <n v="0.79"/>
    <n v="42950.49"/>
    <x v="1"/>
    <n v="671.42"/>
    <n v="33571"/>
    <n v="557.33000000000004"/>
    <n v="290.62"/>
    <n v="4733.6499999999996"/>
    <n v="39152.6"/>
    <n v="9379.49"/>
    <n v="3797.89"/>
    <s v="Paid"/>
    <n v="42950.49"/>
    <n v="0"/>
    <s v="Delivered"/>
    <x v="5"/>
    <x v="3"/>
    <x v="11"/>
    <x v="5"/>
    <n v="2.33"/>
    <n v="3797.89"/>
    <n v="8.8424835199784682E-2"/>
    <n v="0"/>
    <x v="1"/>
    <n v="3"/>
    <s v="March"/>
    <s v="2025-03"/>
  </r>
  <r>
    <s v="FZ00209"/>
    <n v="45662"/>
    <n v="45676"/>
    <x v="0"/>
    <n v="100"/>
    <n v="898.37"/>
    <n v="2.14"/>
    <n v="87914.49"/>
    <x v="0"/>
    <n v="651.52"/>
    <n v="65152"/>
    <n v="1496.41"/>
    <n v="172.44"/>
    <n v="11173.09"/>
    <n v="77993.94"/>
    <n v="22762.49"/>
    <n v="9920.5499999999993"/>
    <s v="Unpaid"/>
    <n v="0"/>
    <n v="87914.49"/>
    <s v="Delivered"/>
    <x v="5"/>
    <x v="3"/>
    <x v="18"/>
    <x v="3"/>
    <n v="1.75"/>
    <n v="9920.5499999999993"/>
    <n v="0.11284317295135306"/>
    <n v="0"/>
    <x v="1"/>
    <n v="1"/>
    <s v="January"/>
    <s v="2025-01"/>
  </r>
  <r>
    <s v="FZ00210"/>
    <n v="45858"/>
    <n v="45867"/>
    <x v="3"/>
    <n v="1000"/>
    <n v="942.76"/>
    <n v="3.7"/>
    <n v="907877.88"/>
    <x v="3"/>
    <n v="755.98"/>
    <n v="755980"/>
    <n v="5811.98"/>
    <n v="1836.13"/>
    <n v="10824.69"/>
    <n v="774452.8"/>
    <n v="151897.88"/>
    <n v="133425.07999999999"/>
    <s v="Paid"/>
    <n v="907877.88"/>
    <n v="0"/>
    <s v="Delivered"/>
    <x v="5"/>
    <x v="2"/>
    <x v="29"/>
    <x v="0"/>
    <n v="2.2599999999999998"/>
    <n v="133425.07999999999"/>
    <n v="0.14696368634953413"/>
    <n v="0"/>
    <x v="1"/>
    <n v="7"/>
    <s v="July"/>
    <s v="2025-07"/>
  </r>
  <r>
    <s v="FZ00211"/>
    <n v="45737"/>
    <n v="45743"/>
    <x v="3"/>
    <n v="250"/>
    <n v="921.72"/>
    <n v="0.53"/>
    <n v="229208.72"/>
    <x v="2"/>
    <n v="746.62"/>
    <n v="186655"/>
    <n v="2614.65"/>
    <n v="1425.95"/>
    <n v="10865"/>
    <n v="201560.6"/>
    <n v="42553.72"/>
    <n v="27648.12"/>
    <s v="Paid"/>
    <n v="229208.72"/>
    <n v="0"/>
    <s v="Delivered"/>
    <x v="0"/>
    <x v="1"/>
    <x v="34"/>
    <x v="4"/>
    <n v="1.61"/>
    <n v="27648.12"/>
    <n v="0.12062420661831713"/>
    <n v="0"/>
    <x v="1"/>
    <n v="3"/>
    <s v="March"/>
    <s v="2025-03"/>
  </r>
  <r>
    <s v="FZ00212"/>
    <n v="45932"/>
    <n v="45935"/>
    <x v="0"/>
    <n v="1000"/>
    <n v="942.13"/>
    <n v="3.44"/>
    <n v="909720.73"/>
    <x v="0"/>
    <n v="698.02"/>
    <n v="698020"/>
    <n v="16921.64"/>
    <n v="2718.86"/>
    <n v="7370.08"/>
    <n v="725030.58"/>
    <n v="211700.73"/>
    <n v="184690.15"/>
    <s v="Unpaid"/>
    <n v="0"/>
    <n v="909720.73"/>
    <s v="Delivered"/>
    <x v="1"/>
    <x v="1"/>
    <x v="10"/>
    <x v="5"/>
    <n v="1.19"/>
    <n v="184690.15"/>
    <n v="0.20301851316502373"/>
    <n v="0"/>
    <x v="1"/>
    <n v="10"/>
    <s v="October"/>
    <s v="2025-10"/>
  </r>
  <r>
    <s v="FZ00213"/>
    <n v="45535"/>
    <n v="45542"/>
    <x v="0"/>
    <n v="150"/>
    <n v="877.52"/>
    <n v="1.18"/>
    <n v="130074.79"/>
    <x v="2"/>
    <n v="732.42"/>
    <n v="109863"/>
    <n v="2604.6799999999998"/>
    <n v="828.88"/>
    <n v="1288.4100000000001"/>
    <n v="114584.97"/>
    <n v="20211.79"/>
    <n v="15489.82"/>
    <s v="Unpaid"/>
    <n v="0"/>
    <n v="130074.79"/>
    <s v="Delivered"/>
    <x v="1"/>
    <x v="0"/>
    <x v="14"/>
    <x v="1"/>
    <n v="0.12"/>
    <n v="15489.82"/>
    <n v="0.11908395162506125"/>
    <n v="0"/>
    <x v="0"/>
    <n v="8"/>
    <s v="August"/>
    <s v="2024-08"/>
  </r>
  <r>
    <s v="FZ00214"/>
    <n v="45402"/>
    <n v="45413"/>
    <x v="2"/>
    <n v="100"/>
    <n v="769.75"/>
    <n v="1.91"/>
    <n v="75504.78"/>
    <x v="0"/>
    <n v="570.46"/>
    <n v="57046"/>
    <n v="909.48"/>
    <n v="164.13"/>
    <n v="5216.75"/>
    <n v="63336.36"/>
    <n v="18458.78"/>
    <n v="12168.42"/>
    <s v="Paid"/>
    <n v="75504.78"/>
    <n v="0"/>
    <s v="Delivered"/>
    <x v="4"/>
    <x v="1"/>
    <x v="29"/>
    <x v="0"/>
    <n v="0.97"/>
    <n v="12168.42"/>
    <n v="0.16116092252702413"/>
    <n v="0"/>
    <x v="0"/>
    <n v="4"/>
    <s v="April"/>
    <s v="2024-04"/>
  </r>
  <r>
    <s v="FZ00215"/>
    <n v="45907"/>
    <n v="45907"/>
    <x v="3"/>
    <n v="150"/>
    <n v="933.53"/>
    <n v="1.19"/>
    <n v="138363.15"/>
    <x v="1"/>
    <n v="778.67"/>
    <n v="116800.5"/>
    <n v="2609.11"/>
    <n v="880.45"/>
    <n v="4218.0600000000004"/>
    <n v="124508.12"/>
    <n v="21562.65"/>
    <n v="13855.03"/>
    <s v="Paid"/>
    <n v="138363.15"/>
    <n v="0"/>
    <s v="Collected"/>
    <x v="0"/>
    <x v="1"/>
    <x v="23"/>
    <x v="4"/>
    <n v="0.63"/>
    <n v="13855.03"/>
    <n v="0.10013526000239227"/>
    <n v="0"/>
    <x v="1"/>
    <n v="9"/>
    <s v="September"/>
    <s v="2025-09"/>
  </r>
  <r>
    <s v="FZ00216"/>
    <n v="45775"/>
    <n v="45776"/>
    <x v="0"/>
    <n v="750"/>
    <n v="904.95"/>
    <n v="2.63"/>
    <n v="660862.36"/>
    <x v="2"/>
    <n v="741.93"/>
    <n v="556447.5"/>
    <n v="16185.3"/>
    <n v="3303.51"/>
    <n v="2905.03"/>
    <n v="578841.34"/>
    <n v="104414.86"/>
    <n v="82021.02"/>
    <s v="Paid"/>
    <n v="660862.36"/>
    <n v="0"/>
    <s v="Delivered"/>
    <x v="1"/>
    <x v="1"/>
    <x v="13"/>
    <x v="5"/>
    <n v="2.0299999999999998"/>
    <n v="82021.02"/>
    <n v="0.12411210709594658"/>
    <n v="0"/>
    <x v="1"/>
    <n v="4"/>
    <s v="April"/>
    <s v="2025-04"/>
  </r>
  <r>
    <s v="FZ00217"/>
    <n v="45444"/>
    <n v="45458"/>
    <x v="0"/>
    <n v="200"/>
    <n v="810.55"/>
    <n v="0.14000000000000001"/>
    <n v="161883.04999999999"/>
    <x v="2"/>
    <n v="722.66"/>
    <n v="144532"/>
    <n v="2813.45"/>
    <n v="311.04000000000002"/>
    <n v="6517.78"/>
    <n v="154174.26999999999"/>
    <n v="17351.05"/>
    <n v="7708.78"/>
    <s v="Paid"/>
    <n v="161883.04999999999"/>
    <n v="0"/>
    <s v="Collected"/>
    <x v="3"/>
    <x v="2"/>
    <x v="18"/>
    <x v="3"/>
    <n v="0.14000000000000001"/>
    <n v="7708.78"/>
    <n v="4.7619438847983163E-2"/>
    <n v="0"/>
    <x v="0"/>
    <n v="6"/>
    <s v="June"/>
    <s v="2024-06"/>
  </r>
  <r>
    <s v="FZ00218"/>
    <n v="45763"/>
    <n v="45768"/>
    <x v="0"/>
    <n v="500"/>
    <n v="869.83"/>
    <n v="4.0199999999999996"/>
    <n v="417431.42"/>
    <x v="3"/>
    <n v="679.55"/>
    <n v="339775"/>
    <n v="9193.48"/>
    <n v="1046.9100000000001"/>
    <n v="8773.9599999999991"/>
    <n v="358789.35"/>
    <n v="77656.42"/>
    <n v="58642.07"/>
    <s v="Paid"/>
    <n v="417431.42"/>
    <n v="0"/>
    <s v="Delivered"/>
    <x v="5"/>
    <x v="1"/>
    <x v="16"/>
    <x v="1"/>
    <n v="2.21"/>
    <n v="58642.07"/>
    <n v="0.14048312415006997"/>
    <n v="0"/>
    <x v="1"/>
    <n v="4"/>
    <s v="April"/>
    <s v="2025-04"/>
  </r>
  <r>
    <s v="FZ00219"/>
    <n v="45790"/>
    <n v="45790"/>
    <x v="1"/>
    <n v="500"/>
    <n v="1305.78"/>
    <n v="3.13"/>
    <n v="632454.54"/>
    <x v="1"/>
    <n v="1103.83"/>
    <n v="551915"/>
    <n v="9356.08"/>
    <n v="1377.36"/>
    <n v="2259.4299999999998"/>
    <n v="564907.87"/>
    <n v="80539.539999999994"/>
    <n v="67546.67"/>
    <s v="Part-paid"/>
    <n v="279352.96000000002"/>
    <n v="353101.58"/>
    <s v="Delivered"/>
    <x v="0"/>
    <x v="0"/>
    <x v="6"/>
    <x v="2"/>
    <n v="1.06"/>
    <n v="67546.67"/>
    <n v="0.10680083030157392"/>
    <n v="0"/>
    <x v="1"/>
    <n v="5"/>
    <s v="May"/>
    <s v="2025-05"/>
  </r>
  <r>
    <s v="FZ00220"/>
    <n v="45911"/>
    <m/>
    <x v="0"/>
    <n v="50"/>
    <n v="942.35"/>
    <n v="1.2"/>
    <n v="46552.09"/>
    <x v="0"/>
    <n v="651.65"/>
    <n v="32582.5"/>
    <n v="691.67"/>
    <n v="293.14"/>
    <n v="9461.6299999999992"/>
    <n v="43028.94"/>
    <n v="13969.59"/>
    <n v="3523.15"/>
    <s v="Paid"/>
    <n v="46552.09"/>
    <n v="0"/>
    <s v="Pending"/>
    <x v="0"/>
    <x v="1"/>
    <x v="35"/>
    <x v="4"/>
    <n v="1.64"/>
    <n v="3523.15"/>
    <n v="7.5681886677912855E-2"/>
    <n v="0"/>
    <x v="1"/>
    <n v="9"/>
    <s v="September"/>
    <s v="2025-09"/>
  </r>
  <r>
    <s v="FZ00221"/>
    <n v="45577"/>
    <n v="45588"/>
    <x v="1"/>
    <n v="150"/>
    <n v="1373.54"/>
    <n v="2.21"/>
    <n v="201477.71"/>
    <x v="1"/>
    <n v="1051.02"/>
    <n v="157653"/>
    <n v="2411.33"/>
    <n v="610.04999999999995"/>
    <n v="10296.379999999999"/>
    <n v="170970.76"/>
    <n v="43824.71"/>
    <n v="30506.95"/>
    <s v="Paid"/>
    <n v="201477.71"/>
    <n v="0"/>
    <s v="Delivered"/>
    <x v="5"/>
    <x v="0"/>
    <x v="17"/>
    <x v="3"/>
    <n v="2.2400000000000002"/>
    <n v="30506.95"/>
    <n v="0.1514160052742311"/>
    <n v="0"/>
    <x v="0"/>
    <n v="10"/>
    <s v="October"/>
    <s v="2024-10"/>
  </r>
  <r>
    <s v="FZ00222"/>
    <n v="45839"/>
    <n v="45840"/>
    <x v="0"/>
    <n v="150"/>
    <n v="830.16"/>
    <n v="2.1"/>
    <n v="121909"/>
    <x v="1"/>
    <n v="648.99"/>
    <n v="97348.5"/>
    <n v="1907.32"/>
    <n v="751.1"/>
    <n v="5437.95"/>
    <n v="105444.87"/>
    <n v="24560.5"/>
    <n v="16464.13"/>
    <s v="Paid"/>
    <n v="121909"/>
    <n v="0"/>
    <s v="Delivered"/>
    <x v="4"/>
    <x v="0"/>
    <x v="27"/>
    <x v="2"/>
    <n v="0.2"/>
    <n v="16464.13"/>
    <n v="0.1350526212174655"/>
    <n v="0"/>
    <x v="1"/>
    <n v="7"/>
    <s v="July"/>
    <s v="2025-07"/>
  </r>
  <r>
    <s v="FZ00223"/>
    <n v="45365"/>
    <n v="45366"/>
    <x v="0"/>
    <n v="100"/>
    <n v="930.96"/>
    <n v="1.53"/>
    <n v="91671.63"/>
    <x v="2"/>
    <n v="695.81"/>
    <n v="69581"/>
    <n v="1446.61"/>
    <n v="421.75"/>
    <n v="11826.97"/>
    <n v="83276.33"/>
    <n v="22090.63"/>
    <n v="8395.2999999999993"/>
    <s v="Part-paid"/>
    <n v="23460.52"/>
    <n v="68211.11"/>
    <s v="Delivered"/>
    <x v="0"/>
    <x v="4"/>
    <x v="36"/>
    <x v="3"/>
    <n v="0.79"/>
    <n v="8395.2999999999993"/>
    <n v="9.1580132261202277E-2"/>
    <n v="0"/>
    <x v="0"/>
    <n v="3"/>
    <s v="March"/>
    <s v="2024-03"/>
  </r>
  <r>
    <s v="FZ00224"/>
    <n v="45422"/>
    <n v="45435"/>
    <x v="3"/>
    <n v="100"/>
    <n v="926.51"/>
    <n v="1.1200000000000001"/>
    <n v="91613.31"/>
    <x v="1"/>
    <n v="794.2"/>
    <n v="79420"/>
    <n v="727.3"/>
    <n v="213.86"/>
    <n v="236.94"/>
    <n v="80598.100000000006"/>
    <n v="12193.31"/>
    <n v="11015.21"/>
    <s v="Paid"/>
    <n v="91613.31"/>
    <n v="0"/>
    <s v="Collected"/>
    <x v="0"/>
    <x v="0"/>
    <x v="24"/>
    <x v="0"/>
    <n v="0.42"/>
    <n v="11015.21"/>
    <n v="0.12023591331870881"/>
    <n v="0"/>
    <x v="0"/>
    <n v="5"/>
    <s v="May"/>
    <s v="2024-05"/>
  </r>
  <r>
    <s v="FZ00225"/>
    <n v="45657"/>
    <n v="45663"/>
    <x v="0"/>
    <n v="1000"/>
    <n v="850.33"/>
    <n v="4.3499999999999996"/>
    <n v="813340.64"/>
    <x v="2"/>
    <n v="653.5"/>
    <n v="653500"/>
    <n v="18654.98"/>
    <n v="3076.99"/>
    <n v="3806.6"/>
    <n v="679038.57"/>
    <n v="159840.64000000001"/>
    <n v="134302.07"/>
    <s v="Paid"/>
    <n v="813340.64"/>
    <n v="0"/>
    <s v="Delivered"/>
    <x v="0"/>
    <x v="4"/>
    <x v="27"/>
    <x v="2"/>
    <n v="2.4"/>
    <n v="134302.07"/>
    <n v="0.16512401249247793"/>
    <n v="0"/>
    <x v="0"/>
    <n v="12"/>
    <s v="December"/>
    <s v="2024-12"/>
  </r>
  <r>
    <s v="FZ00226"/>
    <n v="45844"/>
    <m/>
    <x v="0"/>
    <n v="500"/>
    <n v="881.67"/>
    <n v="2.25"/>
    <n v="430916.21"/>
    <x v="1"/>
    <n v="746.07"/>
    <n v="373035"/>
    <n v="9744"/>
    <n v="926.15"/>
    <n v="5941.21"/>
    <n v="389646.36"/>
    <n v="57881.21"/>
    <n v="41269.85"/>
    <s v="Paid"/>
    <n v="430916.21"/>
    <n v="0"/>
    <s v="Pending"/>
    <x v="0"/>
    <x v="0"/>
    <x v="1"/>
    <x v="1"/>
    <n v="1.58"/>
    <n v="41269.85"/>
    <n v="9.5772331238130948E-2"/>
    <n v="0"/>
    <x v="1"/>
    <n v="7"/>
    <s v="July"/>
    <s v="2025-07"/>
  </r>
  <r>
    <s v="FZ00227"/>
    <n v="45647"/>
    <m/>
    <x v="2"/>
    <n v="150"/>
    <n v="785.15"/>
    <n v="0.71"/>
    <n v="116936.32000000001"/>
    <x v="0"/>
    <n v="568.76"/>
    <n v="85314"/>
    <n v="2328.61"/>
    <n v="828.93"/>
    <n v="3688.99"/>
    <n v="92160.53"/>
    <n v="31622.32"/>
    <n v="24775.79"/>
    <s v="Paid"/>
    <n v="116936.32000000001"/>
    <n v="0"/>
    <s v="Pending"/>
    <x v="2"/>
    <x v="3"/>
    <x v="30"/>
    <x v="0"/>
    <n v="1.44"/>
    <n v="24775.79"/>
    <n v="0.21187420640567448"/>
    <n v="0"/>
    <x v="0"/>
    <n v="12"/>
    <s v="December"/>
    <s v="2024-12"/>
  </r>
  <r>
    <s v="FZ00228"/>
    <n v="45465"/>
    <n v="45473"/>
    <x v="0"/>
    <n v="200"/>
    <n v="851.51"/>
    <n v="1.67"/>
    <n v="167457.96"/>
    <x v="0"/>
    <n v="683.54"/>
    <n v="136708"/>
    <n v="3494.38"/>
    <n v="1046.22"/>
    <n v="9395.42"/>
    <n v="150644.01999999999"/>
    <n v="30749.96"/>
    <n v="16813.939999999999"/>
    <s v="Paid"/>
    <n v="167457.96"/>
    <n v="0"/>
    <s v="Collected"/>
    <x v="1"/>
    <x v="1"/>
    <x v="2"/>
    <x v="2"/>
    <n v="0.04"/>
    <n v="16813.939999999999"/>
    <n v="0.10040693198460079"/>
    <n v="0"/>
    <x v="0"/>
    <n v="6"/>
    <s v="June"/>
    <s v="2024-06"/>
  </r>
  <r>
    <s v="FZ00229"/>
    <n v="45776"/>
    <n v="45789"/>
    <x v="0"/>
    <n v="1000"/>
    <n v="819.01"/>
    <n v="1.1000000000000001"/>
    <n v="810000.89"/>
    <x v="3"/>
    <n v="679.91"/>
    <n v="679910"/>
    <n v="8670.19"/>
    <n v="4897.18"/>
    <n v="3007.74"/>
    <n v="696485.11"/>
    <n v="130090.89"/>
    <n v="113515.78"/>
    <s v="Paid"/>
    <n v="810000.89"/>
    <n v="0"/>
    <s v="Delivered"/>
    <x v="4"/>
    <x v="1"/>
    <x v="13"/>
    <x v="5"/>
    <n v="1.72"/>
    <n v="113515.78"/>
    <n v="0.140142784287558"/>
    <n v="0"/>
    <x v="1"/>
    <n v="4"/>
    <s v="April"/>
    <s v="2025-04"/>
  </r>
  <r>
    <s v="FZ00230"/>
    <n v="45371"/>
    <n v="45382"/>
    <x v="1"/>
    <n v="150"/>
    <n v="1289.26"/>
    <n v="0.74"/>
    <n v="191957.92"/>
    <x v="0"/>
    <n v="1062.8399999999999"/>
    <n v="159426"/>
    <n v="1553.6"/>
    <n v="251.17"/>
    <n v="9319.92"/>
    <n v="170550.69"/>
    <n v="32531.919999999998"/>
    <n v="21407.23"/>
    <s v="Part-paid"/>
    <n v="155747.73000000001"/>
    <n v="36210.19"/>
    <s v="Delivered"/>
    <x v="4"/>
    <x v="1"/>
    <x v="18"/>
    <x v="3"/>
    <n v="1.46"/>
    <n v="21407.23"/>
    <n v="0.11152043114449249"/>
    <n v="0"/>
    <x v="0"/>
    <n v="3"/>
    <s v="March"/>
    <s v="2024-03"/>
  </r>
  <r>
    <s v="FZ00231"/>
    <n v="45493"/>
    <m/>
    <x v="3"/>
    <n v="50"/>
    <n v="982.93"/>
    <n v="1.65"/>
    <n v="48335.58"/>
    <x v="0"/>
    <n v="769.35"/>
    <n v="38467.5"/>
    <n v="966.03"/>
    <n v="215.88"/>
    <n v="5053.45"/>
    <n v="44702.86"/>
    <n v="9868.08"/>
    <n v="3632.72"/>
    <s v="Paid"/>
    <n v="48335.58"/>
    <n v="0"/>
    <s v="Pending"/>
    <x v="0"/>
    <x v="3"/>
    <x v="20"/>
    <x v="2"/>
    <n v="1.29"/>
    <n v="3632.72"/>
    <n v="7.5156230669001997E-2"/>
    <n v="0"/>
    <x v="0"/>
    <n v="7"/>
    <s v="July"/>
    <s v="2024-07"/>
  </r>
  <r>
    <s v="FZ00232"/>
    <n v="45600"/>
    <n v="45609"/>
    <x v="0"/>
    <n v="200"/>
    <n v="929.02"/>
    <n v="2.0699999999999998"/>
    <n v="181957.86"/>
    <x v="0"/>
    <n v="719.11"/>
    <n v="143822"/>
    <n v="2273.8200000000002"/>
    <n v="456.39"/>
    <n v="4161.42"/>
    <n v="150713.63"/>
    <n v="38135.86"/>
    <n v="31244.23"/>
    <s v="Paid"/>
    <n v="181957.86"/>
    <n v="0"/>
    <s v="Delivered"/>
    <x v="2"/>
    <x v="1"/>
    <x v="32"/>
    <x v="0"/>
    <n v="1.81"/>
    <n v="31244.23"/>
    <n v="0.17171135118867634"/>
    <n v="0"/>
    <x v="0"/>
    <n v="11"/>
    <s v="November"/>
    <s v="2024-11"/>
  </r>
  <r>
    <s v="FZ00233"/>
    <n v="45544"/>
    <n v="45556"/>
    <x v="0"/>
    <n v="150"/>
    <n v="873.08"/>
    <n v="0.75"/>
    <n v="129979.78"/>
    <x v="2"/>
    <n v="735.27"/>
    <n v="110290.5"/>
    <n v="786.75"/>
    <n v="474.09"/>
    <n v="3630.91"/>
    <n v="115182.25"/>
    <n v="19689.28"/>
    <n v="14797.53"/>
    <s v="Part-paid"/>
    <n v="73014.03"/>
    <n v="56965.75"/>
    <s v="Delivered"/>
    <x v="0"/>
    <x v="1"/>
    <x v="9"/>
    <x v="1"/>
    <n v="1.58"/>
    <n v="14797.53"/>
    <n v="0.11384486110070352"/>
    <n v="0"/>
    <x v="0"/>
    <n v="9"/>
    <s v="September"/>
    <s v="2024-09"/>
  </r>
  <r>
    <s v="FZ00234"/>
    <n v="45672"/>
    <n v="45678"/>
    <x v="1"/>
    <n v="250"/>
    <n v="1218.6099999999999"/>
    <n v="1.97"/>
    <n v="298650.84999999998"/>
    <x v="2"/>
    <n v="1057.52"/>
    <n v="264380"/>
    <n v="4848.1000000000004"/>
    <n v="593.16"/>
    <n v="6794.79"/>
    <n v="276616.05"/>
    <n v="34270.85"/>
    <n v="22034.799999999999"/>
    <s v="Paid"/>
    <n v="298650.84999999998"/>
    <n v="0"/>
    <s v="Delivered"/>
    <x v="4"/>
    <x v="0"/>
    <x v="12"/>
    <x v="2"/>
    <n v="1.41"/>
    <n v="22034.799999999999"/>
    <n v="7.3781139414135277E-2"/>
    <n v="0"/>
    <x v="1"/>
    <n v="1"/>
    <s v="January"/>
    <s v="2025-01"/>
  </r>
  <r>
    <s v="FZ00235"/>
    <n v="45337"/>
    <n v="45345"/>
    <x v="2"/>
    <n v="1200"/>
    <n v="743.4"/>
    <n v="0.52"/>
    <n v="887441.18"/>
    <x v="2"/>
    <n v="566.54999999999995"/>
    <n v="679860"/>
    <n v="7072.41"/>
    <n v="2877.51"/>
    <n v="11946.64"/>
    <n v="701756.56"/>
    <n v="207581.18"/>
    <n v="185684.62"/>
    <s v="Paid"/>
    <n v="887441.18"/>
    <n v="0"/>
    <s v="Delivered"/>
    <x v="0"/>
    <x v="1"/>
    <x v="22"/>
    <x v="5"/>
    <n v="1.08"/>
    <n v="185684.62"/>
    <n v="0.20923597437747929"/>
    <n v="0"/>
    <x v="0"/>
    <n v="2"/>
    <s v="February"/>
    <s v="2024-02"/>
  </r>
  <r>
    <s v="FZ00236"/>
    <n v="45904"/>
    <n v="45917"/>
    <x v="4"/>
    <n v="150"/>
    <n v="3014.28"/>
    <n v="1.88"/>
    <n v="443641.73"/>
    <x v="0"/>
    <n v="2155.9899999999998"/>
    <n v="323398.5"/>
    <n v="1192.75"/>
    <n v="801.28"/>
    <n v="7554.04"/>
    <n v="332946.57"/>
    <n v="120243.23"/>
    <n v="110695.16"/>
    <s v="Paid"/>
    <n v="443641.73"/>
    <n v="0"/>
    <s v="Delivered"/>
    <x v="4"/>
    <x v="2"/>
    <x v="25"/>
    <x v="3"/>
    <n v="0.88"/>
    <n v="110695.16"/>
    <n v="0.24951476048026414"/>
    <n v="0"/>
    <x v="1"/>
    <n v="9"/>
    <s v="September"/>
    <s v="2025-09"/>
  </r>
  <r>
    <s v="FZ00237"/>
    <n v="45958"/>
    <m/>
    <x v="1"/>
    <n v="300"/>
    <n v="1269.26"/>
    <n v="2.33"/>
    <n v="371905.87"/>
    <x v="0"/>
    <n v="1121.49"/>
    <n v="336447"/>
    <n v="3907.31"/>
    <n v="660.91"/>
    <n v="9717.44"/>
    <n v="350732.66"/>
    <n v="35458.870000000003"/>
    <n v="21173.21"/>
    <s v="Paid"/>
    <n v="371905.87"/>
    <n v="0"/>
    <s v="Pending"/>
    <x v="0"/>
    <x v="1"/>
    <x v="7"/>
    <x v="5"/>
    <n v="1.96"/>
    <n v="21173.21"/>
    <n v="5.6931637029552666E-2"/>
    <n v="0"/>
    <x v="1"/>
    <n v="10"/>
    <s v="October"/>
    <s v="2025-10"/>
  </r>
  <r>
    <s v="FZ00238"/>
    <n v="45651"/>
    <n v="45660"/>
    <x v="1"/>
    <n v="750"/>
    <n v="1214.25"/>
    <n v="3.78"/>
    <n v="876263.51"/>
    <x v="2"/>
    <n v="1114.29"/>
    <n v="835717.5"/>
    <n v="11346.37"/>
    <n v="1257.71"/>
    <n v="3774.31"/>
    <n v="852095.89"/>
    <n v="40546.01"/>
    <n v="24167.62"/>
    <s v="Paid"/>
    <n v="876263.51"/>
    <n v="0"/>
    <s v="Collected"/>
    <x v="1"/>
    <x v="1"/>
    <x v="7"/>
    <x v="5"/>
    <n v="1.79"/>
    <n v="24167.62"/>
    <n v="2.7580310858773521E-2"/>
    <n v="0"/>
    <x v="0"/>
    <n v="12"/>
    <s v="December"/>
    <s v="2024-12"/>
  </r>
  <r>
    <s v="FZ00239"/>
    <n v="45647"/>
    <n v="45650"/>
    <x v="4"/>
    <n v="250"/>
    <n v="2890.7"/>
    <n v="0.11"/>
    <n v="721880.06"/>
    <x v="0"/>
    <n v="2384.91"/>
    <n v="596227.5"/>
    <n v="5589.55"/>
    <n v="485.1"/>
    <n v="6592.95"/>
    <n v="608895.1"/>
    <n v="125652.56"/>
    <n v="112984.96000000001"/>
    <s v="Paid"/>
    <n v="721880.06"/>
    <n v="0"/>
    <s v="Delivered"/>
    <x v="4"/>
    <x v="0"/>
    <x v="24"/>
    <x v="0"/>
    <n v="1.56"/>
    <n v="112984.96000000001"/>
    <n v="0.15651486481009047"/>
    <n v="0"/>
    <x v="0"/>
    <n v="12"/>
    <s v="December"/>
    <s v="2024-12"/>
  </r>
  <r>
    <s v="FZ00240"/>
    <n v="45901"/>
    <n v="45914"/>
    <x v="0"/>
    <n v="200"/>
    <n v="930.69"/>
    <n v="1.0900000000000001"/>
    <n v="184109.1"/>
    <x v="2"/>
    <n v="737.83"/>
    <n v="147566"/>
    <n v="3118.35"/>
    <n v="552.12"/>
    <n v="196.41"/>
    <n v="151432.88"/>
    <n v="36543.1"/>
    <n v="32676.22"/>
    <s v="Paid"/>
    <n v="184109.1"/>
    <n v="0"/>
    <s v="Delivered"/>
    <x v="0"/>
    <x v="1"/>
    <x v="25"/>
    <x v="3"/>
    <n v="1.41"/>
    <n v="32676.22"/>
    <n v="0.17748291637947283"/>
    <n v="0"/>
    <x v="1"/>
    <n v="9"/>
    <s v="September"/>
    <s v="2025-09"/>
  </r>
  <r>
    <s v="FZ00241"/>
    <n v="45570"/>
    <n v="45570"/>
    <x v="1"/>
    <n v="500"/>
    <n v="1326.29"/>
    <n v="1.7"/>
    <n v="651871.54"/>
    <x v="0"/>
    <n v="1072.1400000000001"/>
    <n v="536070"/>
    <n v="7547.19"/>
    <n v="2123.08"/>
    <n v="10873.47"/>
    <n v="556613.74"/>
    <n v="115801.54"/>
    <n v="95257.8"/>
    <s v="Paid"/>
    <n v="651871.54"/>
    <n v="0"/>
    <s v="Delivered"/>
    <x v="3"/>
    <x v="3"/>
    <x v="13"/>
    <x v="5"/>
    <n v="2.23"/>
    <n v="95257.8"/>
    <n v="0.14612971138454672"/>
    <n v="0"/>
    <x v="0"/>
    <n v="10"/>
    <s v="October"/>
    <s v="2024-10"/>
  </r>
  <r>
    <s v="FZ00242"/>
    <n v="45759"/>
    <n v="45761"/>
    <x v="0"/>
    <n v="150"/>
    <n v="833.24"/>
    <n v="1.9"/>
    <n v="122611.27"/>
    <x v="2"/>
    <n v="664.4"/>
    <n v="99660"/>
    <n v="1117.07"/>
    <n v="409"/>
    <n v="914.05"/>
    <n v="102100.12"/>
    <n v="22951.27"/>
    <n v="20511.150000000001"/>
    <s v="Paid"/>
    <n v="122611.27"/>
    <n v="0"/>
    <s v="Delivered"/>
    <x v="5"/>
    <x v="2"/>
    <x v="21"/>
    <x v="0"/>
    <n v="2.0099999999999998"/>
    <n v="20511.150000000001"/>
    <n v="0.16728600886362241"/>
    <n v="0"/>
    <x v="1"/>
    <n v="4"/>
    <s v="April"/>
    <s v="2025-04"/>
  </r>
  <r>
    <s v="FZ00243"/>
    <n v="45919"/>
    <n v="45929"/>
    <x v="0"/>
    <n v="100"/>
    <n v="869.08"/>
    <n v="0.22"/>
    <n v="86716.800000000003"/>
    <x v="3"/>
    <n v="668.1"/>
    <n v="66810"/>
    <n v="1319.73"/>
    <n v="281.89"/>
    <n v="7770.2"/>
    <n v="76181.820000000007"/>
    <n v="19906.8"/>
    <n v="10534.98"/>
    <s v="Paid"/>
    <n v="86716.800000000003"/>
    <n v="0"/>
    <s v="Delivered"/>
    <x v="4"/>
    <x v="2"/>
    <x v="22"/>
    <x v="5"/>
    <n v="2.35"/>
    <n v="10534.98"/>
    <n v="0.12148718587401748"/>
    <n v="0"/>
    <x v="1"/>
    <n v="9"/>
    <s v="September"/>
    <s v="2025-09"/>
  </r>
  <r>
    <s v="FZ00244"/>
    <n v="45495"/>
    <n v="45501"/>
    <x v="1"/>
    <n v="200"/>
    <n v="1229.4100000000001"/>
    <n v="1.71"/>
    <n v="241677.42"/>
    <x v="3"/>
    <n v="1016.51"/>
    <n v="203302"/>
    <n v="4607.05"/>
    <n v="826.88"/>
    <n v="7269.12"/>
    <n v="216005.05"/>
    <n v="38375.42"/>
    <n v="25672.37"/>
    <s v="Paid"/>
    <n v="241677.42"/>
    <n v="0"/>
    <s v="Delivered"/>
    <x v="1"/>
    <x v="1"/>
    <x v="7"/>
    <x v="5"/>
    <n v="1.38"/>
    <n v="25672.37"/>
    <n v="0.10622576987126062"/>
    <n v="0"/>
    <x v="0"/>
    <n v="7"/>
    <s v="July"/>
    <s v="2024-07"/>
  </r>
  <r>
    <s v="FZ00245"/>
    <n v="45509"/>
    <n v="45521"/>
    <x v="0"/>
    <n v="100"/>
    <n v="813.39"/>
    <n v="1.85"/>
    <n v="79834.23"/>
    <x v="2"/>
    <n v="748.75"/>
    <n v="74875"/>
    <n v="2180.9499999999998"/>
    <n v="252.4"/>
    <n v="4188.92"/>
    <n v="81497.27"/>
    <n v="4959.2299999999996"/>
    <n v="-1663.04"/>
    <s v="Paid"/>
    <n v="79834.23"/>
    <n v="0"/>
    <s v="Delivered"/>
    <x v="0"/>
    <x v="4"/>
    <x v="21"/>
    <x v="0"/>
    <n v="2.02"/>
    <n v="-1663.04"/>
    <n v="-2.0831164777314191E-2"/>
    <n v="0"/>
    <x v="0"/>
    <n v="8"/>
    <s v="August"/>
    <s v="2024-08"/>
  </r>
  <r>
    <s v="FZ00246"/>
    <n v="46008"/>
    <n v="46011"/>
    <x v="0"/>
    <n v="200"/>
    <n v="869.24"/>
    <n v="0.77"/>
    <n v="172509.37"/>
    <x v="1"/>
    <n v="661.79"/>
    <n v="132358"/>
    <n v="1812.85"/>
    <n v="987.79"/>
    <n v="8480.93"/>
    <n v="143639.57"/>
    <n v="40151.370000000003"/>
    <n v="28869.8"/>
    <s v="Paid"/>
    <n v="172509.37"/>
    <n v="0"/>
    <s v="Collected"/>
    <x v="0"/>
    <x v="0"/>
    <x v="1"/>
    <x v="1"/>
    <n v="1.9"/>
    <n v="28869.8"/>
    <n v="0.16735206904993044"/>
    <n v="0"/>
    <x v="1"/>
    <n v="12"/>
    <s v="December"/>
    <s v="2025-12"/>
  </r>
  <r>
    <s v="FZ00247"/>
    <n v="45291"/>
    <n v="45301"/>
    <x v="1"/>
    <n v="500"/>
    <n v="1374.13"/>
    <n v="0.79"/>
    <n v="681637.19"/>
    <x v="0"/>
    <n v="994.41"/>
    <n v="497205"/>
    <n v="2531.69"/>
    <n v="2449.2600000000002"/>
    <n v="4025.74"/>
    <n v="506211.69"/>
    <n v="184432.19"/>
    <n v="175425.5"/>
    <s v="Paid"/>
    <n v="681637.19"/>
    <n v="0"/>
    <s v="Delivered"/>
    <x v="3"/>
    <x v="0"/>
    <x v="12"/>
    <x v="2"/>
    <n v="1.83"/>
    <n v="175425.5"/>
    <n v="0.25735905049429597"/>
    <n v="0"/>
    <x v="2"/>
    <n v="12"/>
    <s v="December"/>
    <s v="2023-12"/>
  </r>
  <r>
    <s v="FZ00248"/>
    <n v="45291"/>
    <n v="45304"/>
    <x v="1"/>
    <n v="500"/>
    <n v="1265.03"/>
    <n v="4.6399999999999997"/>
    <n v="603166.30000000005"/>
    <x v="2"/>
    <n v="1083.54"/>
    <n v="541770"/>
    <n v="4026.29"/>
    <n v="2975.62"/>
    <n v="10120.1"/>
    <n v="558892.01"/>
    <n v="61396.3"/>
    <n v="44274.29"/>
    <s v="Paid"/>
    <n v="603166.30000000005"/>
    <n v="0"/>
    <s v="Delivered"/>
    <x v="0"/>
    <x v="2"/>
    <x v="36"/>
    <x v="3"/>
    <n v="1.77"/>
    <n v="44274.29"/>
    <n v="7.3403122820356506E-2"/>
    <n v="0"/>
    <x v="2"/>
    <n v="12"/>
    <s v="December"/>
    <s v="2023-12"/>
  </r>
  <r>
    <s v="FZ00249"/>
    <n v="45699"/>
    <m/>
    <x v="4"/>
    <n v="150"/>
    <n v="2821.98"/>
    <n v="0.56000000000000005"/>
    <n v="420926.54"/>
    <x v="3"/>
    <n v="2449.4499999999998"/>
    <n v="367417.5"/>
    <n v="3467.66"/>
    <n v="370.8"/>
    <n v="4931.6899999999996"/>
    <n v="376187.65"/>
    <n v="53509.04"/>
    <n v="44738.89"/>
    <s v="Part-paid"/>
    <n v="235888.78"/>
    <n v="185037.76"/>
    <s v="Pending"/>
    <x v="3"/>
    <x v="1"/>
    <x v="10"/>
    <x v="5"/>
    <n v="1.17"/>
    <n v="44738.89"/>
    <n v="0.10628669316028398"/>
    <n v="0"/>
    <x v="1"/>
    <n v="2"/>
    <s v="February"/>
    <s v="2025-02"/>
  </r>
  <r>
    <s v="FZ00250"/>
    <n v="45405"/>
    <n v="45418"/>
    <x v="0"/>
    <n v="500"/>
    <n v="902.02"/>
    <n v="4.6399999999999997"/>
    <n v="430083.14"/>
    <x v="2"/>
    <n v="702.81"/>
    <n v="351405"/>
    <n v="6437.21"/>
    <n v="1956.45"/>
    <n v="9743.6299999999992"/>
    <n v="369542.29"/>
    <n v="78678.14"/>
    <n v="60540.85"/>
    <s v="Paid"/>
    <n v="430083.14"/>
    <n v="0"/>
    <s v="Collected"/>
    <x v="3"/>
    <x v="1"/>
    <x v="9"/>
    <x v="1"/>
    <n v="0.1"/>
    <n v="60540.85"/>
    <n v="0.1407654575810621"/>
    <n v="0"/>
    <x v="0"/>
    <n v="4"/>
    <s v="April"/>
    <s v="2024-04"/>
  </r>
  <r>
    <s v="FZ00251"/>
    <n v="45320"/>
    <m/>
    <x v="1"/>
    <n v="150"/>
    <n v="1211.44"/>
    <n v="0.17"/>
    <n v="181407.08"/>
    <x v="2"/>
    <n v="1073.72"/>
    <n v="161058"/>
    <n v="2191.34"/>
    <n v="471.64"/>
    <n v="3865.45"/>
    <n v="167586.43"/>
    <n v="20349.080000000002"/>
    <n v="13820.65"/>
    <s v="Paid"/>
    <n v="181407.08"/>
    <n v="0"/>
    <s v="Pending"/>
    <x v="0"/>
    <x v="0"/>
    <x v="16"/>
    <x v="1"/>
    <n v="1.95"/>
    <n v="13820.65"/>
    <n v="7.6185835745771341E-2"/>
    <n v="0"/>
    <x v="0"/>
    <n v="1"/>
    <s v="January"/>
    <s v="2024-01"/>
  </r>
  <r>
    <s v="FZ00252"/>
    <n v="45704"/>
    <n v="45704"/>
    <x v="0"/>
    <n v="300"/>
    <n v="835.77"/>
    <n v="2.15"/>
    <n v="245340.28"/>
    <x v="2"/>
    <n v="707.25"/>
    <n v="212175"/>
    <n v="6250.23"/>
    <n v="1268.0899999999999"/>
    <n v="10727.3"/>
    <n v="230420.62"/>
    <n v="33165.279999999999"/>
    <n v="14919.66"/>
    <s v="Paid"/>
    <n v="245340.28"/>
    <n v="0"/>
    <s v="Delivered"/>
    <x v="5"/>
    <x v="3"/>
    <x v="25"/>
    <x v="3"/>
    <n v="0.38"/>
    <n v="14919.66"/>
    <n v="6.0812109613635396E-2"/>
    <n v="0"/>
    <x v="1"/>
    <n v="2"/>
    <s v="February"/>
    <s v="2025-02"/>
  </r>
  <r>
    <s v="FZ00253"/>
    <n v="45649"/>
    <n v="45660"/>
    <x v="0"/>
    <n v="500"/>
    <n v="831.66"/>
    <n v="3.2"/>
    <n v="402523.44"/>
    <x v="2"/>
    <n v="709.72"/>
    <n v="354860"/>
    <n v="2857.1"/>
    <n v="1246.77"/>
    <n v="10784.76"/>
    <n v="369748.63"/>
    <n v="47663.44"/>
    <n v="32774.81"/>
    <s v="Paid"/>
    <n v="402523.44"/>
    <n v="0"/>
    <s v="Delivered"/>
    <x v="0"/>
    <x v="0"/>
    <x v="22"/>
    <x v="5"/>
    <n v="0.8"/>
    <n v="32774.81"/>
    <n v="8.142335760620549E-2"/>
    <n v="0"/>
    <x v="0"/>
    <n v="12"/>
    <s v="December"/>
    <s v="2024-12"/>
  </r>
  <r>
    <s v="FZ00254"/>
    <n v="45809"/>
    <n v="45816"/>
    <x v="0"/>
    <n v="300"/>
    <n v="866.99"/>
    <n v="1.26"/>
    <n v="256819.78"/>
    <x v="2"/>
    <n v="731.9"/>
    <n v="219570"/>
    <n v="2692.7"/>
    <n v="520.23"/>
    <n v="203.94"/>
    <n v="222986.87"/>
    <n v="37249.78"/>
    <n v="33832.910000000003"/>
    <s v="Paid"/>
    <n v="256819.78"/>
    <n v="0"/>
    <s v="Delivered"/>
    <x v="4"/>
    <x v="2"/>
    <x v="7"/>
    <x v="5"/>
    <n v="0.24"/>
    <n v="33832.910000000003"/>
    <n v="0.13173794479537365"/>
    <n v="0"/>
    <x v="1"/>
    <n v="6"/>
    <s v="June"/>
    <s v="2025-06"/>
  </r>
  <r>
    <s v="FZ00255"/>
    <n v="45995"/>
    <n v="46002"/>
    <x v="1"/>
    <n v="150"/>
    <n v="1282.69"/>
    <n v="2.19"/>
    <n v="188189.86"/>
    <x v="0"/>
    <n v="971.92"/>
    <n v="145788"/>
    <n v="1912.78"/>
    <n v="383.32"/>
    <n v="1332.43"/>
    <n v="149416.53"/>
    <n v="42401.86"/>
    <n v="38773.33"/>
    <s v="Paid"/>
    <n v="188189.86"/>
    <n v="0"/>
    <s v="Delivered"/>
    <x v="3"/>
    <x v="3"/>
    <x v="10"/>
    <x v="5"/>
    <n v="0.85"/>
    <n v="38773.33"/>
    <n v="0.20603304556366642"/>
    <n v="0"/>
    <x v="1"/>
    <n v="12"/>
    <s v="December"/>
    <s v="2025-12"/>
  </r>
  <r>
    <s v="FZ00256"/>
    <n v="45574"/>
    <n v="45587"/>
    <x v="3"/>
    <n v="500"/>
    <n v="1021.39"/>
    <n v="3.21"/>
    <n v="494301.69"/>
    <x v="0"/>
    <n v="804.35"/>
    <n v="402175"/>
    <n v="8330.9"/>
    <n v="2050.1799999999998"/>
    <n v="1276.47"/>
    <n v="413832.55"/>
    <n v="92126.69"/>
    <n v="80469.14"/>
    <s v="Paid"/>
    <n v="494301.69"/>
    <n v="0"/>
    <s v="Delivered"/>
    <x v="1"/>
    <x v="3"/>
    <x v="6"/>
    <x v="2"/>
    <n v="1.18"/>
    <n v="80469.14"/>
    <n v="0.16279357653015508"/>
    <n v="0"/>
    <x v="0"/>
    <n v="10"/>
    <s v="October"/>
    <s v="2024-10"/>
  </r>
  <r>
    <s v="FZ00257"/>
    <n v="45775"/>
    <n v="45787"/>
    <x v="0"/>
    <n v="1200"/>
    <n v="872.81"/>
    <n v="3.33"/>
    <n v="1012494.51"/>
    <x v="2"/>
    <n v="746.89"/>
    <n v="896268"/>
    <n v="20287.04"/>
    <n v="3964.21"/>
    <n v="10408.049999999999"/>
    <n v="930927.3"/>
    <n v="116226.51"/>
    <n v="81567.210000000006"/>
    <s v="Paid"/>
    <n v="1012494.51"/>
    <n v="0"/>
    <s v="Delivered"/>
    <x v="5"/>
    <x v="0"/>
    <x v="32"/>
    <x v="0"/>
    <n v="0.84"/>
    <n v="81567.210000000006"/>
    <n v="8.0560644225122768E-2"/>
    <n v="0"/>
    <x v="1"/>
    <n v="4"/>
    <s v="April"/>
    <s v="2025-04"/>
  </r>
  <r>
    <s v="FZ00258"/>
    <n v="45942"/>
    <n v="45946"/>
    <x v="0"/>
    <n v="200"/>
    <n v="943.37"/>
    <n v="2.13"/>
    <n v="184655.24"/>
    <x v="2"/>
    <n v="712.21"/>
    <n v="142442"/>
    <n v="4372.1899999999996"/>
    <n v="1138.3900000000001"/>
    <n v="2456.38"/>
    <n v="150408.95999999999"/>
    <n v="42213.24"/>
    <n v="34246.28"/>
    <s v="Paid"/>
    <n v="184655.24"/>
    <n v="0"/>
    <s v="Delivered"/>
    <x v="1"/>
    <x v="1"/>
    <x v="9"/>
    <x v="1"/>
    <n v="2.2799999999999998"/>
    <n v="34246.28"/>
    <n v="0.1854606454709869"/>
    <n v="0"/>
    <x v="1"/>
    <n v="10"/>
    <s v="October"/>
    <s v="2025-10"/>
  </r>
  <r>
    <s v="FZ00259"/>
    <n v="45456"/>
    <n v="45470"/>
    <x v="0"/>
    <n v="200"/>
    <n v="832.88"/>
    <n v="1.66"/>
    <n v="163810.84"/>
    <x v="0"/>
    <n v="697.56"/>
    <n v="139512"/>
    <n v="3452.3"/>
    <n v="568.92999999999995"/>
    <n v="6331.22"/>
    <n v="149864.45000000001"/>
    <n v="24298.84"/>
    <n v="13946.39"/>
    <s v="Paid"/>
    <n v="163810.84"/>
    <n v="0"/>
    <s v="Delivered"/>
    <x v="3"/>
    <x v="1"/>
    <x v="10"/>
    <x v="5"/>
    <n v="1.79"/>
    <n v="13946.39"/>
    <n v="8.5137161863036659E-2"/>
    <n v="0"/>
    <x v="0"/>
    <n v="6"/>
    <s v="June"/>
    <s v="2024-06"/>
  </r>
  <r>
    <s v="FZ00260"/>
    <n v="45809"/>
    <m/>
    <x v="1"/>
    <n v="300"/>
    <n v="1180.51"/>
    <n v="2.2999999999999998"/>
    <n v="346007.48"/>
    <x v="0"/>
    <n v="1031.44"/>
    <n v="309432"/>
    <n v="5170.2"/>
    <n v="1236.02"/>
    <n v="11306.29"/>
    <n v="327144.51"/>
    <n v="36575.480000000003"/>
    <n v="18862.97"/>
    <s v="Paid"/>
    <n v="346007.48"/>
    <n v="0"/>
    <s v="Pending"/>
    <x v="0"/>
    <x v="1"/>
    <x v="11"/>
    <x v="5"/>
    <n v="1.94"/>
    <n v="18862.97"/>
    <n v="5.4516075779633438E-2"/>
    <n v="0"/>
    <x v="1"/>
    <n v="6"/>
    <s v="June"/>
    <s v="2025-06"/>
  </r>
  <r>
    <s v="FZ00261"/>
    <n v="45403"/>
    <n v="45417"/>
    <x v="2"/>
    <n v="500"/>
    <n v="751.06"/>
    <n v="3.68"/>
    <n v="361710.5"/>
    <x v="2"/>
    <n v="533.26"/>
    <n v="266630"/>
    <n v="8500.58"/>
    <n v="1078.1500000000001"/>
    <n v="7665.59"/>
    <n v="283874.32"/>
    <n v="95080.5"/>
    <n v="77836.179999999993"/>
    <s v="Paid"/>
    <n v="361710.5"/>
    <n v="0"/>
    <s v="Delivered"/>
    <x v="0"/>
    <x v="3"/>
    <x v="8"/>
    <x v="5"/>
    <n v="2.2400000000000002"/>
    <n v="77836.179999999993"/>
    <n v="0.21518916370965177"/>
    <n v="0"/>
    <x v="0"/>
    <n v="4"/>
    <s v="April"/>
    <s v="2024-04"/>
  </r>
  <r>
    <s v="FZ00262"/>
    <n v="46012"/>
    <n v="46013"/>
    <x v="0"/>
    <n v="150"/>
    <n v="930.77"/>
    <n v="2.0099999999999998"/>
    <n v="136809.23000000001"/>
    <x v="2"/>
    <n v="660.95"/>
    <n v="99142.5"/>
    <n v="1379.23"/>
    <n v="264.39"/>
    <n v="9231.67"/>
    <n v="110017.79"/>
    <n v="37666.730000000003"/>
    <n v="26791.439999999999"/>
    <s v="Paid"/>
    <n v="136809.23000000001"/>
    <n v="0"/>
    <s v="Delivered"/>
    <x v="0"/>
    <x v="1"/>
    <x v="17"/>
    <x v="3"/>
    <n v="0.28000000000000003"/>
    <n v="26791.439999999999"/>
    <n v="0.19583064680650564"/>
    <n v="0"/>
    <x v="1"/>
    <n v="12"/>
    <s v="December"/>
    <s v="2025-12"/>
  </r>
  <r>
    <s v="FZ00263"/>
    <n v="45986"/>
    <n v="45999"/>
    <x v="0"/>
    <n v="500"/>
    <n v="874.99"/>
    <n v="4.01"/>
    <n v="419951.45"/>
    <x v="2"/>
    <n v="690.52"/>
    <n v="345260"/>
    <n v="6325.08"/>
    <n v="2745.73"/>
    <n v="2718.85"/>
    <n v="357049.66"/>
    <n v="74691.45"/>
    <n v="62901.79"/>
    <s v="Paid"/>
    <n v="419951.45"/>
    <n v="0"/>
    <s v="Collected"/>
    <x v="5"/>
    <x v="1"/>
    <x v="30"/>
    <x v="0"/>
    <n v="0.51"/>
    <n v="62901.79"/>
    <n v="0.14978348092380678"/>
    <n v="0"/>
    <x v="1"/>
    <n v="11"/>
    <s v="November"/>
    <s v="2025-11"/>
  </r>
  <r>
    <s v="FZ00264"/>
    <n v="45301"/>
    <n v="45302"/>
    <x v="0"/>
    <n v="750"/>
    <n v="819.59"/>
    <n v="3.61"/>
    <n v="592502.1"/>
    <x v="1"/>
    <n v="666.07"/>
    <n v="499552.5"/>
    <n v="11663.19"/>
    <n v="4449.05"/>
    <n v="5906.72"/>
    <n v="521571.46"/>
    <n v="92949.6"/>
    <n v="70930.64"/>
    <s v="Paid"/>
    <n v="592502.1"/>
    <n v="0"/>
    <s v="Delivered"/>
    <x v="3"/>
    <x v="1"/>
    <x v="13"/>
    <x v="5"/>
    <n v="1.1499999999999999"/>
    <n v="70930.64"/>
    <n v="0.11971373603570351"/>
    <n v="0"/>
    <x v="0"/>
    <n v="1"/>
    <s v="January"/>
    <s v="2024-01"/>
  </r>
  <r>
    <s v="FZ00265"/>
    <n v="45912"/>
    <n v="45919"/>
    <x v="2"/>
    <n v="200"/>
    <n v="757.04"/>
    <n v="1.0900000000000001"/>
    <n v="149757.65"/>
    <x v="1"/>
    <n v="585.77"/>
    <n v="117154"/>
    <n v="3158.78"/>
    <n v="416.7"/>
    <n v="8116.11"/>
    <n v="128845.59"/>
    <n v="32603.65"/>
    <n v="20912.060000000001"/>
    <s v="Paid"/>
    <n v="149757.65"/>
    <n v="0"/>
    <s v="Delivered"/>
    <x v="2"/>
    <x v="4"/>
    <x v="2"/>
    <x v="2"/>
    <n v="1.99"/>
    <n v="20912.060000000001"/>
    <n v="0.13963934396673561"/>
    <n v="0"/>
    <x v="1"/>
    <n v="9"/>
    <s v="September"/>
    <s v="2025-09"/>
  </r>
  <r>
    <s v="FZ00266"/>
    <n v="45880"/>
    <n v="45882"/>
    <x v="1"/>
    <n v="500"/>
    <n v="1212.4000000000001"/>
    <n v="2.27"/>
    <n v="592439.26"/>
    <x v="2"/>
    <n v="1103.6500000000001"/>
    <n v="551825"/>
    <n v="4780.05"/>
    <n v="1114.5999999999999"/>
    <n v="6807.75"/>
    <n v="564527.4"/>
    <n v="40614.26"/>
    <n v="27911.86"/>
    <s v="Part-paid"/>
    <n v="440719.46"/>
    <n v="151719.79999999999"/>
    <s v="Delivered"/>
    <x v="4"/>
    <x v="4"/>
    <x v="26"/>
    <x v="4"/>
    <n v="0.59"/>
    <n v="27911.86"/>
    <n v="4.7113454297407639E-2"/>
    <n v="0"/>
    <x v="1"/>
    <n v="8"/>
    <s v="August"/>
    <s v="2025-08"/>
  </r>
  <r>
    <s v="FZ00267"/>
    <n v="45960"/>
    <n v="45969"/>
    <x v="1"/>
    <n v="50"/>
    <n v="1362.32"/>
    <n v="1.68"/>
    <n v="66971.649999999994"/>
    <x v="2"/>
    <n v="1052.78"/>
    <n v="52639"/>
    <n v="361.57"/>
    <n v="254.02"/>
    <n v="10065.25"/>
    <n v="63319.839999999997"/>
    <n v="14332.65"/>
    <n v="3651.81"/>
    <s v="Paid"/>
    <n v="66971.649999999994"/>
    <n v="0"/>
    <s v="Collected"/>
    <x v="0"/>
    <x v="3"/>
    <x v="7"/>
    <x v="5"/>
    <n v="0.1"/>
    <n v="3651.81"/>
    <n v="5.4527699407137205E-2"/>
    <n v="0"/>
    <x v="1"/>
    <n v="10"/>
    <s v="October"/>
    <s v="2025-10"/>
  </r>
  <r>
    <s v="FZ00268"/>
    <n v="45551"/>
    <n v="45558"/>
    <x v="0"/>
    <n v="50"/>
    <n v="891.16"/>
    <n v="1.2"/>
    <n v="44023.3"/>
    <x v="0"/>
    <n v="724.03"/>
    <n v="36201.5"/>
    <n v="866.7"/>
    <n v="238.41"/>
    <n v="7618.05"/>
    <n v="44924.66"/>
    <n v="7821.8"/>
    <n v="-901.36"/>
    <s v="Paid"/>
    <n v="44023.3"/>
    <n v="0"/>
    <s v="Collected"/>
    <x v="0"/>
    <x v="2"/>
    <x v="30"/>
    <x v="0"/>
    <n v="0.24"/>
    <n v="-901.36"/>
    <n v="-2.0474612307573487E-2"/>
    <n v="0"/>
    <x v="0"/>
    <n v="9"/>
    <s v="September"/>
    <s v="2024-09"/>
  </r>
  <r>
    <s v="FZ00269"/>
    <n v="45720"/>
    <n v="45730"/>
    <x v="0"/>
    <n v="750"/>
    <n v="855.21"/>
    <n v="2.81"/>
    <n v="623383.94999999995"/>
    <x v="0"/>
    <n v="663.08"/>
    <n v="497310"/>
    <n v="14849.84"/>
    <n v="3294.84"/>
    <n v="11496.2"/>
    <n v="526950.88"/>
    <n v="126073.95"/>
    <n v="96433.07"/>
    <s v="Part-paid"/>
    <n v="511560.72"/>
    <n v="111823.23"/>
    <s v="Delivered"/>
    <x v="1"/>
    <x v="0"/>
    <x v="4"/>
    <x v="1"/>
    <n v="2.0699999999999998"/>
    <n v="96433.07"/>
    <n v="0.15469289833336264"/>
    <n v="0"/>
    <x v="1"/>
    <n v="3"/>
    <s v="March"/>
    <s v="2025-03"/>
  </r>
  <r>
    <s v="FZ00270"/>
    <n v="45455"/>
    <n v="45460"/>
    <x v="3"/>
    <n v="1000"/>
    <n v="970.95"/>
    <n v="2.93"/>
    <n v="942501.16"/>
    <x v="2"/>
    <n v="823.74"/>
    <n v="823740"/>
    <n v="12818.21"/>
    <n v="4952.6000000000004"/>
    <n v="11446.36"/>
    <n v="852957.17"/>
    <n v="118761.16"/>
    <n v="89543.99"/>
    <s v="Part-paid"/>
    <n v="662605.47"/>
    <n v="279895.69"/>
    <s v="Collected"/>
    <x v="3"/>
    <x v="2"/>
    <x v="10"/>
    <x v="5"/>
    <n v="1.98"/>
    <n v="89543.99"/>
    <n v="9.5006769010236553E-2"/>
    <n v="0"/>
    <x v="0"/>
    <n v="6"/>
    <s v="June"/>
    <s v="2024-06"/>
  </r>
  <r>
    <s v="FZ00271"/>
    <n v="45548"/>
    <n v="45548"/>
    <x v="0"/>
    <n v="150"/>
    <n v="880.62"/>
    <n v="2.34"/>
    <n v="129002.02"/>
    <x v="0"/>
    <n v="705.22"/>
    <n v="105783"/>
    <n v="1701.88"/>
    <n v="799.77"/>
    <n v="3214.4"/>
    <n v="111499.05"/>
    <n v="23219.02"/>
    <n v="17502.97"/>
    <s v="Paid"/>
    <n v="129002.02"/>
    <n v="0"/>
    <s v="Delivered"/>
    <x v="3"/>
    <x v="0"/>
    <x v="10"/>
    <x v="5"/>
    <n v="2.4300000000000002"/>
    <n v="17502.97"/>
    <n v="0.1356798133858679"/>
    <n v="0"/>
    <x v="0"/>
    <n v="9"/>
    <s v="September"/>
    <s v="2024-09"/>
  </r>
  <r>
    <s v="FZ00272"/>
    <n v="45772"/>
    <n v="45779"/>
    <x v="1"/>
    <n v="50"/>
    <n v="1307.3900000000001"/>
    <n v="1.69"/>
    <n v="64264.76"/>
    <x v="3"/>
    <n v="1075.92"/>
    <n v="53796"/>
    <n v="1184.3800000000001"/>
    <n v="170.34"/>
    <n v="7548.61"/>
    <n v="62699.33"/>
    <n v="10468.76"/>
    <n v="1565.43"/>
    <s v="Paid"/>
    <n v="64264.76"/>
    <n v="0"/>
    <s v="Delivered"/>
    <x v="1"/>
    <x v="1"/>
    <x v="20"/>
    <x v="2"/>
    <n v="0.32"/>
    <n v="1565.43"/>
    <n v="2.4359073308606458E-2"/>
    <n v="0"/>
    <x v="1"/>
    <n v="4"/>
    <s v="April"/>
    <s v="2025-04"/>
  </r>
  <r>
    <s v="FZ00273"/>
    <n v="45622"/>
    <n v="45635"/>
    <x v="0"/>
    <n v="100"/>
    <n v="941.56"/>
    <n v="1.39"/>
    <n v="92847.23"/>
    <x v="1"/>
    <n v="670.86"/>
    <n v="67086"/>
    <n v="1626.83"/>
    <n v="459.15"/>
    <n v="11556.5"/>
    <n v="80728.479999999996"/>
    <n v="25761.23"/>
    <n v="12118.75"/>
    <s v="Unpaid"/>
    <n v="0"/>
    <n v="92847.23"/>
    <s v="Delivered"/>
    <x v="4"/>
    <x v="3"/>
    <x v="36"/>
    <x v="3"/>
    <n v="0.8"/>
    <n v="12118.75"/>
    <n v="0.13052354927551421"/>
    <n v="0"/>
    <x v="0"/>
    <n v="11"/>
    <s v="November"/>
    <s v="2024-11"/>
  </r>
  <r>
    <s v="FZ00274"/>
    <n v="45751"/>
    <n v="45756"/>
    <x v="3"/>
    <n v="100"/>
    <n v="1028.82"/>
    <n v="0.42"/>
    <n v="102449.9"/>
    <x v="3"/>
    <n v="735.82"/>
    <n v="73582"/>
    <n v="2272.98"/>
    <n v="378.21"/>
    <n v="4404.8500000000004"/>
    <n v="80638.039999999994"/>
    <n v="28867.9"/>
    <n v="21811.86"/>
    <s v="Paid"/>
    <n v="102449.9"/>
    <n v="0"/>
    <s v="Delivered"/>
    <x v="1"/>
    <x v="1"/>
    <x v="33"/>
    <x v="1"/>
    <n v="1.37"/>
    <n v="21811.86"/>
    <n v="0.21290269683035321"/>
    <n v="0"/>
    <x v="1"/>
    <n v="4"/>
    <s v="April"/>
    <s v="2025-04"/>
  </r>
  <r>
    <s v="FZ00275"/>
    <n v="45293"/>
    <n v="45293"/>
    <x v="0"/>
    <n v="200"/>
    <n v="914.82"/>
    <n v="2.25"/>
    <n v="178847.31"/>
    <x v="0"/>
    <n v="710.67"/>
    <n v="142134"/>
    <n v="1920.43"/>
    <n v="339.02"/>
    <n v="5990.48"/>
    <n v="150383.93"/>
    <n v="36713.31"/>
    <n v="28463.38"/>
    <s v="Paid"/>
    <n v="178847.31"/>
    <n v="0"/>
    <s v="Collected"/>
    <x v="0"/>
    <x v="0"/>
    <x v="15"/>
    <x v="3"/>
    <n v="2.19"/>
    <n v="28463.38"/>
    <n v="0.15914905289881073"/>
    <n v="0"/>
    <x v="0"/>
    <n v="1"/>
    <s v="January"/>
    <s v="2024-01"/>
  </r>
  <r>
    <s v="FZ00276"/>
    <n v="45892"/>
    <n v="45901"/>
    <x v="0"/>
    <n v="300"/>
    <n v="930.48"/>
    <n v="1.18"/>
    <n v="275850.09999999998"/>
    <x v="2"/>
    <n v="652.41999999999996"/>
    <n v="195726"/>
    <n v="5104.95"/>
    <n v="593.71"/>
    <n v="350.51"/>
    <n v="201775.17"/>
    <n v="80124.100000000006"/>
    <n v="74074.929999999993"/>
    <s v="Paid"/>
    <n v="275850.09999999998"/>
    <n v="0"/>
    <s v="Delivered"/>
    <x v="5"/>
    <x v="4"/>
    <x v="29"/>
    <x v="0"/>
    <n v="1.1499999999999999"/>
    <n v="74074.929999999993"/>
    <n v="0.26853327223734919"/>
    <n v="0"/>
    <x v="1"/>
    <n v="8"/>
    <s v="August"/>
    <s v="2025-08"/>
  </r>
  <r>
    <s v="FZ00277"/>
    <n v="45446"/>
    <n v="45455"/>
    <x v="3"/>
    <n v="300"/>
    <n v="947.56"/>
    <n v="1.79"/>
    <n v="279179.59999999998"/>
    <x v="0"/>
    <n v="734.63"/>
    <n v="220389"/>
    <n v="3828.76"/>
    <n v="1379.03"/>
    <n v="7147.35"/>
    <n v="232744.14"/>
    <n v="58790.6"/>
    <n v="46435.46"/>
    <s v="Unpaid"/>
    <n v="0"/>
    <n v="279179.59999999998"/>
    <s v="Collected"/>
    <x v="3"/>
    <x v="3"/>
    <x v="7"/>
    <x v="5"/>
    <n v="0.45"/>
    <n v="46435.46"/>
    <n v="0.16632827040371145"/>
    <n v="0"/>
    <x v="0"/>
    <n v="6"/>
    <s v="June"/>
    <s v="2024-06"/>
  </r>
  <r>
    <s v="FZ00278"/>
    <n v="45295"/>
    <n v="45301"/>
    <x v="3"/>
    <n v="200"/>
    <n v="987.51"/>
    <n v="2"/>
    <n v="193551.96"/>
    <x v="1"/>
    <n v="754.05"/>
    <n v="150810"/>
    <n v="2128.69"/>
    <n v="600.30999999999995"/>
    <n v="1762.41"/>
    <n v="155301.41"/>
    <n v="42741.96"/>
    <n v="38250.550000000003"/>
    <s v="Paid"/>
    <n v="193551.96"/>
    <n v="0"/>
    <s v="Collected"/>
    <x v="2"/>
    <x v="0"/>
    <x v="3"/>
    <x v="3"/>
    <n v="1.47"/>
    <n v="38250.550000000003"/>
    <n v="0.19762419352405425"/>
    <n v="0"/>
    <x v="0"/>
    <n v="1"/>
    <s v="January"/>
    <s v="2024-01"/>
  </r>
  <r>
    <s v="FZ00279"/>
    <n v="45848"/>
    <n v="45855"/>
    <x v="3"/>
    <n v="1000"/>
    <n v="913.23"/>
    <n v="3.29"/>
    <n v="883184.73"/>
    <x v="3"/>
    <n v="752.86"/>
    <n v="752860"/>
    <n v="16439.87"/>
    <n v="3304.32"/>
    <n v="7244.77"/>
    <n v="779848.96"/>
    <n v="130324.73"/>
    <n v="103335.77"/>
    <s v="Paid"/>
    <n v="883184.73"/>
    <n v="0"/>
    <s v="Delivered"/>
    <x v="4"/>
    <x v="2"/>
    <x v="11"/>
    <x v="5"/>
    <n v="1.56"/>
    <n v="103335.77"/>
    <n v="0.11700357409938462"/>
    <n v="0"/>
    <x v="1"/>
    <n v="7"/>
    <s v="July"/>
    <s v="2025-07"/>
  </r>
  <r>
    <s v="FZ00280"/>
    <n v="45652"/>
    <n v="45657"/>
    <x v="0"/>
    <n v="1200"/>
    <n v="874.52"/>
    <n v="3.32"/>
    <n v="1014583.12"/>
    <x v="0"/>
    <n v="701.9"/>
    <n v="842280"/>
    <n v="6111.44"/>
    <n v="2148.15"/>
    <n v="2469.5300000000002"/>
    <n v="853009.12"/>
    <n v="172303.12"/>
    <n v="161574"/>
    <s v="Part-paid"/>
    <n v="529510.66"/>
    <n v="485072.46"/>
    <s v="Collected"/>
    <x v="1"/>
    <x v="4"/>
    <x v="6"/>
    <x v="2"/>
    <n v="0.32"/>
    <n v="161574"/>
    <n v="0.15925161459417933"/>
    <n v="0"/>
    <x v="0"/>
    <n v="12"/>
    <s v="December"/>
    <s v="2024-12"/>
  </r>
  <r>
    <s v="FZ00281"/>
    <n v="45925"/>
    <n v="45935"/>
    <x v="0"/>
    <n v="150"/>
    <n v="919.69"/>
    <n v="0.86"/>
    <n v="136767.1"/>
    <x v="2"/>
    <n v="666.85"/>
    <n v="100027.5"/>
    <n v="2002.38"/>
    <n v="676.53"/>
    <n v="9517.56"/>
    <n v="112223.97"/>
    <n v="36739.599999999999"/>
    <n v="24543.13"/>
    <s v="Paid"/>
    <n v="136767.1"/>
    <n v="0"/>
    <s v="Delivered"/>
    <x v="5"/>
    <x v="4"/>
    <x v="10"/>
    <x v="5"/>
    <n v="1.6"/>
    <n v="24543.13"/>
    <n v="0.17945200271117834"/>
    <n v="0"/>
    <x v="1"/>
    <n v="9"/>
    <s v="September"/>
    <s v="2025-09"/>
  </r>
  <r>
    <s v="FZ00282"/>
    <n v="45833"/>
    <n v="45837"/>
    <x v="0"/>
    <n v="250"/>
    <n v="855.21"/>
    <n v="2.23"/>
    <n v="209034.7"/>
    <x v="0"/>
    <n v="693.15"/>
    <n v="173287.5"/>
    <n v="2993.55"/>
    <n v="775.7"/>
    <n v="10399.82"/>
    <n v="187456.57"/>
    <n v="35747.199999999997"/>
    <n v="21578.13"/>
    <s v="Part-paid"/>
    <n v="78258.63"/>
    <n v="130776.07"/>
    <s v="Delivered"/>
    <x v="2"/>
    <x v="2"/>
    <x v="10"/>
    <x v="5"/>
    <n v="0.46"/>
    <n v="21578.13"/>
    <n v="0.10322750241945476"/>
    <n v="0"/>
    <x v="1"/>
    <n v="6"/>
    <s v="June"/>
    <s v="2025-06"/>
  </r>
  <r>
    <s v="FZ00283"/>
    <n v="45943"/>
    <n v="45945"/>
    <x v="0"/>
    <n v="500"/>
    <n v="865.18"/>
    <n v="2.58"/>
    <n v="421429.18"/>
    <x v="2"/>
    <n v="724.43"/>
    <n v="362215"/>
    <n v="11891.06"/>
    <n v="907.93"/>
    <n v="3468.67"/>
    <n v="378482.66"/>
    <n v="59214.18"/>
    <n v="42946.52"/>
    <s v="Paid"/>
    <n v="421429.18"/>
    <n v="0"/>
    <s v="Delivered"/>
    <x v="1"/>
    <x v="0"/>
    <x v="1"/>
    <x v="1"/>
    <n v="1.83"/>
    <n v="42946.52"/>
    <n v="0.10190684944976994"/>
    <n v="0"/>
    <x v="1"/>
    <n v="10"/>
    <s v="October"/>
    <s v="2025-10"/>
  </r>
  <r>
    <s v="FZ00284"/>
    <n v="45498"/>
    <n v="45507"/>
    <x v="3"/>
    <n v="200"/>
    <n v="1014.5"/>
    <n v="1.1299999999999999"/>
    <n v="200607.23"/>
    <x v="2"/>
    <n v="780.2"/>
    <n v="156040"/>
    <n v="3713.15"/>
    <n v="625.24"/>
    <n v="9946.4599999999991"/>
    <n v="170324.85"/>
    <n v="44567.23"/>
    <n v="30282.38"/>
    <s v="Paid"/>
    <n v="200607.23"/>
    <n v="0"/>
    <s v="Delivered"/>
    <x v="5"/>
    <x v="0"/>
    <x v="11"/>
    <x v="5"/>
    <n v="1.52"/>
    <n v="30282.38"/>
    <n v="0.15095358228115707"/>
    <n v="0"/>
    <x v="0"/>
    <n v="7"/>
    <s v="July"/>
    <s v="2024-07"/>
  </r>
  <r>
    <s v="FZ00285"/>
    <n v="45883"/>
    <m/>
    <x v="4"/>
    <n v="200"/>
    <n v="2824.73"/>
    <n v="1.69"/>
    <n v="555398.41"/>
    <x v="0"/>
    <n v="2200.9899999999998"/>
    <n v="440198"/>
    <n v="1377.69"/>
    <n v="342.72"/>
    <n v="9460.83"/>
    <n v="451379.24"/>
    <n v="115200.41"/>
    <n v="104019.17"/>
    <s v="Paid"/>
    <n v="555398.41"/>
    <n v="0"/>
    <s v="Pending"/>
    <x v="1"/>
    <x v="3"/>
    <x v="6"/>
    <x v="2"/>
    <n v="0.35"/>
    <n v="104019.17"/>
    <n v="0.18728748251187827"/>
    <n v="0"/>
    <x v="1"/>
    <n v="8"/>
    <s v="August"/>
    <s v="2025-08"/>
  </r>
  <r>
    <s v="FZ00286"/>
    <n v="45932"/>
    <n v="45944"/>
    <x v="0"/>
    <n v="500"/>
    <n v="869.88"/>
    <n v="1.55"/>
    <n v="428198.43"/>
    <x v="2"/>
    <n v="731.33"/>
    <n v="365665"/>
    <n v="9766.02"/>
    <n v="1042.8800000000001"/>
    <n v="4597.58"/>
    <n v="381071.48"/>
    <n v="62533.43"/>
    <n v="47126.95"/>
    <s v="Paid"/>
    <n v="428198.43"/>
    <n v="0"/>
    <s v="Delivered"/>
    <x v="4"/>
    <x v="0"/>
    <x v="6"/>
    <x v="2"/>
    <n v="0.05"/>
    <n v="47126.95"/>
    <n v="0.11005867069620036"/>
    <n v="0"/>
    <x v="1"/>
    <n v="10"/>
    <s v="October"/>
    <s v="2025-10"/>
  </r>
  <r>
    <s v="FZ00287"/>
    <n v="45456"/>
    <m/>
    <x v="0"/>
    <n v="200"/>
    <n v="891.9"/>
    <n v="2.25"/>
    <n v="0"/>
    <x v="1"/>
    <n v="750.82"/>
    <n v="0"/>
    <n v="0"/>
    <n v="0"/>
    <n v="0"/>
    <n v="0"/>
    <n v="0"/>
    <n v="0"/>
    <s v="Part-paid"/>
    <n v="0"/>
    <n v="0"/>
    <s v="Cancelled"/>
    <x v="0"/>
    <x v="0"/>
    <x v="32"/>
    <x v="0"/>
    <n v="2.09"/>
    <n v="0"/>
    <e v="#DIV/0!"/>
    <n v="0"/>
    <x v="0"/>
    <n v="6"/>
    <s v="June"/>
    <s v="2024-06"/>
  </r>
  <r>
    <s v="FZ00288"/>
    <n v="45709"/>
    <n v="45721"/>
    <x v="0"/>
    <n v="500"/>
    <n v="889.15"/>
    <n v="3.51"/>
    <n v="428970.42"/>
    <x v="1"/>
    <n v="721.94"/>
    <n v="360970"/>
    <n v="9208.09"/>
    <n v="762.94"/>
    <n v="1409.95"/>
    <n v="372350.98"/>
    <n v="68000.42"/>
    <n v="56619.44"/>
    <s v="Paid"/>
    <n v="428970.42"/>
    <n v="0"/>
    <s v="Delivered"/>
    <x v="0"/>
    <x v="1"/>
    <x v="11"/>
    <x v="5"/>
    <n v="2.44"/>
    <n v="56619.44"/>
    <n v="0.13198914741021073"/>
    <n v="0"/>
    <x v="1"/>
    <n v="2"/>
    <s v="February"/>
    <s v="2025-02"/>
  </r>
  <r>
    <s v="FZ00289"/>
    <n v="45476"/>
    <m/>
    <x v="3"/>
    <n v="200"/>
    <n v="974.44"/>
    <n v="0.85"/>
    <n v="193231.45"/>
    <x v="3"/>
    <n v="805.03"/>
    <n v="161006"/>
    <n v="4507.46"/>
    <n v="846.75"/>
    <n v="8599.34"/>
    <n v="174959.55"/>
    <n v="32225.45"/>
    <n v="18271.900000000001"/>
    <s v="Paid"/>
    <n v="193231.45"/>
    <n v="0"/>
    <s v="Pending"/>
    <x v="5"/>
    <x v="1"/>
    <x v="23"/>
    <x v="4"/>
    <n v="0.61"/>
    <n v="18271.900000000001"/>
    <n v="9.4559658896106194E-2"/>
    <n v="0"/>
    <x v="0"/>
    <n v="7"/>
    <s v="July"/>
    <s v="2024-07"/>
  </r>
  <r>
    <s v="FZ00290"/>
    <n v="45866"/>
    <n v="45873"/>
    <x v="1"/>
    <n v="300"/>
    <n v="1331.63"/>
    <n v="0.81"/>
    <n v="396253.14"/>
    <x v="2"/>
    <n v="1107.0999999999999"/>
    <n v="332130"/>
    <n v="5654.19"/>
    <n v="1317.47"/>
    <n v="2209.67"/>
    <n v="341311.33"/>
    <n v="64123.14"/>
    <n v="54941.81"/>
    <s v="Paid"/>
    <n v="396253.14"/>
    <n v="0"/>
    <s v="Delivered"/>
    <x v="0"/>
    <x v="1"/>
    <x v="6"/>
    <x v="2"/>
    <n v="1.67"/>
    <n v="54941.81"/>
    <n v="0.13865331136555786"/>
    <n v="0"/>
    <x v="1"/>
    <n v="7"/>
    <s v="July"/>
    <s v="2025-07"/>
  </r>
  <r>
    <s v="FZ00291"/>
    <n v="45323"/>
    <n v="45323"/>
    <x v="0"/>
    <n v="200"/>
    <n v="896.21"/>
    <n v="0.18"/>
    <n v="178919.36"/>
    <x v="0"/>
    <n v="733.58"/>
    <n v="146716"/>
    <n v="3471.11"/>
    <n v="509.22"/>
    <n v="2482.37"/>
    <n v="153178.70000000001"/>
    <n v="32203.360000000001"/>
    <n v="25740.66"/>
    <s v="Paid"/>
    <n v="178919.36"/>
    <n v="0"/>
    <s v="Delivered"/>
    <x v="1"/>
    <x v="0"/>
    <x v="26"/>
    <x v="4"/>
    <n v="2.35"/>
    <n v="25740.66"/>
    <n v="0.14386738249007822"/>
    <n v="0"/>
    <x v="0"/>
    <n v="2"/>
    <s v="February"/>
    <s v="2024-02"/>
  </r>
  <r>
    <s v="FZ00292"/>
    <n v="45751"/>
    <n v="45755"/>
    <x v="0"/>
    <n v="100"/>
    <n v="846.82"/>
    <n v="1.03"/>
    <n v="83809.78"/>
    <x v="2"/>
    <n v="690.39"/>
    <n v="69039"/>
    <n v="626.65"/>
    <n v="435.35"/>
    <n v="5627.58"/>
    <n v="75728.58"/>
    <n v="14770.78"/>
    <n v="8081.2"/>
    <s v="Part-paid"/>
    <n v="29004.71"/>
    <n v="54805.07"/>
    <s v="Collected"/>
    <x v="0"/>
    <x v="0"/>
    <x v="28"/>
    <x v="4"/>
    <n v="0.74"/>
    <n v="8081.2"/>
    <n v="9.6423114342980024E-2"/>
    <n v="0"/>
    <x v="1"/>
    <n v="4"/>
    <s v="April"/>
    <s v="2025-04"/>
  </r>
  <r>
    <s v="FZ00293"/>
    <n v="45992"/>
    <n v="46004"/>
    <x v="0"/>
    <n v="200"/>
    <n v="894.54"/>
    <n v="1.68"/>
    <n v="175902.35"/>
    <x v="2"/>
    <n v="655.15"/>
    <n v="131030"/>
    <n v="3373.6"/>
    <n v="1134.3499999999999"/>
    <n v="1867.38"/>
    <n v="137405.32999999999"/>
    <n v="44872.35"/>
    <n v="38497.019999999997"/>
    <s v="Paid"/>
    <n v="175902.35"/>
    <n v="0"/>
    <s v="Delivered"/>
    <x v="3"/>
    <x v="0"/>
    <x v="12"/>
    <x v="2"/>
    <n v="1.66"/>
    <n v="38497.019999999997"/>
    <n v="0.2188544951218673"/>
    <n v="0"/>
    <x v="1"/>
    <n v="12"/>
    <s v="December"/>
    <s v="2025-12"/>
  </r>
  <r>
    <s v="FZ00294"/>
    <n v="45866"/>
    <m/>
    <x v="3"/>
    <n v="250"/>
    <n v="941.29"/>
    <n v="0.52"/>
    <n v="0"/>
    <x v="1"/>
    <n v="814.3"/>
    <n v="0"/>
    <n v="0"/>
    <n v="0"/>
    <n v="0"/>
    <n v="0"/>
    <n v="0"/>
    <n v="0"/>
    <s v="Unpaid"/>
    <n v="0"/>
    <n v="0"/>
    <s v="Cancelled"/>
    <x v="2"/>
    <x v="1"/>
    <x v="8"/>
    <x v="5"/>
    <n v="1.63"/>
    <n v="0"/>
    <e v="#DIV/0!"/>
    <n v="0"/>
    <x v="1"/>
    <n v="7"/>
    <s v="July"/>
    <s v="2025-07"/>
  </r>
  <r>
    <s v="FZ00295"/>
    <n v="45362"/>
    <n v="45368"/>
    <x v="0"/>
    <n v="100"/>
    <n v="876.31"/>
    <n v="2.17"/>
    <n v="85729.41"/>
    <x v="0"/>
    <n v="731.46"/>
    <n v="73146"/>
    <n v="916.63"/>
    <n v="177.56"/>
    <n v="376.87"/>
    <n v="74617.06"/>
    <n v="12583.41"/>
    <n v="11112.35"/>
    <s v="Unpaid"/>
    <n v="0"/>
    <n v="85729.41"/>
    <s v="Delivered"/>
    <x v="3"/>
    <x v="4"/>
    <x v="34"/>
    <x v="4"/>
    <n v="1.95"/>
    <n v="11112.35"/>
    <n v="0.12962121167053406"/>
    <n v="0"/>
    <x v="0"/>
    <n v="3"/>
    <s v="March"/>
    <s v="2024-03"/>
  </r>
  <r>
    <s v="FZ00296"/>
    <n v="45445"/>
    <n v="45452"/>
    <x v="3"/>
    <n v="250"/>
    <n v="996.66"/>
    <n v="0.16"/>
    <n v="248766.34"/>
    <x v="2"/>
    <n v="738.45"/>
    <n v="184612.5"/>
    <n v="3537.61"/>
    <n v="668.77"/>
    <n v="9988.35"/>
    <n v="198807.23"/>
    <n v="64153.84"/>
    <n v="49959.11"/>
    <s v="Part-paid"/>
    <n v="195133.07"/>
    <n v="53633.27"/>
    <s v="Collected"/>
    <x v="3"/>
    <x v="2"/>
    <x v="27"/>
    <x v="2"/>
    <n v="1.03"/>
    <n v="49959.11"/>
    <n v="0.2008274511736596"/>
    <n v="0"/>
    <x v="0"/>
    <n v="6"/>
    <s v="June"/>
    <s v="2024-06"/>
  </r>
  <r>
    <s v="FZ00297"/>
    <n v="45468"/>
    <n v="45478"/>
    <x v="1"/>
    <n v="300"/>
    <n v="1287.6300000000001"/>
    <n v="0.85"/>
    <n v="383005.54"/>
    <x v="1"/>
    <n v="1111.28"/>
    <n v="333384"/>
    <n v="5152.4799999999996"/>
    <n v="1553.11"/>
    <n v="3974.95"/>
    <n v="344064.54"/>
    <n v="49621.54"/>
    <n v="38941"/>
    <s v="Paid"/>
    <n v="383005.54"/>
    <n v="0"/>
    <s v="Delivered"/>
    <x v="5"/>
    <x v="0"/>
    <x v="12"/>
    <x v="2"/>
    <n v="1.36"/>
    <n v="38941"/>
    <n v="0.10167215858026493"/>
    <n v="0"/>
    <x v="0"/>
    <n v="6"/>
    <s v="June"/>
    <s v="2024-06"/>
  </r>
  <r>
    <s v="FZ00298"/>
    <n v="45371"/>
    <n v="45371"/>
    <x v="1"/>
    <n v="500"/>
    <n v="1273.6099999999999"/>
    <n v="2.37"/>
    <n v="621712.72"/>
    <x v="2"/>
    <n v="1122.0899999999999"/>
    <n v="561045"/>
    <n v="5809.24"/>
    <n v="2341.11"/>
    <n v="6781.15"/>
    <n v="575976.5"/>
    <n v="60667.72"/>
    <n v="45736.22"/>
    <s v="Paid"/>
    <n v="621712.72"/>
    <n v="0"/>
    <s v="Collected"/>
    <x v="0"/>
    <x v="4"/>
    <x v="11"/>
    <x v="5"/>
    <n v="2"/>
    <n v="45736.22"/>
    <n v="7.3564877360077177E-2"/>
    <n v="0"/>
    <x v="0"/>
    <n v="3"/>
    <s v="March"/>
    <s v="2024-03"/>
  </r>
  <r>
    <s v="FZ00299"/>
    <n v="45941"/>
    <m/>
    <x v="0"/>
    <n v="100"/>
    <n v="880.88"/>
    <n v="0.67"/>
    <n v="87497.81"/>
    <x v="1"/>
    <n v="693.2"/>
    <n v="69320"/>
    <n v="1407.01"/>
    <n v="288"/>
    <n v="3656.19"/>
    <n v="74671.199999999997"/>
    <n v="18177.810000000001"/>
    <n v="12826.61"/>
    <s v="Part-paid"/>
    <n v="62133.95"/>
    <n v="25363.86"/>
    <s v="Pending"/>
    <x v="5"/>
    <x v="0"/>
    <x v="10"/>
    <x v="5"/>
    <n v="1.23"/>
    <n v="12826.61"/>
    <n v="0.14659349759725415"/>
    <n v="0"/>
    <x v="1"/>
    <n v="10"/>
    <s v="October"/>
    <s v="2025-10"/>
  </r>
  <r>
    <s v="FZ00300"/>
    <n v="45582"/>
    <n v="45583"/>
    <x v="0"/>
    <n v="1000"/>
    <n v="941.43"/>
    <n v="2.54"/>
    <n v="917517.68"/>
    <x v="2"/>
    <n v="691.68"/>
    <n v="691680"/>
    <n v="17962.54"/>
    <n v="5243.3"/>
    <n v="7145.24"/>
    <n v="722031.08"/>
    <n v="225837.68"/>
    <n v="195486.6"/>
    <s v="Paid"/>
    <n v="917517.68"/>
    <n v="0"/>
    <s v="Delivered"/>
    <x v="1"/>
    <x v="2"/>
    <x v="19"/>
    <x v="4"/>
    <n v="0.11"/>
    <n v="195486.6"/>
    <n v="0.21306030854904071"/>
    <n v="0"/>
    <x v="0"/>
    <n v="10"/>
    <s v="October"/>
    <s v="2024-10"/>
  </r>
  <r>
    <s v="FZ00301"/>
    <n v="45757"/>
    <n v="45768"/>
    <x v="0"/>
    <n v="300"/>
    <n v="853.62"/>
    <n v="1.43"/>
    <n v="252423.97"/>
    <x v="3"/>
    <n v="750.62"/>
    <n v="225186"/>
    <n v="1708"/>
    <n v="823.53"/>
    <n v="10970.49"/>
    <n v="238688.02"/>
    <n v="27237.97"/>
    <n v="13735.95"/>
    <s v="Paid"/>
    <n v="252423.97"/>
    <n v="0"/>
    <s v="Delivered"/>
    <x v="5"/>
    <x v="3"/>
    <x v="17"/>
    <x v="3"/>
    <n v="2.15"/>
    <n v="13735.95"/>
    <n v="5.4416187179054352E-2"/>
    <n v="0"/>
    <x v="1"/>
    <n v="4"/>
    <s v="April"/>
    <s v="2025-04"/>
  </r>
  <r>
    <s v="FZ00302"/>
    <n v="45767"/>
    <n v="45777"/>
    <x v="0"/>
    <n v="150"/>
    <n v="873.84"/>
    <n v="1.67"/>
    <n v="128887.03"/>
    <x v="1"/>
    <n v="715.36"/>
    <n v="107304"/>
    <n v="2955.34"/>
    <n v="385.79"/>
    <n v="4263.92"/>
    <n v="114909.05"/>
    <n v="21583.03"/>
    <n v="13977.98"/>
    <s v="Paid"/>
    <n v="128887.03"/>
    <n v="0"/>
    <s v="Collected"/>
    <x v="1"/>
    <x v="1"/>
    <x v="11"/>
    <x v="5"/>
    <n v="2.0299999999999998"/>
    <n v="13977.98"/>
    <n v="0.10845140895868265"/>
    <n v="0"/>
    <x v="1"/>
    <n v="4"/>
    <s v="April"/>
    <s v="2025-04"/>
  </r>
  <r>
    <s v="FZ00303"/>
    <n v="45408"/>
    <n v="45413"/>
    <x v="0"/>
    <n v="300"/>
    <n v="905.74"/>
    <n v="0.26"/>
    <n v="271015.52"/>
    <x v="1"/>
    <n v="750.59"/>
    <n v="225177"/>
    <n v="3174.29"/>
    <n v="1016.96"/>
    <n v="3188.75"/>
    <n v="232557"/>
    <n v="45838.52"/>
    <n v="38458.519999999997"/>
    <s v="Paid"/>
    <n v="271015.52"/>
    <n v="0"/>
    <s v="Delivered"/>
    <x v="2"/>
    <x v="0"/>
    <x v="35"/>
    <x v="4"/>
    <n v="2.0499999999999998"/>
    <n v="38458.519999999997"/>
    <n v="0.14190523111001169"/>
    <n v="0"/>
    <x v="0"/>
    <n v="4"/>
    <s v="April"/>
    <s v="2024-04"/>
  </r>
  <r>
    <s v="FZ00304"/>
    <n v="45571"/>
    <n v="45582"/>
    <x v="1"/>
    <n v="150"/>
    <n v="1256.43"/>
    <n v="0.36"/>
    <n v="187786.03"/>
    <x v="1"/>
    <n v="1091.26"/>
    <n v="163689"/>
    <n v="996.37"/>
    <n v="643.74"/>
    <n v="7134.22"/>
    <n v="172463.33"/>
    <n v="24097.03"/>
    <n v="15322.7"/>
    <s v="Paid"/>
    <n v="187786.03"/>
    <n v="0"/>
    <s v="Delivered"/>
    <x v="0"/>
    <x v="3"/>
    <x v="10"/>
    <x v="5"/>
    <n v="1.87"/>
    <n v="15322.7"/>
    <n v="8.1596591610142682E-2"/>
    <n v="0"/>
    <x v="0"/>
    <n v="10"/>
    <s v="October"/>
    <s v="2024-10"/>
  </r>
  <r>
    <s v="FZ00305"/>
    <n v="45750"/>
    <m/>
    <x v="2"/>
    <n v="200"/>
    <n v="697.22"/>
    <n v="2.25"/>
    <n v="136306.51"/>
    <x v="2"/>
    <n v="573.22"/>
    <n v="114644"/>
    <n v="2235.4699999999998"/>
    <n v="726.18"/>
    <n v="3472.19"/>
    <n v="121077.84"/>
    <n v="21662.51"/>
    <n v="15228.67"/>
    <s v="Unpaid"/>
    <n v="0"/>
    <n v="136306.51"/>
    <s v="Pending"/>
    <x v="4"/>
    <x v="1"/>
    <x v="10"/>
    <x v="5"/>
    <n v="1.1599999999999999"/>
    <n v="15228.67"/>
    <n v="0.11172371737784204"/>
    <n v="0"/>
    <x v="1"/>
    <n v="4"/>
    <s v="April"/>
    <s v="2025-04"/>
  </r>
  <r>
    <s v="FZ00306"/>
    <n v="45401"/>
    <n v="45401"/>
    <x v="0"/>
    <n v="300"/>
    <n v="900.11"/>
    <n v="1.68"/>
    <n v="265496.45"/>
    <x v="1"/>
    <n v="704.63"/>
    <n v="211389"/>
    <n v="4869.3599999999997"/>
    <n v="814.75"/>
    <n v="10706.33"/>
    <n v="227779.44"/>
    <n v="54107.45"/>
    <n v="37717.01"/>
    <s v="Paid"/>
    <n v="265496.45"/>
    <n v="0"/>
    <s v="Collected"/>
    <x v="4"/>
    <x v="0"/>
    <x v="7"/>
    <x v="5"/>
    <n v="1.89"/>
    <n v="37717.01"/>
    <n v="0.14206220083168719"/>
    <n v="0"/>
    <x v="0"/>
    <n v="4"/>
    <s v="April"/>
    <s v="2024-04"/>
  </r>
  <r>
    <s v="FZ00307"/>
    <n v="45854"/>
    <n v="45859"/>
    <x v="0"/>
    <n v="250"/>
    <n v="858.35"/>
    <n v="1.64"/>
    <n v="211068.26"/>
    <x v="0"/>
    <n v="742.76"/>
    <n v="185690"/>
    <n v="5259.23"/>
    <n v="907.21"/>
    <n v="11336.12"/>
    <n v="203192.56"/>
    <n v="25378.26"/>
    <n v="7875.7"/>
    <s v="Paid"/>
    <n v="211068.26"/>
    <n v="0"/>
    <s v="Delivered"/>
    <x v="0"/>
    <x v="3"/>
    <x v="20"/>
    <x v="2"/>
    <n v="2.08"/>
    <n v="7875.7"/>
    <n v="3.7313521227682452E-2"/>
    <n v="0"/>
    <x v="1"/>
    <n v="7"/>
    <s v="July"/>
    <s v="2025-07"/>
  </r>
  <r>
    <s v="FZ00308"/>
    <n v="45312"/>
    <n v="45317"/>
    <x v="3"/>
    <n v="100"/>
    <n v="929.59"/>
    <n v="0.35"/>
    <n v="92633.64"/>
    <x v="3"/>
    <n v="741.9"/>
    <n v="74190"/>
    <n v="1201.6400000000001"/>
    <n v="444.12"/>
    <n v="9544.31"/>
    <n v="85380.07"/>
    <n v="18443.64"/>
    <n v="7253.57"/>
    <s v="Unpaid"/>
    <n v="0"/>
    <n v="92633.64"/>
    <s v="Delivered"/>
    <x v="4"/>
    <x v="1"/>
    <x v="13"/>
    <x v="5"/>
    <n v="0.68"/>
    <n v="7253.57"/>
    <n v="7.8303842966766721E-2"/>
    <n v="0"/>
    <x v="0"/>
    <n v="1"/>
    <s v="January"/>
    <s v="2024-01"/>
  </r>
  <r>
    <s v="FZ00309"/>
    <n v="45861"/>
    <n v="45872"/>
    <x v="0"/>
    <n v="750"/>
    <n v="865.75"/>
    <n v="4.59"/>
    <n v="619509.06000000006"/>
    <x v="1"/>
    <n v="661.43"/>
    <n v="496072.5"/>
    <n v="14939.54"/>
    <n v="2420.4299999999998"/>
    <n v="1949.94"/>
    <n v="515382.41"/>
    <n v="123436.56"/>
    <n v="104126.65"/>
    <s v="Part-paid"/>
    <n v="257494.23"/>
    <n v="362014.83"/>
    <s v="Delivered"/>
    <x v="3"/>
    <x v="1"/>
    <x v="6"/>
    <x v="2"/>
    <n v="2.02"/>
    <n v="104126.65"/>
    <n v="0.16807930137454324"/>
    <n v="0"/>
    <x v="1"/>
    <n v="7"/>
    <s v="July"/>
    <s v="2025-07"/>
  </r>
  <r>
    <s v="FZ00310"/>
    <n v="45503"/>
    <n v="45505"/>
    <x v="1"/>
    <n v="750"/>
    <n v="1254.8699999999999"/>
    <n v="4.5199999999999996"/>
    <n v="898612.41"/>
    <x v="0"/>
    <n v="1105.9000000000001"/>
    <n v="829425"/>
    <n v="12515.34"/>
    <n v="4133.53"/>
    <n v="1088.8499999999999"/>
    <n v="847162.72"/>
    <n v="69187.41"/>
    <n v="51449.69"/>
    <s v="Paid"/>
    <n v="898612.41"/>
    <n v="0"/>
    <s v="Delivered"/>
    <x v="0"/>
    <x v="1"/>
    <x v="27"/>
    <x v="2"/>
    <n v="2.3199999999999998"/>
    <n v="51449.69"/>
    <n v="5.7254595448998975E-2"/>
    <n v="0"/>
    <x v="0"/>
    <n v="7"/>
    <s v="July"/>
    <s v="2024-07"/>
  </r>
  <r>
    <s v="FZ00311"/>
    <n v="45480"/>
    <m/>
    <x v="0"/>
    <n v="150"/>
    <n v="841.22"/>
    <n v="2.2599999999999998"/>
    <n v="0"/>
    <x v="1"/>
    <n v="687.26"/>
    <n v="0"/>
    <n v="0"/>
    <n v="0"/>
    <n v="0"/>
    <n v="0"/>
    <n v="0"/>
    <n v="0"/>
    <s v="Paid"/>
    <n v="0"/>
    <n v="0"/>
    <s v="Cancelled"/>
    <x v="4"/>
    <x v="2"/>
    <x v="29"/>
    <x v="0"/>
    <n v="0.86"/>
    <n v="0"/>
    <e v="#DIV/0!"/>
    <n v="0"/>
    <x v="0"/>
    <n v="7"/>
    <s v="July"/>
    <s v="2024-07"/>
  </r>
  <r>
    <s v="FZ00312"/>
    <n v="45380"/>
    <n v="45392"/>
    <x v="0"/>
    <n v="300"/>
    <n v="872.96"/>
    <n v="1.55"/>
    <n v="257828.74"/>
    <x v="0"/>
    <n v="745.9"/>
    <n v="223770"/>
    <n v="4929.0600000000004"/>
    <n v="1715.26"/>
    <n v="6018.43"/>
    <n v="236432.75"/>
    <n v="34058.74"/>
    <n v="21395.99"/>
    <s v="Unpaid"/>
    <n v="0"/>
    <n v="257828.74"/>
    <s v="Delivered"/>
    <x v="0"/>
    <x v="0"/>
    <x v="27"/>
    <x v="2"/>
    <n v="0.24"/>
    <n v="21395.99"/>
    <n v="8.2985279298188414E-2"/>
    <n v="0"/>
    <x v="0"/>
    <n v="3"/>
    <s v="March"/>
    <s v="2024-03"/>
  </r>
  <r>
    <s v="FZ00313"/>
    <n v="45611"/>
    <n v="45619"/>
    <x v="0"/>
    <n v="200"/>
    <n v="870.46"/>
    <n v="1.66"/>
    <n v="171202.07"/>
    <x v="1"/>
    <n v="745.55"/>
    <n v="149110"/>
    <n v="3818.32"/>
    <n v="777.32"/>
    <n v="6504.81"/>
    <n v="160210.45000000001"/>
    <n v="22092.07"/>
    <n v="10991.62"/>
    <s v="Part-paid"/>
    <n v="123356.62"/>
    <n v="47845.45"/>
    <s v="Delivered"/>
    <x v="4"/>
    <x v="1"/>
    <x v="24"/>
    <x v="0"/>
    <n v="1.46"/>
    <n v="10991.62"/>
    <n v="6.4202611568890497E-2"/>
    <n v="0"/>
    <x v="0"/>
    <n v="11"/>
    <s v="November"/>
    <s v="2024-11"/>
  </r>
  <r>
    <s v="FZ00314"/>
    <n v="45806"/>
    <n v="45817"/>
    <x v="0"/>
    <n v="100"/>
    <n v="829.54"/>
    <n v="0.27"/>
    <n v="82730.02"/>
    <x v="1"/>
    <n v="741.03"/>
    <n v="74103"/>
    <n v="1502.31"/>
    <n v="386.48"/>
    <n v="5670.79"/>
    <n v="81662.58"/>
    <n v="8627.02"/>
    <n v="1067.44"/>
    <s v="Paid"/>
    <n v="82730.02"/>
    <n v="0"/>
    <s v="Delivered"/>
    <x v="2"/>
    <x v="0"/>
    <x v="13"/>
    <x v="5"/>
    <n v="2.4"/>
    <n v="1067.44"/>
    <n v="1.2902692396303058E-2"/>
    <n v="0"/>
    <x v="1"/>
    <n v="5"/>
    <s v="May"/>
    <s v="2025-05"/>
  </r>
  <r>
    <s v="FZ00315"/>
    <n v="45568"/>
    <n v="45572"/>
    <x v="0"/>
    <n v="500"/>
    <n v="948.24"/>
    <n v="1.1200000000000001"/>
    <n v="468809.86"/>
    <x v="0"/>
    <n v="665.13"/>
    <n v="332565"/>
    <n v="10288.370000000001"/>
    <n v="2268.37"/>
    <n v="5418.86"/>
    <n v="350540.6"/>
    <n v="136244.85999999999"/>
    <n v="118269.26"/>
    <s v="Paid"/>
    <n v="468809.86"/>
    <n v="0"/>
    <s v="Collected"/>
    <x v="1"/>
    <x v="0"/>
    <x v="10"/>
    <x v="5"/>
    <n v="1.7"/>
    <n v="118269.26"/>
    <n v="0.25227553874400166"/>
    <n v="0"/>
    <x v="0"/>
    <n v="10"/>
    <s v="October"/>
    <s v="2024-10"/>
  </r>
  <r>
    <s v="FZ00316"/>
    <n v="45671"/>
    <n v="45681"/>
    <x v="1"/>
    <n v="150"/>
    <n v="1242.02"/>
    <n v="2.13"/>
    <n v="182334.75"/>
    <x v="0"/>
    <n v="1099.78"/>
    <n v="164967"/>
    <n v="3581.26"/>
    <n v="707.03"/>
    <n v="10972.26"/>
    <n v="180227.55"/>
    <n v="17367.75"/>
    <n v="2107.1999999999998"/>
    <s v="Unpaid"/>
    <n v="0"/>
    <n v="182334.75"/>
    <s v="Delivered"/>
    <x v="1"/>
    <x v="1"/>
    <x v="26"/>
    <x v="4"/>
    <n v="1.8"/>
    <n v="2107.1999999999998"/>
    <n v="1.1556765783812465E-2"/>
    <n v="0"/>
    <x v="1"/>
    <n v="1"/>
    <s v="January"/>
    <s v="2025-01"/>
  </r>
  <r>
    <s v="FZ00317"/>
    <n v="45799"/>
    <n v="45803"/>
    <x v="3"/>
    <n v="150"/>
    <n v="937.99"/>
    <n v="0.65"/>
    <n v="139783.96"/>
    <x v="2"/>
    <n v="809.88"/>
    <n v="121482"/>
    <n v="2738.84"/>
    <n v="517.39"/>
    <n v="9643.11"/>
    <n v="134381.34"/>
    <n v="18301.96"/>
    <n v="5402.62"/>
    <s v="Paid"/>
    <n v="139783.96"/>
    <n v="0"/>
    <s v="Collected"/>
    <x v="4"/>
    <x v="3"/>
    <x v="21"/>
    <x v="0"/>
    <n v="1.26"/>
    <n v="5402.62"/>
    <n v="3.8649784996790761E-2"/>
    <n v="0"/>
    <x v="1"/>
    <n v="5"/>
    <s v="May"/>
    <s v="2025-05"/>
  </r>
  <r>
    <s v="FZ00318"/>
    <n v="45610"/>
    <m/>
    <x v="0"/>
    <n v="750"/>
    <n v="939.36"/>
    <n v="0.52"/>
    <n v="700856.5"/>
    <x v="3"/>
    <n v="666.41"/>
    <n v="499807.5"/>
    <n v="9428.27"/>
    <n v="3862.16"/>
    <n v="9476.1200000000008"/>
    <n v="522574.05"/>
    <n v="201049"/>
    <n v="178282.45"/>
    <s v="Paid"/>
    <n v="700856.5"/>
    <n v="0"/>
    <s v="Pending"/>
    <x v="4"/>
    <x v="2"/>
    <x v="13"/>
    <x v="5"/>
    <n v="0.93"/>
    <n v="178282.45"/>
    <n v="0.25437796467607848"/>
    <n v="0"/>
    <x v="0"/>
    <n v="11"/>
    <s v="November"/>
    <s v="2024-11"/>
  </r>
  <r>
    <s v="FZ00319"/>
    <n v="45662"/>
    <n v="45673"/>
    <x v="1"/>
    <n v="500"/>
    <n v="1246.7"/>
    <n v="3.51"/>
    <n v="601470.42000000004"/>
    <x v="1"/>
    <n v="1119.06"/>
    <n v="559530"/>
    <n v="8383.68"/>
    <n v="2758.37"/>
    <n v="10628.31"/>
    <n v="581300.36"/>
    <n v="41940.42"/>
    <n v="20170.060000000001"/>
    <s v="Unpaid"/>
    <n v="0"/>
    <n v="601470.42000000004"/>
    <s v="Delivered"/>
    <x v="5"/>
    <x v="0"/>
    <x v="1"/>
    <x v="1"/>
    <n v="0.99"/>
    <n v="20170.060000000001"/>
    <n v="3.3534583462973958E-2"/>
    <n v="0"/>
    <x v="1"/>
    <n v="1"/>
    <s v="January"/>
    <s v="2025-01"/>
  </r>
  <r>
    <s v="FZ00320"/>
    <n v="45387"/>
    <n v="45397"/>
    <x v="0"/>
    <n v="200"/>
    <n v="920.76"/>
    <n v="0.65"/>
    <n v="182955.01"/>
    <x v="2"/>
    <n v="713.69"/>
    <n v="142738"/>
    <n v="3680.26"/>
    <n v="1042.44"/>
    <n v="6143.52"/>
    <n v="153604.22"/>
    <n v="40217.01"/>
    <n v="29350.79"/>
    <s v="Paid"/>
    <n v="182955.01"/>
    <n v="0"/>
    <s v="Collected"/>
    <x v="5"/>
    <x v="0"/>
    <x v="8"/>
    <x v="5"/>
    <n v="0.02"/>
    <n v="29350.79"/>
    <n v="0.16042627091764253"/>
    <n v="0"/>
    <x v="0"/>
    <n v="4"/>
    <s v="April"/>
    <s v="2024-04"/>
  </r>
  <r>
    <s v="FZ00321"/>
    <n v="45430"/>
    <n v="45434"/>
    <x v="0"/>
    <n v="500"/>
    <n v="920.16"/>
    <n v="2.68"/>
    <n v="447749.86"/>
    <x v="1"/>
    <n v="734.25"/>
    <n v="367125"/>
    <n v="7840.21"/>
    <n v="2657.06"/>
    <n v="11492.38"/>
    <n v="389114.65"/>
    <n v="80624.86"/>
    <n v="58635.21"/>
    <s v="Part-paid"/>
    <n v="315076.71000000002"/>
    <n v="132673.15"/>
    <s v="Delivered"/>
    <x v="0"/>
    <x v="1"/>
    <x v="11"/>
    <x v="5"/>
    <n v="1.1499999999999999"/>
    <n v="58635.21"/>
    <n v="0.13095528382744775"/>
    <n v="0"/>
    <x v="0"/>
    <n v="5"/>
    <s v="May"/>
    <s v="2024-05"/>
  </r>
  <r>
    <s v="FZ00322"/>
    <n v="45622"/>
    <n v="45622"/>
    <x v="0"/>
    <n v="500"/>
    <n v="949.77"/>
    <n v="0.15"/>
    <n v="474172.67"/>
    <x v="1"/>
    <n v="678.27"/>
    <n v="339135"/>
    <n v="5413.21"/>
    <n v="1729.98"/>
    <n v="7034.98"/>
    <n v="353313.17"/>
    <n v="135037.67000000001"/>
    <n v="120859.5"/>
    <s v="Part-paid"/>
    <n v="333844.90000000002"/>
    <n v="140327.76999999999"/>
    <s v="Collected"/>
    <x v="2"/>
    <x v="3"/>
    <x v="13"/>
    <x v="5"/>
    <n v="0.95"/>
    <n v="120859.5"/>
    <n v="0.25488499790593161"/>
    <n v="0"/>
    <x v="0"/>
    <n v="11"/>
    <s v="November"/>
    <s v="2024-11"/>
  </r>
  <r>
    <s v="FZ00323"/>
    <n v="45334"/>
    <n v="45343"/>
    <x v="1"/>
    <n v="500"/>
    <n v="1272.8900000000001"/>
    <n v="4.3899999999999997"/>
    <n v="608505.06000000006"/>
    <x v="2"/>
    <n v="1122.22"/>
    <n v="561110"/>
    <n v="7528.41"/>
    <n v="1785.48"/>
    <n v="1600.93"/>
    <n v="572024.81999999995"/>
    <n v="47395.06"/>
    <n v="36480.239999999998"/>
    <s v="Paid"/>
    <n v="608505.06000000006"/>
    <n v="0"/>
    <s v="Delivered"/>
    <x v="0"/>
    <x v="1"/>
    <x v="24"/>
    <x v="0"/>
    <n v="1"/>
    <n v="36480.239999999998"/>
    <n v="5.9950594330308436E-2"/>
    <n v="0"/>
    <x v="0"/>
    <n v="2"/>
    <s v="February"/>
    <s v="2024-02"/>
  </r>
  <r>
    <s v="FZ00324"/>
    <n v="45978"/>
    <m/>
    <x v="0"/>
    <n v="1000"/>
    <n v="939.32"/>
    <n v="3.82"/>
    <n v="0"/>
    <x v="1"/>
    <n v="723.32"/>
    <n v="0"/>
    <n v="0"/>
    <n v="0"/>
    <n v="0"/>
    <n v="0"/>
    <n v="0"/>
    <n v="0"/>
    <s v="Paid"/>
    <n v="0"/>
    <n v="0"/>
    <s v="Cancelled"/>
    <x v="0"/>
    <x v="1"/>
    <x v="28"/>
    <x v="4"/>
    <n v="1.23"/>
    <n v="0"/>
    <e v="#DIV/0!"/>
    <n v="0"/>
    <x v="1"/>
    <n v="11"/>
    <s v="November"/>
    <s v="2025-11"/>
  </r>
  <r>
    <s v="FZ00325"/>
    <n v="45530"/>
    <n v="45532"/>
    <x v="3"/>
    <n v="200"/>
    <n v="945.29"/>
    <n v="0.25"/>
    <n v="188585.36"/>
    <x v="1"/>
    <n v="750.76"/>
    <n v="150152"/>
    <n v="1558.46"/>
    <n v="366.68"/>
    <n v="4101.37"/>
    <n v="156178.51"/>
    <n v="38433.360000000001"/>
    <n v="32406.85"/>
    <s v="Paid"/>
    <n v="188585.36"/>
    <n v="0"/>
    <s v="Delivered"/>
    <x v="1"/>
    <x v="1"/>
    <x v="26"/>
    <x v="4"/>
    <n v="0.63"/>
    <n v="32406.85"/>
    <n v="0.17184181211097194"/>
    <n v="0"/>
    <x v="0"/>
    <n v="8"/>
    <s v="August"/>
    <s v="2024-08"/>
  </r>
  <r>
    <s v="FZ00326"/>
    <n v="45789"/>
    <n v="45794"/>
    <x v="0"/>
    <n v="500"/>
    <n v="826.8"/>
    <n v="0.89"/>
    <n v="409720.74"/>
    <x v="3"/>
    <n v="684.61"/>
    <n v="342305"/>
    <n v="5423.39"/>
    <n v="2438.66"/>
    <n v="7614.32"/>
    <n v="357781.37"/>
    <n v="67415.740000000005"/>
    <n v="51939.37"/>
    <s v="Paid"/>
    <n v="409720.74"/>
    <n v="0"/>
    <s v="Delivered"/>
    <x v="3"/>
    <x v="0"/>
    <x v="25"/>
    <x v="3"/>
    <n v="0.86"/>
    <n v="51939.37"/>
    <n v="0.12676773453059761"/>
    <n v="0"/>
    <x v="1"/>
    <n v="5"/>
    <s v="May"/>
    <s v="2025-05"/>
  </r>
  <r>
    <s v="FZ00327"/>
    <n v="45815"/>
    <n v="45829"/>
    <x v="1"/>
    <n v="200"/>
    <n v="1303.71"/>
    <n v="0.95"/>
    <n v="258264.95"/>
    <x v="2"/>
    <n v="988.81"/>
    <n v="197762"/>
    <n v="2436.54"/>
    <n v="1197.3699999999999"/>
    <n v="9646.85"/>
    <n v="211042.76"/>
    <n v="60502.95"/>
    <n v="47222.19"/>
    <s v="Unpaid"/>
    <n v="0"/>
    <n v="258264.95"/>
    <s v="Delivered"/>
    <x v="4"/>
    <x v="3"/>
    <x v="26"/>
    <x v="4"/>
    <n v="1.19"/>
    <n v="47222.19"/>
    <n v="0.182843974763126"/>
    <n v="0"/>
    <x v="1"/>
    <n v="6"/>
    <s v="June"/>
    <s v="2025-06"/>
  </r>
  <r>
    <s v="FZ00328"/>
    <n v="45910"/>
    <n v="45923"/>
    <x v="0"/>
    <n v="100"/>
    <n v="918.52"/>
    <n v="0.81"/>
    <n v="91108"/>
    <x v="2"/>
    <n v="670.76"/>
    <n v="67076"/>
    <n v="717.18"/>
    <n v="419.06"/>
    <n v="9249.56"/>
    <n v="77461.8"/>
    <n v="24032"/>
    <n v="13646.2"/>
    <s v="Paid"/>
    <n v="91108"/>
    <n v="0"/>
    <s v="Collected"/>
    <x v="2"/>
    <x v="2"/>
    <x v="25"/>
    <x v="3"/>
    <n v="1.31"/>
    <n v="13646.2"/>
    <n v="0.14978048030908372"/>
    <n v="0"/>
    <x v="1"/>
    <n v="9"/>
    <s v="September"/>
    <s v="2025-09"/>
  </r>
  <r>
    <s v="FZ00329"/>
    <n v="45650"/>
    <n v="45661"/>
    <x v="0"/>
    <n v="250"/>
    <n v="891.65"/>
    <n v="1.65"/>
    <n v="219234.44"/>
    <x v="2"/>
    <n v="699.33"/>
    <n v="174832.5"/>
    <n v="1340.64"/>
    <n v="1370.98"/>
    <n v="5854.41"/>
    <n v="183398.53"/>
    <n v="44401.94"/>
    <n v="35835.910000000003"/>
    <s v="Paid"/>
    <n v="219234.44"/>
    <n v="0"/>
    <s v="Collected"/>
    <x v="5"/>
    <x v="1"/>
    <x v="6"/>
    <x v="2"/>
    <n v="1.81"/>
    <n v="35835.910000000003"/>
    <n v="0.16345930867431233"/>
    <n v="0"/>
    <x v="0"/>
    <n v="12"/>
    <s v="December"/>
    <s v="2024-12"/>
  </r>
  <r>
    <s v="FZ00330"/>
    <n v="46018"/>
    <n v="46019"/>
    <x v="1"/>
    <n v="100"/>
    <n v="1283.72"/>
    <n v="0.24"/>
    <n v="128063.91"/>
    <x v="3"/>
    <n v="1071.04"/>
    <n v="107104"/>
    <n v="1686.78"/>
    <n v="374.39"/>
    <n v="5774.82"/>
    <n v="114939.99"/>
    <n v="20959.91"/>
    <n v="13123.92"/>
    <s v="Paid"/>
    <n v="128063.91"/>
    <n v="0"/>
    <s v="Delivered"/>
    <x v="0"/>
    <x v="1"/>
    <x v="34"/>
    <x v="4"/>
    <n v="0.98"/>
    <n v="13123.92"/>
    <n v="0.10247945732720483"/>
    <n v="0"/>
    <x v="1"/>
    <n v="12"/>
    <s v="December"/>
    <s v="2025-12"/>
  </r>
  <r>
    <s v="FZ00331"/>
    <n v="45385"/>
    <n v="45391"/>
    <x v="0"/>
    <n v="50"/>
    <n v="947.76"/>
    <n v="1.74"/>
    <n v="46563.45"/>
    <x v="3"/>
    <n v="751.51"/>
    <n v="37575.5"/>
    <n v="872.6"/>
    <n v="268.68"/>
    <n v="10805.9"/>
    <n v="49522.68"/>
    <n v="8987.9500000000007"/>
    <n v="-2959.23"/>
    <s v="Paid"/>
    <n v="46563.45"/>
    <n v="0"/>
    <s v="Delivered"/>
    <x v="4"/>
    <x v="3"/>
    <x v="26"/>
    <x v="4"/>
    <n v="1.08"/>
    <n v="-2959.23"/>
    <n v="-6.3552636241515609E-2"/>
    <n v="0"/>
    <x v="0"/>
    <n v="4"/>
    <s v="April"/>
    <s v="2024-04"/>
  </r>
  <r>
    <s v="FZ00332"/>
    <n v="45341"/>
    <n v="45347"/>
    <x v="3"/>
    <n v="150"/>
    <n v="913.34"/>
    <n v="0.31"/>
    <n v="136576.29999999999"/>
    <x v="3"/>
    <n v="791.5"/>
    <n v="118725"/>
    <n v="1255.47"/>
    <n v="263.29000000000002"/>
    <n v="212.64"/>
    <n v="120456.4"/>
    <n v="17851.3"/>
    <n v="16119.9"/>
    <s v="Paid"/>
    <n v="136576.29999999999"/>
    <n v="0"/>
    <s v="Delivered"/>
    <x v="0"/>
    <x v="1"/>
    <x v="35"/>
    <x v="4"/>
    <n v="0.4"/>
    <n v="16119.9"/>
    <n v="0.11802853057228817"/>
    <n v="0"/>
    <x v="0"/>
    <n v="2"/>
    <s v="February"/>
    <s v="2024-02"/>
  </r>
  <r>
    <s v="FZ00333"/>
    <n v="46001"/>
    <n v="46009"/>
    <x v="1"/>
    <n v="300"/>
    <n v="1295.95"/>
    <n v="1.29"/>
    <n v="383769.67"/>
    <x v="0"/>
    <n v="1035.3499999999999"/>
    <n v="310605"/>
    <n v="5512.57"/>
    <n v="1096.6300000000001"/>
    <n v="2875.9"/>
    <n v="320090.09999999998"/>
    <n v="73164.67"/>
    <n v="63679.57"/>
    <s v="Unpaid"/>
    <n v="0"/>
    <n v="383769.67"/>
    <s v="Delivered"/>
    <x v="0"/>
    <x v="3"/>
    <x v="12"/>
    <x v="2"/>
    <n v="1.28"/>
    <n v="63679.57"/>
    <n v="0.16593174233909627"/>
    <n v="0"/>
    <x v="1"/>
    <n v="12"/>
    <s v="December"/>
    <s v="2025-12"/>
  </r>
  <r>
    <s v="FZ00334"/>
    <n v="45494"/>
    <n v="45501"/>
    <x v="0"/>
    <n v="50"/>
    <n v="796.81"/>
    <n v="1.84"/>
    <n v="39107.43"/>
    <x v="2"/>
    <n v="734.47"/>
    <n v="36723.5"/>
    <n v="974.56"/>
    <n v="150.83000000000001"/>
    <n v="11572.97"/>
    <n v="49421.86"/>
    <n v="2383.9299999999998"/>
    <n v="-10314.43"/>
    <s v="Paid"/>
    <n v="39107.43"/>
    <n v="0"/>
    <s v="Collected"/>
    <x v="3"/>
    <x v="1"/>
    <x v="27"/>
    <x v="2"/>
    <n v="0.72"/>
    <n v="-10314.43"/>
    <n v="-0.26374604518885542"/>
    <n v="0"/>
    <x v="0"/>
    <n v="7"/>
    <s v="July"/>
    <s v="2024-07"/>
  </r>
  <r>
    <s v="FZ00335"/>
    <n v="45504"/>
    <n v="45514"/>
    <x v="3"/>
    <n v="200"/>
    <n v="912.46"/>
    <n v="0.5"/>
    <n v="181579.54"/>
    <x v="1"/>
    <n v="820.24"/>
    <n v="164048"/>
    <n v="4119.18"/>
    <n v="1125.08"/>
    <n v="10776.09"/>
    <n v="180068.35"/>
    <n v="17531.54"/>
    <n v="1511.19"/>
    <s v="Paid"/>
    <n v="181579.54"/>
    <n v="0"/>
    <s v="Delivered"/>
    <x v="1"/>
    <x v="1"/>
    <x v="7"/>
    <x v="5"/>
    <n v="0.28999999999999998"/>
    <n v="1511.19"/>
    <n v="8.3224684895666107E-3"/>
    <n v="0"/>
    <x v="0"/>
    <n v="7"/>
    <s v="July"/>
    <s v="2024-07"/>
  </r>
  <r>
    <s v="FZ00336"/>
    <n v="45746"/>
    <n v="45748"/>
    <x v="1"/>
    <n v="300"/>
    <n v="1248.3699999999999"/>
    <n v="1.18"/>
    <n v="370091.77"/>
    <x v="0"/>
    <n v="992.41"/>
    <n v="297723"/>
    <n v="6722.63"/>
    <n v="1454.22"/>
    <n v="2610.85"/>
    <n v="308510.7"/>
    <n v="72368.77"/>
    <n v="61581.07"/>
    <s v="Paid"/>
    <n v="370091.77"/>
    <n v="0"/>
    <s v="Delivered"/>
    <x v="0"/>
    <x v="0"/>
    <x v="2"/>
    <x v="2"/>
    <n v="0.83"/>
    <n v="61581.07"/>
    <n v="0.16639405410177047"/>
    <n v="0"/>
    <x v="1"/>
    <n v="3"/>
    <s v="March"/>
    <s v="2025-03"/>
  </r>
  <r>
    <s v="FZ00337"/>
    <n v="45756"/>
    <n v="45758"/>
    <x v="1"/>
    <n v="50"/>
    <n v="1357.7"/>
    <n v="0.64"/>
    <n v="67450.539999999994"/>
    <x v="0"/>
    <n v="972.53"/>
    <n v="48626.5"/>
    <n v="942.17"/>
    <n v="282.12"/>
    <n v="9930.11"/>
    <n v="59780.9"/>
    <n v="18824.04"/>
    <n v="7669.64"/>
    <s v="Paid"/>
    <n v="67450.539999999994"/>
    <n v="0"/>
    <s v="Delivered"/>
    <x v="5"/>
    <x v="3"/>
    <x v="26"/>
    <x v="4"/>
    <n v="1.97"/>
    <n v="7669.64"/>
    <n v="0.11370761449797141"/>
    <n v="0"/>
    <x v="1"/>
    <n v="4"/>
    <s v="April"/>
    <s v="2025-04"/>
  </r>
  <r>
    <s v="FZ00338"/>
    <n v="45436"/>
    <n v="45446"/>
    <x v="0"/>
    <n v="250"/>
    <n v="906.84"/>
    <n v="2"/>
    <n v="222175.8"/>
    <x v="2"/>
    <n v="649.53"/>
    <n v="162382.5"/>
    <n v="4792.8"/>
    <n v="1327.88"/>
    <n v="7041.34"/>
    <n v="175544.52"/>
    <n v="59793.3"/>
    <n v="46631.28"/>
    <s v="Paid"/>
    <n v="222175.8"/>
    <n v="0"/>
    <s v="Delivered"/>
    <x v="0"/>
    <x v="1"/>
    <x v="7"/>
    <x v="5"/>
    <n v="0.57999999999999996"/>
    <n v="46631.28"/>
    <n v="0.20988460489396235"/>
    <n v="0"/>
    <x v="0"/>
    <n v="5"/>
    <s v="May"/>
    <s v="2024-05"/>
  </r>
  <r>
    <s v="FZ00339"/>
    <n v="45477"/>
    <n v="45479"/>
    <x v="0"/>
    <n v="1200"/>
    <n v="891.98"/>
    <n v="4.22"/>
    <n v="1025206.13"/>
    <x v="0"/>
    <n v="671.58"/>
    <n v="805896"/>
    <n v="7056.03"/>
    <n v="5269.7"/>
    <n v="9877.67"/>
    <n v="828099.4"/>
    <n v="219310.13"/>
    <n v="197106.73"/>
    <s v="Paid"/>
    <n v="1025206.13"/>
    <n v="0"/>
    <s v="Delivered"/>
    <x v="0"/>
    <x v="2"/>
    <x v="7"/>
    <x v="5"/>
    <n v="0.81"/>
    <n v="197106.73"/>
    <n v="0.19226058470797477"/>
    <n v="0"/>
    <x v="0"/>
    <n v="7"/>
    <s v="July"/>
    <s v="2024-07"/>
  </r>
  <r>
    <s v="FZ00340"/>
    <n v="45852"/>
    <n v="45864"/>
    <x v="3"/>
    <n v="100"/>
    <n v="956.11"/>
    <n v="1.08"/>
    <n v="94578.4"/>
    <x v="3"/>
    <n v="761.81"/>
    <n v="76181"/>
    <n v="1538.95"/>
    <n v="251.72"/>
    <n v="2115.52"/>
    <n v="80087.19"/>
    <n v="18397.400000000001"/>
    <n v="14491.21"/>
    <s v="Part-paid"/>
    <n v="36735.69"/>
    <n v="57842.71"/>
    <s v="Delivered"/>
    <x v="1"/>
    <x v="3"/>
    <x v="16"/>
    <x v="1"/>
    <n v="1.99"/>
    <n v="14491.21"/>
    <n v="0.15321902252522776"/>
    <n v="0"/>
    <x v="1"/>
    <n v="7"/>
    <s v="July"/>
    <s v="2025-07"/>
  </r>
  <r>
    <s v="FZ00341"/>
    <n v="45513"/>
    <m/>
    <x v="0"/>
    <n v="50"/>
    <n v="894.24"/>
    <n v="1.86"/>
    <n v="43880.36"/>
    <x v="3"/>
    <n v="670.88"/>
    <n v="33544"/>
    <n v="437.03"/>
    <n v="261.39999999999998"/>
    <n v="7768.11"/>
    <n v="42010.54"/>
    <n v="10336.36"/>
    <n v="1869.82"/>
    <s v="Paid"/>
    <n v="43880.36"/>
    <n v="0"/>
    <s v="Pending"/>
    <x v="0"/>
    <x v="0"/>
    <x v="25"/>
    <x v="3"/>
    <n v="1.64"/>
    <n v="1869.82"/>
    <n v="4.2611774379243926E-2"/>
    <n v="0"/>
    <x v="0"/>
    <n v="8"/>
    <s v="August"/>
    <s v="2024-08"/>
  </r>
  <r>
    <s v="FZ00342"/>
    <n v="45337"/>
    <n v="45347"/>
    <x v="3"/>
    <n v="100"/>
    <n v="929.44"/>
    <n v="1.51"/>
    <n v="91540.55"/>
    <x v="1"/>
    <n v="747.86"/>
    <n v="74786"/>
    <n v="1876.19"/>
    <n v="461.58"/>
    <n v="1034.22"/>
    <n v="78157.990000000005"/>
    <n v="16754.55"/>
    <n v="13382.56"/>
    <s v="Unpaid"/>
    <n v="0"/>
    <n v="91540.55"/>
    <s v="Delivered"/>
    <x v="1"/>
    <x v="2"/>
    <x v="8"/>
    <x v="5"/>
    <n v="0.26"/>
    <n v="13382.56"/>
    <n v="0.14619269820860809"/>
    <n v="0"/>
    <x v="0"/>
    <n v="2"/>
    <s v="February"/>
    <s v="2024-02"/>
  </r>
  <r>
    <s v="FZ00343"/>
    <n v="45420"/>
    <n v="45431"/>
    <x v="1"/>
    <n v="1000"/>
    <n v="1337.45"/>
    <n v="2.48"/>
    <n v="1304281.24"/>
    <x v="1"/>
    <n v="1004.39"/>
    <n v="1004390"/>
    <n v="17994.27"/>
    <n v="3488.36"/>
    <n v="10545.43"/>
    <n v="1036418.06"/>
    <n v="299891.24"/>
    <n v="267863.18"/>
    <s v="Part-paid"/>
    <n v="502223.41"/>
    <n v="802057.83"/>
    <s v="Delivered"/>
    <x v="0"/>
    <x v="1"/>
    <x v="32"/>
    <x v="0"/>
    <n v="1.74"/>
    <n v="267863.18"/>
    <n v="0.20537225545005922"/>
    <n v="0"/>
    <x v="0"/>
    <n v="5"/>
    <s v="May"/>
    <s v="2024-05"/>
  </r>
  <r>
    <s v="FZ00344"/>
    <n v="45539"/>
    <m/>
    <x v="0"/>
    <n v="500"/>
    <n v="935.41"/>
    <n v="2.42"/>
    <n v="456386.54"/>
    <x v="1"/>
    <n v="677.82"/>
    <n v="338910"/>
    <n v="3448.79"/>
    <n v="1264.76"/>
    <n v="3267.86"/>
    <n v="346891.41"/>
    <n v="117476.54"/>
    <n v="109495.13"/>
    <s v="Paid"/>
    <n v="456386.54"/>
    <n v="0"/>
    <s v="Pending"/>
    <x v="3"/>
    <x v="0"/>
    <x v="0"/>
    <x v="0"/>
    <n v="0.98"/>
    <n v="109495.13"/>
    <n v="0.23991752692794141"/>
    <n v="0"/>
    <x v="0"/>
    <n v="9"/>
    <s v="September"/>
    <s v="2024-09"/>
  </r>
  <r>
    <s v="FZ00345"/>
    <n v="45477"/>
    <n v="45478"/>
    <x v="0"/>
    <n v="300"/>
    <n v="878.66"/>
    <n v="1.99"/>
    <n v="258352.4"/>
    <x v="1"/>
    <n v="736.99"/>
    <n v="221097"/>
    <n v="2397.3200000000002"/>
    <n v="1168.47"/>
    <n v="1919.54"/>
    <n v="226582.33"/>
    <n v="37255.4"/>
    <n v="31770.07"/>
    <s v="Part-paid"/>
    <n v="125509.11"/>
    <n v="132843.29"/>
    <s v="Delivered"/>
    <x v="0"/>
    <x v="0"/>
    <x v="3"/>
    <x v="3"/>
    <n v="1.94"/>
    <n v="31770.07"/>
    <n v="0.12297184001387253"/>
    <n v="0"/>
    <x v="0"/>
    <n v="7"/>
    <s v="July"/>
    <s v="2024-07"/>
  </r>
  <r>
    <s v="FZ00346"/>
    <n v="45443"/>
    <m/>
    <x v="0"/>
    <n v="300"/>
    <n v="869.65"/>
    <n v="1.2"/>
    <n v="257764.26"/>
    <x v="1"/>
    <n v="739"/>
    <n v="221700"/>
    <n v="1522.81"/>
    <n v="953.4"/>
    <n v="9233.2099999999991"/>
    <n v="233409.42"/>
    <n v="36064.26"/>
    <n v="24354.84"/>
    <s v="Paid"/>
    <n v="257764.26"/>
    <n v="0"/>
    <s v="Pending"/>
    <x v="1"/>
    <x v="2"/>
    <x v="15"/>
    <x v="3"/>
    <n v="2.4900000000000002"/>
    <n v="24354.84"/>
    <n v="9.448493751616302E-2"/>
    <n v="0"/>
    <x v="0"/>
    <n v="5"/>
    <s v="May"/>
    <s v="2024-05"/>
  </r>
  <r>
    <s v="FZ00347"/>
    <n v="45991"/>
    <n v="45991"/>
    <x v="0"/>
    <n v="200"/>
    <n v="876.02"/>
    <n v="0.77"/>
    <n v="173854.93"/>
    <x v="2"/>
    <n v="706.06"/>
    <n v="141212"/>
    <n v="1758.43"/>
    <n v="603.64"/>
    <n v="9000.39"/>
    <n v="152574.46"/>
    <n v="32642.93"/>
    <n v="21280.47"/>
    <s v="Part-paid"/>
    <n v="98633.35"/>
    <n v="75221.58"/>
    <s v="Delivered"/>
    <x v="0"/>
    <x v="0"/>
    <x v="3"/>
    <x v="3"/>
    <n v="0.11"/>
    <n v="21280.47"/>
    <n v="0.12240360397027569"/>
    <n v="0"/>
    <x v="1"/>
    <n v="11"/>
    <s v="November"/>
    <s v="2025-11"/>
  </r>
  <r>
    <s v="FZ00348"/>
    <n v="45465"/>
    <n v="45470"/>
    <x v="0"/>
    <n v="300"/>
    <n v="826.64"/>
    <n v="1.1599999999999999"/>
    <n v="245115.29"/>
    <x v="0"/>
    <n v="720.5"/>
    <n v="216150"/>
    <n v="2126.79"/>
    <n v="1425.79"/>
    <n v="3181.3"/>
    <n v="222883.88"/>
    <n v="28965.29"/>
    <n v="22231.41"/>
    <s v="Part-paid"/>
    <n v="149091.16"/>
    <n v="96024.13"/>
    <s v="Delivered"/>
    <x v="1"/>
    <x v="4"/>
    <x v="4"/>
    <x v="1"/>
    <n v="2.33"/>
    <n v="22231.41"/>
    <n v="9.0697769200770786E-2"/>
    <n v="0"/>
    <x v="0"/>
    <n v="6"/>
    <s v="June"/>
    <s v="2024-06"/>
  </r>
  <r>
    <s v="FZ00349"/>
    <n v="45852"/>
    <n v="45858"/>
    <x v="3"/>
    <n v="500"/>
    <n v="925.37"/>
    <n v="2.5"/>
    <n v="451117.88"/>
    <x v="1"/>
    <n v="723.29"/>
    <n v="361645"/>
    <n v="9462.91"/>
    <n v="2801.66"/>
    <n v="11671.43"/>
    <n v="385581"/>
    <n v="89472.88"/>
    <n v="65536.88"/>
    <s v="Paid"/>
    <n v="451117.88"/>
    <n v="0"/>
    <s v="Delivered"/>
    <x v="4"/>
    <x v="0"/>
    <x v="27"/>
    <x v="2"/>
    <n v="1.38"/>
    <n v="65536.88"/>
    <n v="0.14527661816463583"/>
    <n v="0"/>
    <x v="1"/>
    <n v="7"/>
    <s v="July"/>
    <s v="2025-07"/>
  </r>
  <r>
    <s v="FZ00350"/>
    <n v="45450"/>
    <n v="45460"/>
    <x v="1"/>
    <n v="150"/>
    <n v="1306.71"/>
    <n v="1.8"/>
    <n v="192478.38"/>
    <x v="1"/>
    <n v="1053.06"/>
    <n v="157959"/>
    <n v="1090.8699999999999"/>
    <n v="600.87"/>
    <n v="5049.25"/>
    <n v="164699.99"/>
    <n v="34519.379999999997"/>
    <n v="27778.39"/>
    <s v="Paid"/>
    <n v="192478.38"/>
    <n v="0"/>
    <s v="Delivered"/>
    <x v="4"/>
    <x v="1"/>
    <x v="9"/>
    <x v="1"/>
    <n v="0.79"/>
    <n v="27778.39"/>
    <n v="0.14431953344578233"/>
    <n v="0"/>
    <x v="0"/>
    <n v="6"/>
    <s v="June"/>
    <s v="2024-06"/>
  </r>
  <r>
    <s v="FZ00351"/>
    <n v="45350"/>
    <n v="45357"/>
    <x v="0"/>
    <n v="200"/>
    <n v="826.53"/>
    <n v="0.86"/>
    <n v="163884.37"/>
    <x v="1"/>
    <n v="734.91"/>
    <n v="146982"/>
    <n v="2411.4899999999998"/>
    <n v="506.39"/>
    <n v="11189.88"/>
    <n v="161089.76"/>
    <n v="16902.37"/>
    <n v="2794.61"/>
    <s v="Unpaid"/>
    <n v="0"/>
    <n v="163884.37"/>
    <s v="Collected"/>
    <x v="0"/>
    <x v="0"/>
    <x v="23"/>
    <x v="4"/>
    <n v="2.41"/>
    <n v="2794.61"/>
    <n v="1.7052327808930165E-2"/>
    <n v="0"/>
    <x v="0"/>
    <n v="2"/>
    <s v="February"/>
    <s v="2024-02"/>
  </r>
  <r>
    <s v="FZ00352"/>
    <n v="45309"/>
    <n v="45314"/>
    <x v="0"/>
    <n v="1000"/>
    <n v="845.55"/>
    <n v="0.59"/>
    <n v="840561.26"/>
    <x v="0"/>
    <n v="650.58000000000004"/>
    <n v="650580"/>
    <n v="9881.74"/>
    <n v="3158.93"/>
    <n v="7847.6"/>
    <n v="671468.27"/>
    <n v="189981.26"/>
    <n v="169092.99"/>
    <s v="Part-paid"/>
    <n v="394054.34"/>
    <n v="446506.92"/>
    <s v="Delivered"/>
    <x v="0"/>
    <x v="3"/>
    <x v="25"/>
    <x v="3"/>
    <n v="1.5"/>
    <n v="169092.99"/>
    <n v="0.20116676564418398"/>
    <n v="0"/>
    <x v="0"/>
    <n v="1"/>
    <s v="January"/>
    <s v="2024-01"/>
  </r>
  <r>
    <s v="FZ00353"/>
    <n v="45402"/>
    <n v="45410"/>
    <x v="2"/>
    <n v="200"/>
    <n v="739.42"/>
    <n v="2.29"/>
    <n v="144497.46"/>
    <x v="1"/>
    <n v="557.11"/>
    <n v="111422"/>
    <n v="4467.2700000000004"/>
    <n v="627.02"/>
    <n v="7035.35"/>
    <n v="123551.64"/>
    <n v="33075.46"/>
    <n v="20945.82"/>
    <s v="Paid"/>
    <n v="144497.46"/>
    <n v="0"/>
    <s v="Delivered"/>
    <x v="5"/>
    <x v="4"/>
    <x v="15"/>
    <x v="3"/>
    <n v="0.97"/>
    <n v="20945.82"/>
    <n v="0.14495631964741804"/>
    <n v="0"/>
    <x v="0"/>
    <n v="4"/>
    <s v="April"/>
    <s v="2024-04"/>
  </r>
  <r>
    <s v="FZ00354"/>
    <n v="45972"/>
    <n v="45979"/>
    <x v="3"/>
    <n v="300"/>
    <n v="1049.97"/>
    <n v="1.1299999999999999"/>
    <n v="311431.59999999998"/>
    <x v="1"/>
    <n v="811.81"/>
    <n v="243543"/>
    <n v="6036.86"/>
    <n v="450.29"/>
    <n v="3610.27"/>
    <n v="253640.42"/>
    <n v="67888.600000000006"/>
    <n v="57791.18"/>
    <s v="Paid"/>
    <n v="311431.59999999998"/>
    <n v="0"/>
    <s v="Delivered"/>
    <x v="0"/>
    <x v="0"/>
    <x v="36"/>
    <x v="3"/>
    <n v="2.44"/>
    <n v="57791.18"/>
    <n v="0.18556620458553341"/>
    <n v="0"/>
    <x v="1"/>
    <n v="11"/>
    <s v="November"/>
    <s v="2025-11"/>
  </r>
  <r>
    <s v="FZ00355"/>
    <n v="45745"/>
    <n v="45749"/>
    <x v="1"/>
    <n v="250"/>
    <n v="1393.2"/>
    <n v="1.1200000000000001"/>
    <n v="344399.04"/>
    <x v="2"/>
    <n v="1055.52"/>
    <n v="263880"/>
    <n v="5230.03"/>
    <n v="770.27"/>
    <n v="403.82"/>
    <n v="270284.12"/>
    <n v="80519.039999999994"/>
    <n v="74114.92"/>
    <s v="Paid"/>
    <n v="344399.04"/>
    <n v="0"/>
    <s v="Delivered"/>
    <x v="2"/>
    <x v="0"/>
    <x v="4"/>
    <x v="1"/>
    <n v="1.0900000000000001"/>
    <n v="74114.92"/>
    <n v="0.21520071600664162"/>
    <n v="0"/>
    <x v="1"/>
    <n v="3"/>
    <s v="March"/>
    <s v="2025-03"/>
  </r>
  <r>
    <s v="FZ00356"/>
    <n v="45784"/>
    <n v="45787"/>
    <x v="3"/>
    <n v="200"/>
    <n v="948.52"/>
    <n v="1.5"/>
    <n v="186858.44"/>
    <x v="1"/>
    <n v="723.58"/>
    <n v="144716"/>
    <n v="1425.33"/>
    <n v="900.41"/>
    <n v="4756.99"/>
    <n v="151798.73000000001"/>
    <n v="42142.44"/>
    <n v="35059.71"/>
    <s v="Paid"/>
    <n v="186858.44"/>
    <n v="0"/>
    <s v="Delivered"/>
    <x v="0"/>
    <x v="4"/>
    <x v="20"/>
    <x v="2"/>
    <n v="0.84"/>
    <n v="35059.71"/>
    <n v="0.18762711494326934"/>
    <n v="0"/>
    <x v="1"/>
    <n v="5"/>
    <s v="May"/>
    <s v="2025-05"/>
  </r>
  <r>
    <s v="FZ00357"/>
    <n v="45820"/>
    <n v="45833"/>
    <x v="0"/>
    <n v="300"/>
    <n v="825.34"/>
    <n v="0.22"/>
    <n v="247057.28"/>
    <x v="1"/>
    <n v="732.14"/>
    <n v="219642"/>
    <n v="5669.59"/>
    <n v="1072.8499999999999"/>
    <n v="6198.58"/>
    <n v="232583.02"/>
    <n v="27415.279999999999"/>
    <n v="14474.26"/>
    <s v="Paid"/>
    <n v="247057.28"/>
    <n v="0"/>
    <s v="Delivered"/>
    <x v="0"/>
    <x v="0"/>
    <x v="15"/>
    <x v="3"/>
    <n v="2.06"/>
    <n v="14474.26"/>
    <n v="5.8586656503301582E-2"/>
    <n v="0"/>
    <x v="1"/>
    <n v="6"/>
    <s v="June"/>
    <s v="2025-06"/>
  </r>
  <r>
    <s v="FZ00358"/>
    <n v="45484"/>
    <n v="45489"/>
    <x v="0"/>
    <n v="1000"/>
    <n v="827.97"/>
    <n v="1.1100000000000001"/>
    <n v="818779.53"/>
    <x v="1"/>
    <n v="737.58"/>
    <n v="737580"/>
    <n v="11901.84"/>
    <n v="4722.7700000000004"/>
    <n v="2096.09"/>
    <n v="756300.7"/>
    <n v="81199.53"/>
    <n v="62478.83"/>
    <s v="Paid"/>
    <n v="818779.53"/>
    <n v="0"/>
    <s v="Delivered"/>
    <x v="5"/>
    <x v="1"/>
    <x v="15"/>
    <x v="3"/>
    <n v="1.38"/>
    <n v="62478.83"/>
    <n v="7.6307269186370597E-2"/>
    <n v="0"/>
    <x v="0"/>
    <n v="7"/>
    <s v="July"/>
    <s v="2024-07"/>
  </r>
  <r>
    <s v="FZ00359"/>
    <n v="45341"/>
    <n v="45342"/>
    <x v="0"/>
    <n v="200"/>
    <n v="876.79"/>
    <n v="2.2400000000000002"/>
    <n v="171429.98"/>
    <x v="2"/>
    <n v="677.8"/>
    <n v="135560"/>
    <n v="3488.9"/>
    <n v="914.67"/>
    <n v="4032.06"/>
    <n v="143995.63"/>
    <n v="35869.980000000003"/>
    <n v="27434.35"/>
    <s v="Part-paid"/>
    <n v="81566.559999999998"/>
    <n v="89863.42"/>
    <s v="Delivered"/>
    <x v="0"/>
    <x v="0"/>
    <x v="27"/>
    <x v="2"/>
    <n v="0.23"/>
    <n v="27434.35"/>
    <n v="0.16003239340050088"/>
    <n v="0"/>
    <x v="0"/>
    <n v="2"/>
    <s v="February"/>
    <s v="2024-02"/>
  </r>
  <r>
    <s v="FZ00360"/>
    <n v="45329"/>
    <n v="45342"/>
    <x v="1"/>
    <n v="50"/>
    <n v="1199.52"/>
    <n v="0.7"/>
    <n v="59556.17"/>
    <x v="1"/>
    <n v="1049.07"/>
    <n v="52453.5"/>
    <n v="719.51"/>
    <n v="213.23"/>
    <n v="8656.06"/>
    <n v="62042.3"/>
    <n v="7102.67"/>
    <n v="-2486.13"/>
    <s v="Paid"/>
    <n v="59556.17"/>
    <n v="0"/>
    <s v="Delivered"/>
    <x v="1"/>
    <x v="0"/>
    <x v="8"/>
    <x v="5"/>
    <n v="1.93"/>
    <n v="-2486.13"/>
    <n v="-4.1744289466565769E-2"/>
    <n v="0"/>
    <x v="0"/>
    <n v="2"/>
    <s v="February"/>
    <s v="2024-02"/>
  </r>
  <r>
    <s v="FZ00361"/>
    <n v="45870"/>
    <n v="45876"/>
    <x v="4"/>
    <n v="50"/>
    <n v="2978.51"/>
    <n v="0.21"/>
    <n v="148612.76"/>
    <x v="3"/>
    <n v="2411.4899999999998"/>
    <n v="120574.5"/>
    <n v="1191.23"/>
    <n v="121.96"/>
    <n v="1077.45"/>
    <n v="122965.14"/>
    <n v="28038.26"/>
    <n v="25647.62"/>
    <s v="Paid"/>
    <n v="148612.76"/>
    <n v="0"/>
    <s v="Collected"/>
    <x v="0"/>
    <x v="1"/>
    <x v="33"/>
    <x v="1"/>
    <n v="2.48"/>
    <n v="25647.62"/>
    <n v="0.17258020105406829"/>
    <n v="0"/>
    <x v="1"/>
    <n v="8"/>
    <s v="August"/>
    <s v="2025-08"/>
  </r>
  <r>
    <s v="FZ00362"/>
    <n v="45450"/>
    <n v="45455"/>
    <x v="0"/>
    <n v="150"/>
    <n v="914.99"/>
    <n v="0.68"/>
    <n v="136315.21"/>
    <x v="0"/>
    <n v="715.1"/>
    <n v="107265"/>
    <n v="2782.32"/>
    <n v="530.13"/>
    <n v="11162.26"/>
    <n v="121739.71"/>
    <n v="29050.21"/>
    <n v="14575.5"/>
    <s v="Paid"/>
    <n v="136315.21"/>
    <n v="0"/>
    <s v="Delivered"/>
    <x v="2"/>
    <x v="1"/>
    <x v="12"/>
    <x v="2"/>
    <n v="1.86"/>
    <n v="14575.5"/>
    <n v="0.10692497190885743"/>
    <n v="0"/>
    <x v="0"/>
    <n v="6"/>
    <s v="June"/>
    <s v="2024-06"/>
  </r>
  <r>
    <s v="FZ00363"/>
    <n v="45891"/>
    <m/>
    <x v="1"/>
    <n v="1000"/>
    <n v="1288.22"/>
    <n v="2.09"/>
    <n v="0"/>
    <x v="1"/>
    <n v="1021.87"/>
    <n v="0"/>
    <n v="0"/>
    <n v="0"/>
    <n v="0"/>
    <n v="0"/>
    <n v="0"/>
    <n v="0"/>
    <s v="Paid"/>
    <n v="0"/>
    <n v="0"/>
    <s v="Cancelled"/>
    <x v="5"/>
    <x v="1"/>
    <x v="4"/>
    <x v="1"/>
    <n v="1.78"/>
    <n v="0"/>
    <e v="#DIV/0!"/>
    <n v="0"/>
    <x v="1"/>
    <n v="8"/>
    <s v="August"/>
    <s v="2025-08"/>
  </r>
  <r>
    <s v="FZ00364"/>
    <n v="45308"/>
    <n v="45321"/>
    <x v="0"/>
    <n v="1000"/>
    <n v="838.9"/>
    <n v="0.14000000000000001"/>
    <n v="837725.54"/>
    <x v="0"/>
    <n v="737.71"/>
    <n v="737710"/>
    <n v="11561.77"/>
    <n v="1649.87"/>
    <n v="1046.06"/>
    <n v="751967.7"/>
    <n v="100015.54"/>
    <n v="85757.84"/>
    <s v="Paid"/>
    <n v="837725.54"/>
    <n v="0"/>
    <s v="Delivered"/>
    <x v="5"/>
    <x v="2"/>
    <x v="3"/>
    <x v="3"/>
    <n v="0.06"/>
    <n v="85757.84"/>
    <n v="0.10236985254144214"/>
    <n v="0"/>
    <x v="0"/>
    <n v="1"/>
    <s v="January"/>
    <s v="2024-01"/>
  </r>
  <r>
    <s v="FZ00365"/>
    <n v="45547"/>
    <m/>
    <x v="0"/>
    <n v="200"/>
    <n v="870.57"/>
    <n v="2.48"/>
    <n v="169795.97"/>
    <x v="2"/>
    <n v="667.75"/>
    <n v="133550"/>
    <n v="1593.45"/>
    <n v="1128.1400000000001"/>
    <n v="2954.62"/>
    <n v="139226.21"/>
    <n v="36245.97"/>
    <n v="30569.759999999998"/>
    <s v="Part-paid"/>
    <n v="80769.009999999995"/>
    <n v="89026.96"/>
    <s v="Pending"/>
    <x v="1"/>
    <x v="1"/>
    <x v="7"/>
    <x v="5"/>
    <n v="0.72"/>
    <n v="30569.759999999998"/>
    <n v="0.1800381952528084"/>
    <n v="0"/>
    <x v="0"/>
    <n v="9"/>
    <s v="September"/>
    <s v="2024-09"/>
  </r>
  <r>
    <s v="FZ00366"/>
    <n v="45800"/>
    <n v="45813"/>
    <x v="3"/>
    <n v="100"/>
    <n v="933.87"/>
    <n v="1.28"/>
    <n v="92191.65"/>
    <x v="3"/>
    <n v="749.71"/>
    <n v="74971"/>
    <n v="1324.12"/>
    <n v="318.43"/>
    <n v="6073.42"/>
    <n v="82686.97"/>
    <n v="17220.650000000001"/>
    <n v="9504.68"/>
    <s v="Part-paid"/>
    <n v="34134.519999999997"/>
    <n v="58057.13"/>
    <s v="Delivered"/>
    <x v="5"/>
    <x v="2"/>
    <x v="21"/>
    <x v="0"/>
    <n v="1.93"/>
    <n v="9504.68"/>
    <n v="0.10309697244815556"/>
    <n v="0"/>
    <x v="1"/>
    <n v="5"/>
    <s v="May"/>
    <s v="2025-05"/>
  </r>
  <r>
    <s v="FZ00367"/>
    <n v="45776"/>
    <n v="45787"/>
    <x v="0"/>
    <n v="250"/>
    <n v="850.43"/>
    <n v="1.95"/>
    <n v="208461.65"/>
    <x v="2"/>
    <n v="723.2"/>
    <n v="180800"/>
    <n v="2041.32"/>
    <n v="879.79"/>
    <n v="10150.700000000001"/>
    <n v="193871.81"/>
    <n v="27661.65"/>
    <n v="14589.84"/>
    <s v="Paid"/>
    <n v="208461.65"/>
    <n v="0"/>
    <s v="Delivered"/>
    <x v="5"/>
    <x v="4"/>
    <x v="25"/>
    <x v="3"/>
    <n v="1.08"/>
    <n v="14589.84"/>
    <n v="6.9988124914102903E-2"/>
    <n v="0"/>
    <x v="1"/>
    <n v="4"/>
    <s v="April"/>
    <s v="2025-04"/>
  </r>
  <r>
    <s v="FZ00368"/>
    <n v="45957"/>
    <n v="45968"/>
    <x v="3"/>
    <n v="300"/>
    <n v="1062.03"/>
    <n v="1.99"/>
    <n v="312268.68"/>
    <x v="1"/>
    <n v="749.41"/>
    <n v="224823"/>
    <n v="3037.55"/>
    <n v="1055.92"/>
    <n v="9409.42"/>
    <n v="238325.89"/>
    <n v="87445.68"/>
    <n v="73942.789999999994"/>
    <s v="Paid"/>
    <n v="312268.68"/>
    <n v="0"/>
    <s v="Collected"/>
    <x v="3"/>
    <x v="1"/>
    <x v="7"/>
    <x v="5"/>
    <n v="0.61"/>
    <n v="73942.789999999994"/>
    <n v="0.2367922072748378"/>
    <n v="0"/>
    <x v="1"/>
    <n v="10"/>
    <s v="October"/>
    <s v="2025-10"/>
  </r>
  <r>
    <s v="FZ00369"/>
    <n v="45838"/>
    <n v="45848"/>
    <x v="0"/>
    <n v="300"/>
    <n v="809.81"/>
    <n v="0.28000000000000003"/>
    <n v="242262.76"/>
    <x v="1"/>
    <n v="654.37"/>
    <n v="196311"/>
    <n v="5750.27"/>
    <n v="1167.07"/>
    <n v="10363.84"/>
    <n v="213592.18"/>
    <n v="45951.76"/>
    <n v="28670.58"/>
    <s v="Paid"/>
    <n v="242262.76"/>
    <n v="0"/>
    <s v="Collected"/>
    <x v="0"/>
    <x v="4"/>
    <x v="29"/>
    <x v="0"/>
    <n v="0.79"/>
    <n v="28670.58"/>
    <n v="0.11834497386226427"/>
    <n v="0"/>
    <x v="1"/>
    <n v="6"/>
    <s v="June"/>
    <s v="2025-06"/>
  </r>
  <r>
    <s v="FZ00370"/>
    <n v="45363"/>
    <n v="45370"/>
    <x v="1"/>
    <n v="50"/>
    <n v="1315.5"/>
    <n v="0.12"/>
    <n v="65696.070000000007"/>
    <x v="1"/>
    <n v="1032.95"/>
    <n v="51647.5"/>
    <n v="392.28"/>
    <n v="122.41"/>
    <n v="4301.45"/>
    <n v="56463.64"/>
    <n v="14048.57"/>
    <n v="9232.43"/>
    <s v="Paid"/>
    <n v="65696.070000000007"/>
    <n v="0"/>
    <s v="Delivered"/>
    <x v="1"/>
    <x v="2"/>
    <x v="11"/>
    <x v="5"/>
    <n v="1.76"/>
    <n v="9232.43"/>
    <n v="0.14053245498551131"/>
    <n v="0"/>
    <x v="0"/>
    <n v="3"/>
    <s v="March"/>
    <s v="2024-03"/>
  </r>
  <r>
    <s v="FZ00371"/>
    <n v="45395"/>
    <n v="45395"/>
    <x v="1"/>
    <n v="500"/>
    <n v="1396.92"/>
    <n v="0.82"/>
    <n v="692732.63"/>
    <x v="0"/>
    <n v="1080.98"/>
    <n v="540490"/>
    <n v="8974.89"/>
    <n v="808.6"/>
    <n v="4677.67"/>
    <n v="554951.16"/>
    <n v="152242.63"/>
    <n v="137781.47"/>
    <s v="Paid"/>
    <n v="692732.63"/>
    <n v="0"/>
    <s v="Delivered"/>
    <x v="1"/>
    <x v="0"/>
    <x v="12"/>
    <x v="2"/>
    <n v="2.33"/>
    <n v="137781.47"/>
    <n v="0.19889559699245002"/>
    <n v="0"/>
    <x v="0"/>
    <n v="4"/>
    <s v="April"/>
    <s v="2024-04"/>
  </r>
  <r>
    <s v="FZ00372"/>
    <n v="45345"/>
    <n v="45359"/>
    <x v="0"/>
    <n v="250"/>
    <n v="859.66"/>
    <n v="1.9"/>
    <n v="210831.62"/>
    <x v="3"/>
    <n v="681.77"/>
    <n v="170442.5"/>
    <n v="2811.33"/>
    <n v="932.24"/>
    <n v="774.15"/>
    <n v="174960.22"/>
    <n v="40389.120000000003"/>
    <n v="35871.4"/>
    <s v="Paid"/>
    <n v="210831.62"/>
    <n v="0"/>
    <s v="Delivered"/>
    <x v="1"/>
    <x v="0"/>
    <x v="8"/>
    <x v="5"/>
    <n v="1.28"/>
    <n v="35871.4"/>
    <n v="0.17014241032725547"/>
    <n v="0"/>
    <x v="0"/>
    <n v="2"/>
    <s v="February"/>
    <s v="2024-02"/>
  </r>
  <r>
    <s v="FZ00373"/>
    <n v="45969"/>
    <n v="45974"/>
    <x v="0"/>
    <n v="200"/>
    <n v="903.84"/>
    <n v="1.17"/>
    <n v="178653.01"/>
    <x v="3"/>
    <n v="731.56"/>
    <n v="146312"/>
    <n v="1326.34"/>
    <n v="786.01"/>
    <n v="3955.17"/>
    <n v="152379.51999999999"/>
    <n v="32341.01"/>
    <n v="26273.49"/>
    <s v="Paid"/>
    <n v="178653.01"/>
    <n v="0"/>
    <s v="Delivered"/>
    <x v="3"/>
    <x v="1"/>
    <x v="22"/>
    <x v="5"/>
    <n v="0.48"/>
    <n v="26273.49"/>
    <n v="0.1470643567662252"/>
    <n v="0"/>
    <x v="1"/>
    <n v="11"/>
    <s v="November"/>
    <s v="2025-11"/>
  </r>
  <r>
    <s v="FZ00374"/>
    <n v="45590"/>
    <m/>
    <x v="0"/>
    <n v="300"/>
    <n v="937.68"/>
    <n v="0.85"/>
    <n v="278912.92"/>
    <x v="2"/>
    <n v="648.66"/>
    <n v="194598"/>
    <n v="4211.79"/>
    <n v="1781.7"/>
    <n v="10678.71"/>
    <n v="211270.2"/>
    <n v="84314.92"/>
    <n v="67642.720000000001"/>
    <s v="Paid"/>
    <n v="278912.92"/>
    <n v="0"/>
    <s v="Pending"/>
    <x v="3"/>
    <x v="1"/>
    <x v="25"/>
    <x v="3"/>
    <n v="1.49"/>
    <n v="67642.720000000001"/>
    <n v="0.24252271999446998"/>
    <n v="0"/>
    <x v="0"/>
    <n v="10"/>
    <s v="October"/>
    <s v="2024-10"/>
  </r>
  <r>
    <s v="FZ00375"/>
    <n v="45357"/>
    <n v="45362"/>
    <x v="1"/>
    <n v="500"/>
    <n v="1371.72"/>
    <n v="3.95"/>
    <n v="658768.53"/>
    <x v="2"/>
    <n v="985.71"/>
    <n v="492855"/>
    <n v="6773.31"/>
    <n v="2024.62"/>
    <n v="5151.54"/>
    <n v="506804.47"/>
    <n v="165913.53"/>
    <n v="151964.06"/>
    <s v="Part-paid"/>
    <n v="502081.66"/>
    <n v="156686.87"/>
    <s v="Delivered"/>
    <x v="0"/>
    <x v="1"/>
    <x v="30"/>
    <x v="0"/>
    <n v="0.21"/>
    <n v="151964.06"/>
    <n v="0.23067899129911382"/>
    <n v="0"/>
    <x v="0"/>
    <n v="3"/>
    <s v="March"/>
    <s v="2024-03"/>
  </r>
  <r>
    <s v="FZ00376"/>
    <n v="45682"/>
    <n v="45685"/>
    <x v="2"/>
    <n v="200"/>
    <n v="741.6"/>
    <n v="0.14000000000000001"/>
    <n v="148112.35"/>
    <x v="3"/>
    <n v="585.95000000000005"/>
    <n v="117190"/>
    <n v="2190.63"/>
    <n v="604.54"/>
    <n v="9197.23"/>
    <n v="129182.39999999999"/>
    <n v="30922.35"/>
    <n v="18929.95"/>
    <s v="Paid"/>
    <n v="148112.35"/>
    <n v="0"/>
    <s v="Delivered"/>
    <x v="0"/>
    <x v="1"/>
    <x v="12"/>
    <x v="2"/>
    <n v="2.29"/>
    <n v="18929.95"/>
    <n v="0.12780804571664686"/>
    <n v="0"/>
    <x v="1"/>
    <n v="1"/>
    <s v="January"/>
    <s v="2025-01"/>
  </r>
  <r>
    <s v="FZ00377"/>
    <n v="45596"/>
    <n v="45597"/>
    <x v="0"/>
    <n v="200"/>
    <n v="878.64"/>
    <n v="0.35"/>
    <n v="175112.95"/>
    <x v="2"/>
    <n v="694.21"/>
    <n v="138842"/>
    <n v="1257.72"/>
    <n v="1079.3"/>
    <n v="1500.07"/>
    <n v="142679.09"/>
    <n v="36270.949999999997"/>
    <n v="32433.86"/>
    <s v="Paid"/>
    <n v="175112.95"/>
    <n v="0"/>
    <s v="Collected"/>
    <x v="0"/>
    <x v="2"/>
    <x v="5"/>
    <x v="4"/>
    <n v="1.87"/>
    <n v="32433.86"/>
    <n v="0.18521679864338988"/>
    <n v="0"/>
    <x v="0"/>
    <n v="10"/>
    <s v="October"/>
    <s v="2024-10"/>
  </r>
  <r>
    <s v="FZ00378"/>
    <n v="45580"/>
    <n v="45585"/>
    <x v="2"/>
    <n v="50"/>
    <n v="711.9"/>
    <n v="2.14"/>
    <n v="34833.269999999997"/>
    <x v="2"/>
    <n v="532.27"/>
    <n v="26613.5"/>
    <n v="448.97"/>
    <n v="278.18"/>
    <n v="338.14"/>
    <n v="27678.79"/>
    <n v="8219.77"/>
    <n v="7154.48"/>
    <s v="Paid"/>
    <n v="34833.269999999997"/>
    <n v="0"/>
    <s v="Collected"/>
    <x v="5"/>
    <x v="2"/>
    <x v="22"/>
    <x v="5"/>
    <n v="0.18"/>
    <n v="7154.48"/>
    <n v="0.20539214377518963"/>
    <n v="0"/>
    <x v="0"/>
    <n v="10"/>
    <s v="October"/>
    <s v="2024-10"/>
  </r>
  <r>
    <s v="FZ00379"/>
    <n v="45873"/>
    <n v="45876"/>
    <x v="3"/>
    <n v="500"/>
    <n v="1004.94"/>
    <n v="3.66"/>
    <n v="484079.6"/>
    <x v="1"/>
    <n v="746.38"/>
    <n v="373190"/>
    <n v="2635.74"/>
    <n v="909.79"/>
    <n v="1545.06"/>
    <n v="378280.59"/>
    <n v="110889.60000000001"/>
    <n v="105799.01"/>
    <s v="Unpaid"/>
    <n v="0"/>
    <n v="484079.6"/>
    <s v="Collected"/>
    <x v="1"/>
    <x v="1"/>
    <x v="36"/>
    <x v="3"/>
    <n v="2.06"/>
    <n v="105799.01"/>
    <n v="0.21855705136097453"/>
    <n v="0"/>
    <x v="1"/>
    <n v="8"/>
    <s v="August"/>
    <s v="2025-08"/>
  </r>
  <r>
    <s v="FZ00380"/>
    <n v="45427"/>
    <n v="45440"/>
    <x v="0"/>
    <n v="50"/>
    <n v="828.88"/>
    <n v="0.32"/>
    <n v="41311.379999999997"/>
    <x v="2"/>
    <n v="741.87"/>
    <n v="37093.5"/>
    <n v="1196"/>
    <n v="86.86"/>
    <n v="6847.69"/>
    <n v="45224.05"/>
    <n v="4217.88"/>
    <n v="-3912.67"/>
    <s v="Paid"/>
    <n v="41311.379999999997"/>
    <n v="0"/>
    <s v="Delivered"/>
    <x v="0"/>
    <x v="2"/>
    <x v="34"/>
    <x v="4"/>
    <n v="0.69"/>
    <n v="-3912.67"/>
    <n v="-9.4711675088075015E-2"/>
    <n v="0"/>
    <x v="0"/>
    <n v="5"/>
    <s v="May"/>
    <s v="2024-05"/>
  </r>
  <r>
    <s v="FZ00381"/>
    <n v="45896"/>
    <n v="45896"/>
    <x v="0"/>
    <n v="500"/>
    <n v="836.22"/>
    <n v="0.21"/>
    <n v="417231.97"/>
    <x v="1"/>
    <n v="683.19"/>
    <n v="341595"/>
    <n v="6829.15"/>
    <n v="1564.42"/>
    <n v="7512.12"/>
    <n v="357500.69"/>
    <n v="75636.97"/>
    <n v="59731.28"/>
    <s v="Paid"/>
    <n v="417231.97"/>
    <n v="0"/>
    <s v="Delivered"/>
    <x v="0"/>
    <x v="0"/>
    <x v="10"/>
    <x v="5"/>
    <n v="1.91"/>
    <n v="59731.28"/>
    <n v="0.14316084167759244"/>
    <n v="0"/>
    <x v="1"/>
    <n v="8"/>
    <s v="August"/>
    <s v="2025-08"/>
  </r>
  <r>
    <s v="FZ00382"/>
    <n v="45669"/>
    <n v="45671"/>
    <x v="4"/>
    <n v="100"/>
    <n v="2686.45"/>
    <n v="1.41"/>
    <n v="264857.11"/>
    <x v="2"/>
    <n v="2181.58"/>
    <n v="218158"/>
    <n v="2061.73"/>
    <n v="431.78"/>
    <n v="10608.76"/>
    <n v="231260.27"/>
    <n v="46699.11"/>
    <n v="33596.839999999997"/>
    <s v="Paid"/>
    <n v="264857.11"/>
    <n v="0"/>
    <s v="Delivered"/>
    <x v="0"/>
    <x v="0"/>
    <x v="28"/>
    <x v="4"/>
    <n v="2.0699999999999998"/>
    <n v="33596.839999999997"/>
    <n v="0.12684892620024435"/>
    <n v="0"/>
    <x v="1"/>
    <n v="1"/>
    <s v="January"/>
    <s v="2025-01"/>
  </r>
  <r>
    <s v="FZ00383"/>
    <n v="45823"/>
    <n v="45829"/>
    <x v="0"/>
    <n v="750"/>
    <n v="874.61"/>
    <n v="1.34"/>
    <n v="647167.67000000004"/>
    <x v="0"/>
    <n v="705.3"/>
    <n v="528975"/>
    <n v="5509.55"/>
    <n v="3245.06"/>
    <n v="5715.33"/>
    <n v="543444.93999999994"/>
    <n v="118192.67"/>
    <n v="103722.73"/>
    <s v="Paid"/>
    <n v="647167.67000000004"/>
    <n v="0"/>
    <s v="Delivered"/>
    <x v="5"/>
    <x v="0"/>
    <x v="35"/>
    <x v="4"/>
    <n v="0.79"/>
    <n v="103722.73"/>
    <n v="0.16027180405968053"/>
    <n v="0"/>
    <x v="1"/>
    <n v="6"/>
    <s v="June"/>
    <s v="2025-06"/>
  </r>
  <r>
    <s v="FZ00384"/>
    <n v="45977"/>
    <m/>
    <x v="0"/>
    <n v="200"/>
    <n v="883"/>
    <n v="0.12"/>
    <n v="0"/>
    <x v="3"/>
    <n v="675.63"/>
    <n v="0"/>
    <n v="0"/>
    <n v="0"/>
    <n v="0"/>
    <n v="0"/>
    <n v="0"/>
    <n v="0"/>
    <s v="Paid"/>
    <n v="0"/>
    <n v="0"/>
    <s v="Cancelled"/>
    <x v="0"/>
    <x v="1"/>
    <x v="11"/>
    <x v="5"/>
    <n v="1.1200000000000001"/>
    <n v="0"/>
    <e v="#DIV/0!"/>
    <n v="0"/>
    <x v="1"/>
    <n v="11"/>
    <s v="November"/>
    <s v="2025-11"/>
  </r>
  <r>
    <s v="FZ00385"/>
    <n v="45560"/>
    <n v="45563"/>
    <x v="0"/>
    <n v="300"/>
    <n v="833.88"/>
    <n v="2.25"/>
    <n v="244535.31"/>
    <x v="0"/>
    <n v="652.54"/>
    <n v="195762"/>
    <n v="4403.97"/>
    <n v="1182.68"/>
    <n v="959.51"/>
    <n v="202308.16"/>
    <n v="48773.31"/>
    <n v="42227.15"/>
    <s v="Paid"/>
    <n v="244535.31"/>
    <n v="0"/>
    <s v="Collected"/>
    <x v="0"/>
    <x v="1"/>
    <x v="1"/>
    <x v="1"/>
    <n v="0.67"/>
    <n v="42227.15"/>
    <n v="0.17268324153268499"/>
    <n v="0"/>
    <x v="0"/>
    <n v="9"/>
    <s v="September"/>
    <s v="2024-09"/>
  </r>
  <r>
    <s v="FZ00386"/>
    <n v="45450"/>
    <n v="45452"/>
    <x v="0"/>
    <n v="150"/>
    <n v="840.58"/>
    <n v="0.41"/>
    <n v="125570.04"/>
    <x v="0"/>
    <n v="670.82"/>
    <n v="100623"/>
    <n v="3393.43"/>
    <n v="787.52"/>
    <n v="7443.13"/>
    <n v="112247.08"/>
    <n v="24947.040000000001"/>
    <n v="13322.96"/>
    <s v="Paid"/>
    <n v="125570.04"/>
    <n v="0"/>
    <s v="Delivered"/>
    <x v="4"/>
    <x v="0"/>
    <x v="24"/>
    <x v="0"/>
    <n v="2.1"/>
    <n v="13322.96"/>
    <n v="0.10609983081951714"/>
    <n v="0"/>
    <x v="0"/>
    <n v="6"/>
    <s v="June"/>
    <s v="2024-06"/>
  </r>
  <r>
    <s v="FZ00387"/>
    <n v="45292"/>
    <n v="45296"/>
    <x v="0"/>
    <n v="500"/>
    <n v="860.34"/>
    <n v="3.27"/>
    <n v="416103.44"/>
    <x v="0"/>
    <n v="662.95"/>
    <n v="331475"/>
    <n v="4167.12"/>
    <n v="1954.81"/>
    <n v="1153.4000000000001"/>
    <n v="338750.33"/>
    <n v="84628.44"/>
    <n v="77353.11"/>
    <s v="Paid"/>
    <n v="416103.44"/>
    <n v="0"/>
    <s v="Collected"/>
    <x v="1"/>
    <x v="4"/>
    <x v="22"/>
    <x v="5"/>
    <n v="0.1"/>
    <n v="77353.11"/>
    <n v="0.18589875152197732"/>
    <n v="0"/>
    <x v="0"/>
    <n v="1"/>
    <s v="January"/>
    <s v="2024-01"/>
  </r>
  <r>
    <s v="FZ00388"/>
    <n v="45622"/>
    <n v="45623"/>
    <x v="0"/>
    <n v="300"/>
    <n v="852.25"/>
    <n v="2.4"/>
    <n v="249538.8"/>
    <x v="2"/>
    <n v="689.35"/>
    <n v="206805"/>
    <n v="4808.08"/>
    <n v="1036.03"/>
    <n v="679.21"/>
    <n v="213328.32"/>
    <n v="42733.8"/>
    <n v="36210.480000000003"/>
    <s v="Part-paid"/>
    <n v="90813.21"/>
    <n v="158725.59"/>
    <s v="Collected"/>
    <x v="3"/>
    <x v="1"/>
    <x v="22"/>
    <x v="5"/>
    <n v="1.91"/>
    <n v="36210.480000000003"/>
    <n v="0.14510961822369911"/>
    <n v="0"/>
    <x v="0"/>
    <n v="11"/>
    <s v="November"/>
    <s v="2024-11"/>
  </r>
  <r>
    <s v="FZ00389"/>
    <n v="45944"/>
    <n v="45953"/>
    <x v="4"/>
    <n v="500"/>
    <n v="2866.8"/>
    <n v="2.27"/>
    <n v="1400861.82"/>
    <x v="2"/>
    <n v="2147.09"/>
    <n v="1073545"/>
    <n v="4941.4399999999996"/>
    <n v="1927.55"/>
    <n v="7843.94"/>
    <n v="1088257.93"/>
    <n v="327316.82"/>
    <n v="312603.89"/>
    <s v="Paid"/>
    <n v="1400861.82"/>
    <n v="0"/>
    <s v="Delivered"/>
    <x v="4"/>
    <x v="0"/>
    <x v="4"/>
    <x v="1"/>
    <n v="1.98"/>
    <n v="312603.89"/>
    <n v="0.22315112421295058"/>
    <n v="0"/>
    <x v="1"/>
    <n v="10"/>
    <s v="October"/>
    <s v="2025-10"/>
  </r>
  <r>
    <s v="FZ00390"/>
    <n v="45775"/>
    <n v="45789"/>
    <x v="2"/>
    <n v="200"/>
    <n v="697.8"/>
    <n v="2.2400000000000002"/>
    <n v="136433.85999999999"/>
    <x v="3"/>
    <n v="552.98"/>
    <n v="110596"/>
    <n v="2086.88"/>
    <n v="422.88"/>
    <n v="2243.2800000000002"/>
    <n v="115349.04"/>
    <n v="25837.86"/>
    <n v="21084.82"/>
    <s v="Paid"/>
    <n v="136433.85999999999"/>
    <n v="0"/>
    <s v="Delivered"/>
    <x v="0"/>
    <x v="2"/>
    <x v="22"/>
    <x v="5"/>
    <n v="0.32"/>
    <n v="21084.82"/>
    <n v="0.15454242810399121"/>
    <n v="0"/>
    <x v="1"/>
    <n v="4"/>
    <s v="April"/>
    <s v="2025-04"/>
  </r>
  <r>
    <s v="FZ00391"/>
    <n v="45705"/>
    <n v="45714"/>
    <x v="0"/>
    <n v="100"/>
    <n v="838.66"/>
    <n v="0.93"/>
    <n v="83086.05"/>
    <x v="1"/>
    <n v="704.69"/>
    <n v="70469"/>
    <n v="1347.72"/>
    <n v="548.49"/>
    <n v="9685.5499999999993"/>
    <n v="82050.759999999995"/>
    <n v="12617.05"/>
    <n v="1035.29"/>
    <s v="Part-paid"/>
    <n v="45070.54"/>
    <n v="38015.51"/>
    <s v="Delivered"/>
    <x v="0"/>
    <x v="1"/>
    <x v="10"/>
    <x v="5"/>
    <n v="0.65"/>
    <n v="1035.29"/>
    <n v="1.2460455154625835E-2"/>
    <n v="0"/>
    <x v="1"/>
    <n v="2"/>
    <s v="February"/>
    <s v="2025-02"/>
  </r>
  <r>
    <s v="FZ00392"/>
    <n v="45448"/>
    <n v="45449"/>
    <x v="0"/>
    <n v="500"/>
    <n v="851.65"/>
    <n v="3.12"/>
    <n v="412539.26"/>
    <x v="1"/>
    <n v="737.44"/>
    <n v="368720"/>
    <n v="6162.19"/>
    <n v="1405.29"/>
    <n v="2617.1799999999998"/>
    <n v="378904.66"/>
    <n v="43819.26"/>
    <n v="33634.6"/>
    <s v="Paid"/>
    <n v="412539.26"/>
    <n v="0"/>
    <s v="Delivered"/>
    <x v="1"/>
    <x v="4"/>
    <x v="26"/>
    <x v="4"/>
    <n v="2.38"/>
    <n v="33634.6"/>
    <n v="8.1530664499664826E-2"/>
    <n v="0"/>
    <x v="0"/>
    <n v="6"/>
    <s v="June"/>
    <s v="2024-06"/>
  </r>
  <r>
    <s v="FZ00393"/>
    <n v="45656"/>
    <n v="45656"/>
    <x v="0"/>
    <n v="500"/>
    <n v="873.42"/>
    <n v="3.4"/>
    <n v="421861.86"/>
    <x v="3"/>
    <n v="678.26"/>
    <n v="339130"/>
    <n v="5380.79"/>
    <n v="1615.89"/>
    <n v="1475.98"/>
    <n v="347602.66"/>
    <n v="82731.86"/>
    <n v="74259.199999999997"/>
    <s v="Part-paid"/>
    <n v="288582.59000000003"/>
    <n v="133279.26999999999"/>
    <s v="Delivered"/>
    <x v="4"/>
    <x v="1"/>
    <x v="19"/>
    <x v="4"/>
    <n v="1.5"/>
    <n v="74259.199999999997"/>
    <n v="0.17602729007073548"/>
    <n v="0"/>
    <x v="0"/>
    <n v="12"/>
    <s v="December"/>
    <s v="2024-12"/>
  </r>
  <r>
    <s v="FZ00394"/>
    <n v="45602"/>
    <n v="45612"/>
    <x v="0"/>
    <n v="300"/>
    <n v="896.46"/>
    <n v="1.33"/>
    <n v="265361.12"/>
    <x v="0"/>
    <n v="716.16"/>
    <n v="214848"/>
    <n v="5734.35"/>
    <n v="1153.6500000000001"/>
    <n v="458.18"/>
    <n v="222194.18"/>
    <n v="50513.120000000003"/>
    <n v="43166.94"/>
    <s v="Paid"/>
    <n v="265361.12"/>
    <n v="0"/>
    <s v="Delivered"/>
    <x v="1"/>
    <x v="0"/>
    <x v="10"/>
    <x v="5"/>
    <n v="1.58"/>
    <n v="43166.94"/>
    <n v="0.16267243671567261"/>
    <n v="0"/>
    <x v="0"/>
    <n v="11"/>
    <s v="November"/>
    <s v="2024-11"/>
  </r>
  <r>
    <s v="FZ00395"/>
    <n v="46001"/>
    <n v="46011"/>
    <x v="1"/>
    <n v="50"/>
    <n v="1449.75"/>
    <n v="0.87"/>
    <n v="71856.86"/>
    <x v="0"/>
    <n v="1031.99"/>
    <n v="51599.5"/>
    <n v="297.61"/>
    <n v="226.26"/>
    <n v="3765.72"/>
    <n v="55889.09"/>
    <n v="20257.36"/>
    <n v="15967.77"/>
    <s v="Paid"/>
    <n v="71856.86"/>
    <n v="0"/>
    <s v="Collected"/>
    <x v="2"/>
    <x v="1"/>
    <x v="2"/>
    <x v="2"/>
    <n v="1.42"/>
    <n v="15967.77"/>
    <n v="0.22221636180595702"/>
    <n v="0"/>
    <x v="1"/>
    <n v="12"/>
    <s v="December"/>
    <s v="2025-12"/>
  </r>
  <r>
    <s v="FZ00396"/>
    <n v="46010"/>
    <n v="46014"/>
    <x v="0"/>
    <n v="500"/>
    <n v="904.53"/>
    <n v="4.72"/>
    <n v="430918.09"/>
    <x v="1"/>
    <n v="656.63"/>
    <n v="328315"/>
    <n v="5623.12"/>
    <n v="1275.8399999999999"/>
    <n v="6648.02"/>
    <n v="341861.98"/>
    <n v="102603.09"/>
    <n v="89056.11"/>
    <s v="Paid"/>
    <n v="430918.09"/>
    <n v="0"/>
    <s v="Delivered"/>
    <x v="1"/>
    <x v="1"/>
    <x v="23"/>
    <x v="4"/>
    <n v="0.01"/>
    <n v="89056.11"/>
    <n v="0.2066659814629736"/>
    <n v="0"/>
    <x v="1"/>
    <n v="12"/>
    <s v="December"/>
    <s v="2025-12"/>
  </r>
  <r>
    <s v="FZ00397"/>
    <n v="45571"/>
    <n v="45579"/>
    <x v="0"/>
    <n v="200"/>
    <n v="894.23"/>
    <n v="1.77"/>
    <n v="175680.43"/>
    <x v="2"/>
    <n v="678.27"/>
    <n v="135654"/>
    <n v="4401.8900000000003"/>
    <n v="713.5"/>
    <n v="6491.26"/>
    <n v="147260.65"/>
    <n v="40026.43"/>
    <n v="28419.78"/>
    <s v="Paid"/>
    <n v="175680.43"/>
    <n v="0"/>
    <s v="Delivered"/>
    <x v="3"/>
    <x v="4"/>
    <x v="8"/>
    <x v="5"/>
    <n v="2.37"/>
    <n v="28419.78"/>
    <n v="0.16176975432038732"/>
    <n v="0"/>
    <x v="0"/>
    <n v="10"/>
    <s v="October"/>
    <s v="2024-10"/>
  </r>
  <r>
    <s v="FZ00398"/>
    <n v="45637"/>
    <m/>
    <x v="1"/>
    <n v="300"/>
    <n v="1427.12"/>
    <n v="2.25"/>
    <n v="418502.94"/>
    <x v="1"/>
    <n v="1034.31"/>
    <n v="310293"/>
    <n v="3297.35"/>
    <n v="1269.04"/>
    <n v="2267.39"/>
    <n v="317126.78000000003"/>
    <n v="108209.94"/>
    <n v="101376.16"/>
    <s v="Paid"/>
    <n v="418502.94"/>
    <n v="0"/>
    <s v="Pending"/>
    <x v="0"/>
    <x v="2"/>
    <x v="31"/>
    <x v="1"/>
    <n v="1.37"/>
    <n v="101376.16"/>
    <n v="0.24223523973332184"/>
    <n v="0"/>
    <x v="0"/>
    <n v="12"/>
    <s v="December"/>
    <s v="2024-12"/>
  </r>
  <r>
    <s v="FZ00399"/>
    <n v="45486"/>
    <n v="45493"/>
    <x v="4"/>
    <n v="300"/>
    <n v="2965.34"/>
    <n v="0.2"/>
    <n v="887822.8"/>
    <x v="1"/>
    <n v="2122.73"/>
    <n v="636819"/>
    <n v="1988.86"/>
    <n v="1127.81"/>
    <n v="1349.11"/>
    <n v="641284.78"/>
    <n v="251003.8"/>
    <n v="246538.02"/>
    <s v="Part-paid"/>
    <n v="743072.54"/>
    <n v="144750.26"/>
    <s v="Collected"/>
    <x v="5"/>
    <x v="0"/>
    <x v="4"/>
    <x v="1"/>
    <n v="2.0099999999999998"/>
    <n v="246538.02"/>
    <n v="0.27768831798417432"/>
    <n v="0"/>
    <x v="0"/>
    <n v="7"/>
    <s v="July"/>
    <s v="2024-07"/>
  </r>
  <r>
    <s v="FZ00400"/>
    <n v="45719"/>
    <n v="45727"/>
    <x v="1"/>
    <n v="200"/>
    <n v="1287.4000000000001"/>
    <n v="1.1200000000000001"/>
    <n v="254596.22"/>
    <x v="2"/>
    <n v="1078.21"/>
    <n v="215642"/>
    <n v="2902.04"/>
    <n v="319.88"/>
    <n v="6248.96"/>
    <n v="225112.88"/>
    <n v="38954.22"/>
    <n v="29483.34"/>
    <s v="Paid"/>
    <n v="254596.22"/>
    <n v="0"/>
    <s v="Delivered"/>
    <x v="0"/>
    <x v="0"/>
    <x v="34"/>
    <x v="4"/>
    <n v="1.24"/>
    <n v="29483.34"/>
    <n v="0.1158043116272504"/>
    <n v="0"/>
    <x v="1"/>
    <n v="3"/>
    <s v="March"/>
    <s v="2025-03"/>
  </r>
  <r>
    <s v="FZ00401"/>
    <n v="45708"/>
    <n v="45713"/>
    <x v="0"/>
    <n v="50"/>
    <n v="852.44"/>
    <n v="1.85"/>
    <n v="41833.49"/>
    <x v="1"/>
    <n v="664.41"/>
    <n v="33220.5"/>
    <n v="908.11"/>
    <n v="149.87"/>
    <n v="348.78"/>
    <n v="34627.26"/>
    <n v="8612.99"/>
    <n v="7206.23"/>
    <s v="Part-paid"/>
    <n v="19755.3"/>
    <n v="22078.19"/>
    <s v="Delivered"/>
    <x v="2"/>
    <x v="1"/>
    <x v="2"/>
    <x v="2"/>
    <n v="1.26"/>
    <n v="7206.23"/>
    <n v="0.17225983297114345"/>
    <n v="0"/>
    <x v="1"/>
    <n v="2"/>
    <s v="February"/>
    <s v="2025-02"/>
  </r>
  <r>
    <s v="FZ00402"/>
    <n v="45326"/>
    <n v="45326"/>
    <x v="1"/>
    <n v="150"/>
    <n v="1321.59"/>
    <n v="1.27"/>
    <n v="195720.87"/>
    <x v="0"/>
    <n v="976.46"/>
    <n v="146469"/>
    <n v="2874.98"/>
    <n v="451.61"/>
    <n v="2183.31"/>
    <n v="151978.9"/>
    <n v="49251.87"/>
    <n v="43741.97"/>
    <s v="Part-paid"/>
    <n v="108856.23"/>
    <n v="86864.639999999999"/>
    <s v="Delivered"/>
    <x v="0"/>
    <x v="2"/>
    <x v="11"/>
    <x v="5"/>
    <n v="0.59"/>
    <n v="43741.97"/>
    <n v="0.22349159800894"/>
    <n v="0"/>
    <x v="0"/>
    <n v="2"/>
    <s v="February"/>
    <s v="2024-02"/>
  </r>
  <r>
    <s v="FZ00403"/>
    <n v="45536"/>
    <n v="45539"/>
    <x v="3"/>
    <n v="750"/>
    <n v="1048.1500000000001"/>
    <n v="1.89"/>
    <n v="771254.97"/>
    <x v="1"/>
    <n v="723.81"/>
    <n v="542857.5"/>
    <n v="9380.7000000000007"/>
    <n v="3500.11"/>
    <n v="620.30999999999995"/>
    <n v="556358.62"/>
    <n v="228397.47"/>
    <n v="214896.35"/>
    <s v="Paid"/>
    <n v="771254.97"/>
    <n v="0"/>
    <s v="Delivered"/>
    <x v="3"/>
    <x v="2"/>
    <x v="2"/>
    <x v="2"/>
    <n v="1.54"/>
    <n v="214896.35"/>
    <n v="0.27863204563855193"/>
    <n v="0"/>
    <x v="0"/>
    <n v="9"/>
    <s v="September"/>
    <s v="2024-09"/>
  </r>
  <r>
    <s v="FZ00404"/>
    <n v="45581"/>
    <n v="45583"/>
    <x v="3"/>
    <n v="1000"/>
    <n v="1014.95"/>
    <n v="0.24"/>
    <n v="1012514.12"/>
    <x v="2"/>
    <n v="737.27"/>
    <n v="737270"/>
    <n v="18037.62"/>
    <n v="2677.88"/>
    <n v="6704.85"/>
    <n v="764690.35"/>
    <n v="275244.12"/>
    <n v="247823.77"/>
    <s v="Paid"/>
    <n v="1012514.12"/>
    <n v="0"/>
    <s v="Delivered"/>
    <x v="5"/>
    <x v="0"/>
    <x v="9"/>
    <x v="1"/>
    <n v="0.19"/>
    <n v="247823.77"/>
    <n v="0.24476080392834421"/>
    <n v="0"/>
    <x v="0"/>
    <n v="10"/>
    <s v="October"/>
    <s v="2024-10"/>
  </r>
  <r>
    <s v="FZ00405"/>
    <n v="45536"/>
    <n v="45540"/>
    <x v="3"/>
    <n v="1000"/>
    <n v="1045.21"/>
    <n v="0.95"/>
    <n v="1035280.5"/>
    <x v="1"/>
    <n v="752.19"/>
    <n v="752190"/>
    <n v="21694.6"/>
    <n v="2564.88"/>
    <n v="2569.64"/>
    <n v="779019.12"/>
    <n v="283090.5"/>
    <n v="256261.38"/>
    <s v="Paid"/>
    <n v="1035280.5"/>
    <n v="0"/>
    <s v="Delivered"/>
    <x v="1"/>
    <x v="1"/>
    <x v="21"/>
    <x v="0"/>
    <n v="2.2400000000000002"/>
    <n v="256261.38"/>
    <n v="0.24752845243390559"/>
    <n v="0"/>
    <x v="0"/>
    <n v="9"/>
    <s v="September"/>
    <s v="2024-09"/>
  </r>
  <r>
    <s v="FZ00406"/>
    <n v="45508"/>
    <m/>
    <x v="0"/>
    <n v="200"/>
    <n v="892.28"/>
    <n v="0.64"/>
    <n v="0"/>
    <x v="2"/>
    <n v="742.96"/>
    <n v="0"/>
    <n v="0"/>
    <n v="0"/>
    <n v="0"/>
    <n v="0"/>
    <n v="0"/>
    <n v="0"/>
    <s v="Paid"/>
    <n v="0"/>
    <n v="0"/>
    <s v="Cancelled"/>
    <x v="1"/>
    <x v="3"/>
    <x v="20"/>
    <x v="2"/>
    <n v="1.1100000000000001"/>
    <n v="0"/>
    <e v="#DIV/0!"/>
    <n v="0"/>
    <x v="0"/>
    <n v="8"/>
    <s v="August"/>
    <s v="2024-08"/>
  </r>
  <r>
    <s v="FZ00407"/>
    <n v="45959"/>
    <n v="45967"/>
    <x v="0"/>
    <n v="200"/>
    <n v="858.15"/>
    <n v="1.17"/>
    <n v="169621.93"/>
    <x v="1"/>
    <n v="724.62"/>
    <n v="144924"/>
    <n v="3450.89"/>
    <n v="778.77"/>
    <n v="9030.64"/>
    <n v="158184.29999999999"/>
    <n v="24697.93"/>
    <n v="11437.63"/>
    <s v="Paid"/>
    <n v="169621.93"/>
    <n v="0"/>
    <s v="Delivered"/>
    <x v="0"/>
    <x v="0"/>
    <x v="18"/>
    <x v="3"/>
    <n v="1.1299999999999999"/>
    <n v="11437.63"/>
    <n v="6.7430137129084661E-2"/>
    <n v="0"/>
    <x v="1"/>
    <n v="10"/>
    <s v="October"/>
    <s v="2025-10"/>
  </r>
  <r>
    <s v="FZ00408"/>
    <n v="45706"/>
    <n v="45715"/>
    <x v="1"/>
    <n v="50"/>
    <n v="1343.38"/>
    <n v="0.42"/>
    <n v="66886.89"/>
    <x v="1"/>
    <n v="1094.17"/>
    <n v="54708.5"/>
    <n v="588.5"/>
    <n v="184.18"/>
    <n v="7541.34"/>
    <n v="63022.52"/>
    <n v="12178.39"/>
    <n v="3864.37"/>
    <s v="Paid"/>
    <n v="66886.89"/>
    <n v="0"/>
    <s v="Collected"/>
    <x v="5"/>
    <x v="3"/>
    <x v="26"/>
    <x v="4"/>
    <n v="1.98"/>
    <n v="3864.37"/>
    <n v="5.7774699944936891E-2"/>
    <n v="0"/>
    <x v="1"/>
    <n v="2"/>
    <s v="February"/>
    <s v="2025-02"/>
  </r>
  <r>
    <s v="FZ00409"/>
    <n v="45323"/>
    <n v="45329"/>
    <x v="3"/>
    <n v="200"/>
    <n v="924.3"/>
    <n v="2.42"/>
    <n v="180386.39"/>
    <x v="3"/>
    <n v="759.2"/>
    <n v="151840"/>
    <n v="4276.0600000000004"/>
    <n v="698.05"/>
    <n v="9192.4"/>
    <n v="166006.51"/>
    <n v="28546.39"/>
    <n v="14379.88"/>
    <s v="Paid"/>
    <n v="180386.39"/>
    <n v="0"/>
    <s v="Delivered"/>
    <x v="4"/>
    <x v="4"/>
    <x v="22"/>
    <x v="5"/>
    <n v="1.36"/>
    <n v="14379.88"/>
    <n v="7.9717100608310845E-2"/>
    <n v="0"/>
    <x v="0"/>
    <n v="2"/>
    <s v="February"/>
    <s v="2024-02"/>
  </r>
  <r>
    <s v="FZ00410"/>
    <n v="45572"/>
    <n v="45578"/>
    <x v="0"/>
    <n v="250"/>
    <n v="962.98"/>
    <n v="0.37"/>
    <n v="239854.24"/>
    <x v="1"/>
    <n v="667.3"/>
    <n v="166825"/>
    <n v="1754.09"/>
    <n v="1046.69"/>
    <n v="2302.27"/>
    <n v="171928.05"/>
    <n v="73029.240000000005"/>
    <n v="67926.19"/>
    <s v="Part-paid"/>
    <n v="149052.81"/>
    <n v="90801.43"/>
    <s v="Delivered"/>
    <x v="3"/>
    <x v="3"/>
    <x v="19"/>
    <x v="4"/>
    <n v="0.89"/>
    <n v="67926.19"/>
    <n v="0.28319778712271254"/>
    <n v="0"/>
    <x v="0"/>
    <n v="10"/>
    <s v="October"/>
    <s v="2024-10"/>
  </r>
  <r>
    <s v="FZ00411"/>
    <n v="45679"/>
    <n v="45680"/>
    <x v="3"/>
    <n v="250"/>
    <n v="991.17"/>
    <n v="0.51"/>
    <n v="246528.76"/>
    <x v="1"/>
    <n v="768.94"/>
    <n v="192235"/>
    <n v="5272.44"/>
    <n v="1130.45"/>
    <n v="2060.0700000000002"/>
    <n v="200697.96"/>
    <n v="54293.760000000002"/>
    <n v="45830.8"/>
    <s v="Paid"/>
    <n v="246528.76"/>
    <n v="0"/>
    <s v="Delivered"/>
    <x v="5"/>
    <x v="2"/>
    <x v="28"/>
    <x v="4"/>
    <n v="0.36"/>
    <n v="45830.8"/>
    <n v="0.18590447621608125"/>
    <n v="0"/>
    <x v="1"/>
    <n v="1"/>
    <s v="January"/>
    <s v="2025-01"/>
  </r>
  <r>
    <s v="FZ00412"/>
    <n v="45742"/>
    <n v="45751"/>
    <x v="0"/>
    <n v="250"/>
    <n v="950.61"/>
    <n v="0.49"/>
    <n v="236488"/>
    <x v="1"/>
    <n v="741.43"/>
    <n v="185357.5"/>
    <n v="3039.17"/>
    <n v="763.29"/>
    <n v="4775.46"/>
    <n v="193935.42"/>
    <n v="51130.5"/>
    <n v="42552.58"/>
    <s v="Paid"/>
    <n v="236488"/>
    <n v="0"/>
    <s v="Collected"/>
    <x v="1"/>
    <x v="4"/>
    <x v="6"/>
    <x v="2"/>
    <n v="2.0699999999999998"/>
    <n v="42552.58"/>
    <n v="0.17993547241297655"/>
    <n v="0"/>
    <x v="1"/>
    <n v="3"/>
    <s v="March"/>
    <s v="2025-03"/>
  </r>
  <r>
    <s v="FZ00413"/>
    <n v="45699"/>
    <n v="45705"/>
    <x v="0"/>
    <n v="300"/>
    <n v="874.99"/>
    <n v="2.35"/>
    <n v="256328.32000000001"/>
    <x v="3"/>
    <n v="748.28"/>
    <n v="224484"/>
    <n v="3376.8"/>
    <n v="762.25"/>
    <n v="4733.7700000000004"/>
    <n v="233356.82"/>
    <n v="31844.32"/>
    <n v="22971.5"/>
    <s v="Paid"/>
    <n v="256328.32000000001"/>
    <n v="0"/>
    <s v="Delivered"/>
    <x v="3"/>
    <x v="2"/>
    <x v="36"/>
    <x v="3"/>
    <n v="1.83"/>
    <n v="22971.5"/>
    <n v="8.9617487447348779E-2"/>
    <n v="0"/>
    <x v="1"/>
    <n v="2"/>
    <s v="February"/>
    <s v="2025-02"/>
  </r>
  <r>
    <s v="FZ00414"/>
    <n v="45366"/>
    <m/>
    <x v="0"/>
    <n v="500"/>
    <n v="893.81"/>
    <n v="3.44"/>
    <n v="431531.47"/>
    <x v="3"/>
    <n v="657.49"/>
    <n v="328745"/>
    <n v="3495.41"/>
    <n v="2608.7399999999998"/>
    <n v="9124.3700000000008"/>
    <n v="343973.52"/>
    <n v="102786.47"/>
    <n v="87557.95"/>
    <s v="Paid"/>
    <n v="431531.47"/>
    <n v="0"/>
    <s v="Pending"/>
    <x v="0"/>
    <x v="3"/>
    <x v="27"/>
    <x v="2"/>
    <n v="2.27"/>
    <n v="87557.95"/>
    <n v="0.20290049761608348"/>
    <n v="0"/>
    <x v="0"/>
    <n v="3"/>
    <s v="March"/>
    <s v="2024-03"/>
  </r>
  <r>
    <s v="FZ00415"/>
    <n v="45280"/>
    <n v="45292"/>
    <x v="0"/>
    <n v="50"/>
    <n v="913.78"/>
    <n v="0.9"/>
    <n v="45277.8"/>
    <x v="2"/>
    <n v="667.17"/>
    <n v="33358.5"/>
    <n v="602.09"/>
    <n v="265.83"/>
    <n v="5554.41"/>
    <n v="39780.83"/>
    <n v="11919.3"/>
    <n v="5496.97"/>
    <s v="Paid"/>
    <n v="45277.8"/>
    <n v="0"/>
    <s v="Delivered"/>
    <x v="2"/>
    <x v="0"/>
    <x v="3"/>
    <x v="3"/>
    <n v="1.42"/>
    <n v="5496.97"/>
    <n v="0.12140541280715936"/>
    <n v="0"/>
    <x v="2"/>
    <n v="12"/>
    <s v="December"/>
    <s v="2023-12"/>
  </r>
  <r>
    <s v="FZ00416"/>
    <n v="45928"/>
    <n v="45939"/>
    <x v="1"/>
    <n v="50"/>
    <n v="1354.53"/>
    <n v="1.83"/>
    <n v="66487.11"/>
    <x v="1"/>
    <n v="1115.58"/>
    <n v="55779"/>
    <n v="1063.6099999999999"/>
    <n v="151.47999999999999"/>
    <n v="281.13"/>
    <n v="57275.22"/>
    <n v="10708.11"/>
    <n v="9211.89"/>
    <s v="Paid"/>
    <n v="66487.11"/>
    <n v="0"/>
    <s v="Collected"/>
    <x v="0"/>
    <x v="1"/>
    <x v="36"/>
    <x v="3"/>
    <n v="0.3"/>
    <n v="9211.89"/>
    <n v="0.13855151773027885"/>
    <n v="0"/>
    <x v="1"/>
    <n v="9"/>
    <s v="September"/>
    <s v="2025-09"/>
  </r>
  <r>
    <s v="FZ00417"/>
    <n v="45458"/>
    <n v="45458"/>
    <x v="0"/>
    <n v="300"/>
    <n v="854.72"/>
    <n v="0.22"/>
    <n v="255851.88"/>
    <x v="1"/>
    <n v="697.72"/>
    <n v="209316"/>
    <n v="2588.9899999999998"/>
    <n v="735.37"/>
    <n v="9185.68"/>
    <n v="221826.04"/>
    <n v="46535.88"/>
    <n v="34025.839999999997"/>
    <s v="Paid"/>
    <n v="255851.88"/>
    <n v="0"/>
    <s v="Delivered"/>
    <x v="0"/>
    <x v="1"/>
    <x v="7"/>
    <x v="5"/>
    <n v="2.4900000000000002"/>
    <n v="34025.839999999997"/>
    <n v="0.1329903849055164"/>
    <n v="0"/>
    <x v="0"/>
    <n v="6"/>
    <s v="June"/>
    <s v="2024-06"/>
  </r>
  <r>
    <s v="FZ00418"/>
    <n v="45316"/>
    <n v="45329"/>
    <x v="1"/>
    <n v="150"/>
    <n v="1305.03"/>
    <n v="0.95"/>
    <n v="193894.83"/>
    <x v="1"/>
    <n v="1103.32"/>
    <n v="165498"/>
    <n v="2736.12"/>
    <n v="611.98"/>
    <n v="1014.4"/>
    <n v="169860.5"/>
    <n v="28396.83"/>
    <n v="24034.33"/>
    <s v="Paid"/>
    <n v="193894.83"/>
    <n v="0"/>
    <s v="Delivered"/>
    <x v="5"/>
    <x v="2"/>
    <x v="4"/>
    <x v="1"/>
    <n v="1.88"/>
    <n v="24034.33"/>
    <n v="0.12395549690520373"/>
    <n v="0"/>
    <x v="0"/>
    <n v="1"/>
    <s v="January"/>
    <s v="2024-01"/>
  </r>
  <r>
    <s v="FZ00419"/>
    <n v="45831"/>
    <m/>
    <x v="3"/>
    <n v="200"/>
    <n v="920.66"/>
    <n v="0.39"/>
    <n v="183413.89"/>
    <x v="2"/>
    <n v="820.48"/>
    <n v="164096"/>
    <n v="2413.35"/>
    <n v="869.95"/>
    <n v="10814.27"/>
    <n v="178193.57"/>
    <n v="19317.89"/>
    <n v="5220.32"/>
    <s v="Part-paid"/>
    <n v="94570.68"/>
    <n v="88843.21"/>
    <s v="Pending"/>
    <x v="0"/>
    <x v="2"/>
    <x v="10"/>
    <x v="5"/>
    <n v="1.04"/>
    <n v="5220.32"/>
    <n v="2.8461966539175411E-2"/>
    <n v="0"/>
    <x v="1"/>
    <n v="6"/>
    <s v="June"/>
    <s v="2025-06"/>
  </r>
  <r>
    <s v="FZ00420"/>
    <n v="45631"/>
    <n v="45638"/>
    <x v="0"/>
    <n v="300"/>
    <n v="870.85"/>
    <n v="0.44"/>
    <n v="260105.48"/>
    <x v="1"/>
    <n v="723.41"/>
    <n v="217023"/>
    <n v="3668.2"/>
    <n v="504.22"/>
    <n v="7095.58"/>
    <n v="228291"/>
    <n v="43082.48"/>
    <n v="31814.48"/>
    <s v="Paid"/>
    <n v="260105.48"/>
    <n v="0"/>
    <s v="Delivered"/>
    <x v="0"/>
    <x v="1"/>
    <x v="27"/>
    <x v="2"/>
    <n v="0.21"/>
    <n v="31814.48"/>
    <n v="0.12231376286266632"/>
    <n v="0"/>
    <x v="0"/>
    <n v="12"/>
    <s v="December"/>
    <s v="2024-12"/>
  </r>
  <r>
    <s v="FZ00421"/>
    <n v="45748"/>
    <n v="45749"/>
    <x v="0"/>
    <n v="100"/>
    <n v="882.69"/>
    <n v="0.62"/>
    <n v="87721.73"/>
    <x v="3"/>
    <n v="711.31"/>
    <n v="71131"/>
    <n v="600.97"/>
    <n v="182.94"/>
    <n v="10964.63"/>
    <n v="82879.539999999994"/>
    <n v="16590.73"/>
    <n v="4842.1899999999996"/>
    <s v="Unpaid"/>
    <n v="0"/>
    <n v="87721.73"/>
    <s v="Delivered"/>
    <x v="3"/>
    <x v="4"/>
    <x v="33"/>
    <x v="1"/>
    <n v="1.79"/>
    <n v="4842.1899999999996"/>
    <n v="5.5199435761241825E-2"/>
    <n v="0"/>
    <x v="1"/>
    <n v="4"/>
    <s v="April"/>
    <s v="2025-04"/>
  </r>
  <r>
    <s v="FZ00422"/>
    <n v="45708"/>
    <n v="45715"/>
    <x v="3"/>
    <n v="100"/>
    <n v="898.72"/>
    <n v="1.44"/>
    <n v="88577.84"/>
    <x v="0"/>
    <n v="768.78"/>
    <n v="76878"/>
    <n v="1329.46"/>
    <n v="286.61"/>
    <n v="2656.71"/>
    <n v="81150.78"/>
    <n v="11699.84"/>
    <n v="7427.06"/>
    <s v="Paid"/>
    <n v="88577.84"/>
    <n v="0"/>
    <s v="Collected"/>
    <x v="0"/>
    <x v="2"/>
    <x v="28"/>
    <x v="4"/>
    <n v="0.49"/>
    <n v="7427.06"/>
    <n v="8.3847833724552331E-2"/>
    <n v="0"/>
    <x v="1"/>
    <n v="2"/>
    <s v="February"/>
    <s v="2025-02"/>
  </r>
  <r>
    <s v="FZ00423"/>
    <n v="45735"/>
    <n v="45739"/>
    <x v="1"/>
    <n v="750"/>
    <n v="1230.3699999999999"/>
    <n v="3.56"/>
    <n v="889926.62"/>
    <x v="1"/>
    <n v="1050.8399999999999"/>
    <n v="788130"/>
    <n v="10869.03"/>
    <n v="1664.31"/>
    <n v="4891.54"/>
    <n v="805554.88"/>
    <n v="101796.62"/>
    <n v="84371.74"/>
    <s v="Paid"/>
    <n v="889926.62"/>
    <n v="0"/>
    <s v="Collected"/>
    <x v="0"/>
    <x v="4"/>
    <x v="20"/>
    <x v="2"/>
    <n v="2.33"/>
    <n v="84371.74"/>
    <n v="9.4807524692316777E-2"/>
    <n v="0"/>
    <x v="1"/>
    <n v="3"/>
    <s v="March"/>
    <s v="2025-03"/>
  </r>
  <r>
    <s v="FZ00424"/>
    <n v="45833"/>
    <n v="45840"/>
    <x v="0"/>
    <n v="500"/>
    <n v="865.91"/>
    <n v="4.34"/>
    <n v="414164.75"/>
    <x v="0"/>
    <n v="743.29"/>
    <n v="371645"/>
    <n v="4481.28"/>
    <n v="802.38"/>
    <n v="4727.6899999999996"/>
    <n v="381656.35"/>
    <n v="42519.75"/>
    <n v="32508.400000000001"/>
    <s v="Paid"/>
    <n v="414164.75"/>
    <n v="0"/>
    <s v="Delivered"/>
    <x v="3"/>
    <x v="0"/>
    <x v="31"/>
    <x v="1"/>
    <n v="2.04"/>
    <n v="32508.400000000001"/>
    <n v="7.84914698800417E-2"/>
    <n v="0"/>
    <x v="1"/>
    <n v="6"/>
    <s v="June"/>
    <s v="2025-06"/>
  </r>
  <r>
    <s v="FZ00425"/>
    <n v="45639"/>
    <n v="45640"/>
    <x v="4"/>
    <n v="750"/>
    <n v="2955.93"/>
    <n v="3.19"/>
    <n v="2146226.87"/>
    <x v="1"/>
    <n v="2225.06"/>
    <n v="1668795"/>
    <n v="10777.43"/>
    <n v="1172.82"/>
    <n v="9931.49"/>
    <n v="1690676.74"/>
    <n v="477431.87"/>
    <n v="455550.13"/>
    <s v="Paid"/>
    <n v="2146226.87"/>
    <n v="0"/>
    <s v="Delivered"/>
    <x v="1"/>
    <x v="4"/>
    <x v="7"/>
    <x v="5"/>
    <n v="2.11"/>
    <n v="455550.13"/>
    <n v="0.21225627931869104"/>
    <n v="0"/>
    <x v="0"/>
    <n v="12"/>
    <s v="December"/>
    <s v="2024-12"/>
  </r>
  <r>
    <s v="FZ00426"/>
    <n v="45684"/>
    <m/>
    <x v="0"/>
    <n v="200"/>
    <n v="912.32"/>
    <n v="0.12"/>
    <n v="182245.04"/>
    <x v="2"/>
    <n v="712.65"/>
    <n v="142530"/>
    <n v="2487.88"/>
    <n v="405.67"/>
    <n v="10139.9"/>
    <n v="155563.45000000001"/>
    <n v="39715.040000000001"/>
    <n v="26681.59"/>
    <s v="Paid"/>
    <n v="182245.04"/>
    <n v="0"/>
    <s v="Pending"/>
    <x v="0"/>
    <x v="3"/>
    <x v="16"/>
    <x v="1"/>
    <n v="0.48"/>
    <n v="26681.59"/>
    <n v="0.14640502699003494"/>
    <n v="0"/>
    <x v="1"/>
    <n v="1"/>
    <s v="January"/>
    <s v="2025-01"/>
  </r>
  <r>
    <s v="FZ00427"/>
    <n v="45688"/>
    <n v="45692"/>
    <x v="0"/>
    <n v="50"/>
    <n v="909.13"/>
    <n v="1.93"/>
    <n v="44579.19"/>
    <x v="1"/>
    <n v="683.92"/>
    <n v="34196"/>
    <n v="606.73"/>
    <n v="213.27"/>
    <n v="10222.73"/>
    <n v="45238.73"/>
    <n v="10383.19"/>
    <n v="-659.54"/>
    <s v="Paid"/>
    <n v="44579.19"/>
    <n v="0"/>
    <s v="Delivered"/>
    <x v="0"/>
    <x v="1"/>
    <x v="19"/>
    <x v="4"/>
    <n v="0.46"/>
    <n v="-659.54"/>
    <n v="-1.4794795508846166E-2"/>
    <n v="0"/>
    <x v="1"/>
    <n v="1"/>
    <s v="January"/>
    <s v="2025-01"/>
  </r>
  <r>
    <s v="FZ00428"/>
    <n v="45659"/>
    <n v="45670"/>
    <x v="0"/>
    <n v="1000"/>
    <n v="876.79"/>
    <n v="0.43"/>
    <n v="873019.8"/>
    <x v="2"/>
    <n v="691.49"/>
    <n v="691490"/>
    <n v="20389.88"/>
    <n v="3258.51"/>
    <n v="11555.2"/>
    <n v="726693.59"/>
    <n v="181529.8"/>
    <n v="146326.21"/>
    <s v="Paid"/>
    <n v="873019.8"/>
    <n v="0"/>
    <s v="Delivered"/>
    <x v="4"/>
    <x v="1"/>
    <x v="36"/>
    <x v="3"/>
    <n v="2.0299999999999998"/>
    <n v="146326.21"/>
    <n v="0.16760926842667254"/>
    <n v="0"/>
    <x v="1"/>
    <n v="1"/>
    <s v="January"/>
    <s v="2025-01"/>
  </r>
  <r>
    <s v="FZ00429"/>
    <n v="45412"/>
    <n v="45420"/>
    <x v="1"/>
    <n v="150"/>
    <n v="1337.23"/>
    <n v="0.28000000000000003"/>
    <n v="200022.86"/>
    <x v="0"/>
    <n v="1071.1099999999999"/>
    <n v="160666.5"/>
    <n v="3055.75"/>
    <n v="252.68"/>
    <n v="6525.23"/>
    <n v="170500.16"/>
    <n v="39356.36"/>
    <n v="29522.7"/>
    <s v="Paid"/>
    <n v="200022.86"/>
    <n v="0"/>
    <s v="Delivered"/>
    <x v="4"/>
    <x v="1"/>
    <x v="12"/>
    <x v="2"/>
    <n v="0.38"/>
    <n v="29522.7"/>
    <n v="0.14759662970522472"/>
    <n v="0"/>
    <x v="0"/>
    <n v="4"/>
    <s v="April"/>
    <s v="2024-04"/>
  </r>
  <r>
    <s v="FZ00430"/>
    <n v="45533"/>
    <m/>
    <x v="3"/>
    <n v="300"/>
    <n v="1029.1600000000001"/>
    <n v="0.97"/>
    <n v="305753.14"/>
    <x v="1"/>
    <n v="798.92"/>
    <n v="239676"/>
    <n v="2895.3"/>
    <n v="1245.31"/>
    <n v="2135.04"/>
    <n v="245951.65"/>
    <n v="66077.14"/>
    <n v="59801.49"/>
    <s v="Paid"/>
    <n v="305753.14"/>
    <n v="0"/>
    <s v="Pending"/>
    <x v="0"/>
    <x v="1"/>
    <x v="17"/>
    <x v="3"/>
    <n v="1.92"/>
    <n v="59801.49"/>
    <n v="0.19558749257652758"/>
    <n v="0"/>
    <x v="0"/>
    <n v="8"/>
    <s v="August"/>
    <s v="2024-08"/>
  </r>
  <r>
    <s v="FZ00431"/>
    <n v="45885"/>
    <n v="45890"/>
    <x v="0"/>
    <n v="150"/>
    <n v="923.05"/>
    <n v="2.06"/>
    <n v="135605.28"/>
    <x v="1"/>
    <n v="680.75"/>
    <n v="102112.5"/>
    <n v="1071.56"/>
    <n v="681.1"/>
    <n v="10750.09"/>
    <n v="114615.25"/>
    <n v="33492.78"/>
    <n v="20990.03"/>
    <s v="Paid"/>
    <n v="135605.28"/>
    <n v="0"/>
    <s v="Delivered"/>
    <x v="2"/>
    <x v="0"/>
    <x v="8"/>
    <x v="5"/>
    <n v="2.13"/>
    <n v="20990.03"/>
    <n v="0.15478770443156786"/>
    <n v="0"/>
    <x v="1"/>
    <n v="8"/>
    <s v="August"/>
    <s v="2025-08"/>
  </r>
  <r>
    <s v="FZ00432"/>
    <n v="45302"/>
    <m/>
    <x v="2"/>
    <n v="200"/>
    <n v="761.05"/>
    <n v="1.1000000000000001"/>
    <n v="0"/>
    <x v="1"/>
    <n v="548.22"/>
    <n v="0"/>
    <n v="0"/>
    <n v="0"/>
    <n v="0"/>
    <n v="0"/>
    <n v="0"/>
    <n v="0"/>
    <s v="Paid"/>
    <n v="0"/>
    <n v="0"/>
    <s v="Cancelled"/>
    <x v="5"/>
    <x v="1"/>
    <x v="28"/>
    <x v="4"/>
    <n v="2.27"/>
    <n v="0"/>
    <e v="#DIV/0!"/>
    <n v="0"/>
    <x v="0"/>
    <n v="1"/>
    <s v="January"/>
    <s v="2024-01"/>
  </r>
  <r>
    <s v="FZ00433"/>
    <n v="45787"/>
    <n v="45797"/>
    <x v="3"/>
    <n v="500"/>
    <n v="932.73"/>
    <n v="1.33"/>
    <n v="460162.35"/>
    <x v="0"/>
    <n v="764.65"/>
    <n v="382325"/>
    <n v="5562.19"/>
    <n v="987"/>
    <n v="3721.2"/>
    <n v="392595.39"/>
    <n v="77837.350000000006"/>
    <n v="67566.960000000006"/>
    <s v="Paid"/>
    <n v="460162.35"/>
    <n v="0"/>
    <s v="Delivered"/>
    <x v="0"/>
    <x v="1"/>
    <x v="18"/>
    <x v="3"/>
    <n v="2.38"/>
    <n v="67566.960000000006"/>
    <n v="0.14683287322398281"/>
    <n v="0"/>
    <x v="1"/>
    <n v="5"/>
    <s v="May"/>
    <s v="2025-05"/>
  </r>
  <r>
    <s v="FZ00434"/>
    <n v="45567"/>
    <n v="45571"/>
    <x v="1"/>
    <n v="100"/>
    <n v="1323.69"/>
    <n v="1.96"/>
    <n v="129774.57"/>
    <x v="3"/>
    <n v="1089.46"/>
    <n v="108946"/>
    <n v="2237.42"/>
    <n v="174.19"/>
    <n v="231.64"/>
    <n v="111589.25"/>
    <n v="20828.57"/>
    <n v="18185.32"/>
    <s v="Paid"/>
    <n v="129774.57"/>
    <n v="0"/>
    <s v="Collected"/>
    <x v="4"/>
    <x v="3"/>
    <x v="13"/>
    <x v="5"/>
    <n v="0.28999999999999998"/>
    <n v="18185.32"/>
    <n v="0.14013007324932766"/>
    <n v="0"/>
    <x v="0"/>
    <n v="10"/>
    <s v="October"/>
    <s v="2024-10"/>
  </r>
  <r>
    <s v="FZ00435"/>
    <n v="45871"/>
    <m/>
    <x v="1"/>
    <n v="300"/>
    <n v="1284.31"/>
    <n v="1"/>
    <n v="381440.07"/>
    <x v="1"/>
    <n v="981.37"/>
    <n v="294411"/>
    <n v="6432.68"/>
    <n v="482.11"/>
    <n v="6269.56"/>
    <n v="307595.34999999998"/>
    <n v="87029.07"/>
    <n v="73844.72"/>
    <s v="Paid"/>
    <n v="381440.07"/>
    <n v="0"/>
    <s v="Pending"/>
    <x v="0"/>
    <x v="4"/>
    <x v="8"/>
    <x v="5"/>
    <n v="0.71"/>
    <n v="73844.72"/>
    <n v="0.19359455339865053"/>
    <n v="0"/>
    <x v="1"/>
    <n v="8"/>
    <s v="August"/>
    <s v="2025-08"/>
  </r>
  <r>
    <s v="FZ00436"/>
    <n v="45415"/>
    <n v="45428"/>
    <x v="4"/>
    <n v="50"/>
    <n v="2910.83"/>
    <n v="2.41"/>
    <n v="142033.95000000001"/>
    <x v="0"/>
    <n v="2182.4499999999998"/>
    <n v="109122.5"/>
    <n v="424.18"/>
    <n v="110.85"/>
    <n v="740.48"/>
    <n v="110398.01"/>
    <n v="32911.449999999997"/>
    <n v="31635.94"/>
    <s v="Paid"/>
    <n v="142033.95000000001"/>
    <n v="0"/>
    <s v="Delivered"/>
    <x v="2"/>
    <x v="0"/>
    <x v="2"/>
    <x v="2"/>
    <n v="0.77"/>
    <n v="31635.94"/>
    <n v="0.2227350573577655"/>
    <n v="0"/>
    <x v="0"/>
    <n v="5"/>
    <s v="May"/>
    <s v="2024-05"/>
  </r>
  <r>
    <s v="FZ00437"/>
    <n v="45913"/>
    <n v="45926"/>
    <x v="3"/>
    <n v="100"/>
    <n v="1036.49"/>
    <n v="2.2400000000000002"/>
    <n v="101327.26"/>
    <x v="2"/>
    <n v="766.3"/>
    <n v="76630"/>
    <n v="555.21"/>
    <n v="198.4"/>
    <n v="655.94"/>
    <n v="78039.55"/>
    <n v="24697.26"/>
    <n v="23287.71"/>
    <s v="Paid"/>
    <n v="101327.26"/>
    <n v="0"/>
    <s v="Delivered"/>
    <x v="2"/>
    <x v="1"/>
    <x v="25"/>
    <x v="3"/>
    <n v="2.12"/>
    <n v="23287.71"/>
    <n v="0.22982670211352799"/>
    <n v="0"/>
    <x v="1"/>
    <n v="9"/>
    <s v="September"/>
    <s v="2025-09"/>
  </r>
  <r>
    <s v="FZ00438"/>
    <n v="45485"/>
    <n v="45496"/>
    <x v="0"/>
    <n v="200"/>
    <n v="792.7"/>
    <n v="0.93"/>
    <n v="157065.57999999999"/>
    <x v="1"/>
    <n v="659.67"/>
    <n v="131934"/>
    <n v="1557.89"/>
    <n v="1186.0999999999999"/>
    <n v="9133.0300000000007"/>
    <n v="143811.01999999999"/>
    <n v="25131.58"/>
    <n v="13254.56"/>
    <s v="Paid"/>
    <n v="157065.57999999999"/>
    <n v="0"/>
    <s v="Delivered"/>
    <x v="0"/>
    <x v="0"/>
    <x v="8"/>
    <x v="5"/>
    <n v="0.74"/>
    <n v="13254.56"/>
    <n v="8.4388699293632644E-2"/>
    <n v="0"/>
    <x v="0"/>
    <n v="7"/>
    <s v="July"/>
    <s v="2024-07"/>
  </r>
  <r>
    <s v="FZ00439"/>
    <n v="45611"/>
    <n v="45625"/>
    <x v="0"/>
    <n v="250"/>
    <n v="879.68"/>
    <n v="1.02"/>
    <n v="217676.82"/>
    <x v="0"/>
    <n v="698.64"/>
    <n v="174660"/>
    <n v="5575.61"/>
    <n v="1000.2"/>
    <n v="1232.25"/>
    <n v="182468.06"/>
    <n v="43016.82"/>
    <n v="35208.76"/>
    <s v="Paid"/>
    <n v="217676.82"/>
    <n v="0"/>
    <s v="Collected"/>
    <x v="1"/>
    <x v="0"/>
    <x v="14"/>
    <x v="1"/>
    <n v="0.45"/>
    <n v="35208.76"/>
    <n v="0.16174786088844922"/>
    <n v="0"/>
    <x v="0"/>
    <n v="11"/>
    <s v="November"/>
    <s v="2024-11"/>
  </r>
  <r>
    <s v="FZ00440"/>
    <n v="45912"/>
    <n v="45917"/>
    <x v="3"/>
    <n v="500"/>
    <n v="947.09"/>
    <n v="0.62"/>
    <n v="470609.02"/>
    <x v="2"/>
    <n v="771.27"/>
    <n v="385635"/>
    <n v="4001.91"/>
    <n v="2163.0300000000002"/>
    <n v="4222.5"/>
    <n v="396022.44"/>
    <n v="84974.02"/>
    <n v="74586.58"/>
    <s v="Part-paid"/>
    <n v="139435.78"/>
    <n v="331173.24"/>
    <s v="Delivered"/>
    <x v="4"/>
    <x v="1"/>
    <x v="10"/>
    <x v="5"/>
    <n v="1.39"/>
    <n v="74586.58"/>
    <n v="0.15848948241578539"/>
    <n v="0"/>
    <x v="1"/>
    <n v="9"/>
    <s v="September"/>
    <s v="2025-09"/>
  </r>
  <r>
    <s v="FZ00441"/>
    <n v="45862"/>
    <n v="45873"/>
    <x v="0"/>
    <n v="1000"/>
    <n v="901.61"/>
    <n v="4.54"/>
    <n v="860676.91"/>
    <x v="2"/>
    <n v="750.45"/>
    <n v="750450"/>
    <n v="19617.05"/>
    <n v="2828.75"/>
    <n v="6226.67"/>
    <n v="779122.47"/>
    <n v="110226.91"/>
    <n v="81554.44"/>
    <s v="Part-paid"/>
    <n v="533099.5"/>
    <n v="327577.40999999997"/>
    <s v="Delivered"/>
    <x v="1"/>
    <x v="3"/>
    <x v="33"/>
    <x v="1"/>
    <n v="0.59"/>
    <n v="81554.44"/>
    <n v="9.4756161170862593E-2"/>
    <n v="0"/>
    <x v="1"/>
    <n v="7"/>
    <s v="July"/>
    <s v="2025-07"/>
  </r>
  <r>
    <s v="FZ00442"/>
    <n v="45663"/>
    <m/>
    <x v="0"/>
    <n v="100"/>
    <n v="934.32"/>
    <n v="1.33"/>
    <n v="92189.35"/>
    <x v="1"/>
    <n v="660.02"/>
    <n v="66002"/>
    <n v="867.4"/>
    <n v="301.07"/>
    <n v="2362.12"/>
    <n v="69532.59"/>
    <n v="26187.35"/>
    <n v="22656.76"/>
    <s v="Paid"/>
    <n v="92189.35"/>
    <n v="0"/>
    <s v="Pending"/>
    <x v="0"/>
    <x v="1"/>
    <x v="8"/>
    <x v="5"/>
    <n v="1.26"/>
    <n v="22656.76"/>
    <n v="0.24576331213963432"/>
    <n v="0"/>
    <x v="1"/>
    <n v="1"/>
    <s v="January"/>
    <s v="2025-01"/>
  </r>
  <r>
    <s v="FZ00443"/>
    <n v="45815"/>
    <n v="45823"/>
    <x v="2"/>
    <n v="100"/>
    <n v="675.15"/>
    <n v="1.96"/>
    <n v="66191.710000000006"/>
    <x v="2"/>
    <n v="591.23"/>
    <n v="59123"/>
    <n v="628.16999999999996"/>
    <n v="234.77"/>
    <n v="3850.42"/>
    <n v="63836.36"/>
    <n v="7068.71"/>
    <n v="2355.35"/>
    <s v="Paid"/>
    <n v="66191.710000000006"/>
    <n v="0"/>
    <s v="Delivered"/>
    <x v="1"/>
    <x v="2"/>
    <x v="3"/>
    <x v="3"/>
    <n v="2.4500000000000002"/>
    <n v="2355.35"/>
    <n v="3.5583761168883531E-2"/>
    <n v="0"/>
    <x v="1"/>
    <n v="6"/>
    <s v="June"/>
    <s v="2025-06"/>
  </r>
  <r>
    <s v="FZ00444"/>
    <n v="45844"/>
    <n v="45845"/>
    <x v="1"/>
    <n v="300"/>
    <n v="1301.8599999999999"/>
    <n v="2.0099999999999998"/>
    <n v="382707.78"/>
    <x v="0"/>
    <n v="1061.17"/>
    <n v="318351"/>
    <n v="2463.84"/>
    <n v="1656.92"/>
    <n v="4154.75"/>
    <n v="326626.51"/>
    <n v="64356.78"/>
    <n v="56081.27"/>
    <s v="Paid"/>
    <n v="382707.78"/>
    <n v="0"/>
    <s v="Delivered"/>
    <x v="5"/>
    <x v="1"/>
    <x v="15"/>
    <x v="3"/>
    <n v="0.94"/>
    <n v="56081.27"/>
    <n v="0.14653809755317751"/>
    <n v="0"/>
    <x v="1"/>
    <n v="7"/>
    <s v="July"/>
    <s v="2025-07"/>
  </r>
  <r>
    <s v="FZ00445"/>
    <n v="45963"/>
    <n v="45975"/>
    <x v="1"/>
    <n v="200"/>
    <n v="1418.03"/>
    <n v="1.38"/>
    <n v="279692.24"/>
    <x v="1"/>
    <n v="1094.6199999999999"/>
    <n v="218924"/>
    <n v="2019.43"/>
    <n v="908.46"/>
    <n v="11681.75"/>
    <n v="233533.64"/>
    <n v="60768.24"/>
    <n v="46158.6"/>
    <s v="Paid"/>
    <n v="279692.24"/>
    <n v="0"/>
    <s v="Delivered"/>
    <x v="5"/>
    <x v="0"/>
    <x v="35"/>
    <x v="4"/>
    <n v="1"/>
    <n v="46158.6"/>
    <n v="0.16503353829194548"/>
    <n v="0"/>
    <x v="1"/>
    <n v="11"/>
    <s v="November"/>
    <s v="2025-11"/>
  </r>
  <r>
    <s v="FZ00446"/>
    <n v="45921"/>
    <m/>
    <x v="0"/>
    <n v="250"/>
    <n v="861.2"/>
    <n v="2.39"/>
    <n v="210154.33"/>
    <x v="1"/>
    <n v="660.76"/>
    <n v="165190"/>
    <n v="5211.83"/>
    <n v="701.83"/>
    <n v="10061.030000000001"/>
    <n v="181164.69"/>
    <n v="44964.33"/>
    <n v="28989.64"/>
    <s v="Paid"/>
    <n v="210154.33"/>
    <n v="0"/>
    <s v="Pending"/>
    <x v="0"/>
    <x v="3"/>
    <x v="8"/>
    <x v="5"/>
    <n v="0.55000000000000004"/>
    <n v="28989.64"/>
    <n v="0.13794452867090581"/>
    <n v="0"/>
    <x v="1"/>
    <n v="9"/>
    <s v="September"/>
    <s v="2025-09"/>
  </r>
  <r>
    <s v="FZ00447"/>
    <n v="45297"/>
    <n v="45303"/>
    <x v="0"/>
    <n v="100"/>
    <n v="905.55"/>
    <n v="0.32"/>
    <n v="90265.22"/>
    <x v="1"/>
    <n v="719.58"/>
    <n v="71958"/>
    <n v="668.84"/>
    <n v="492.04"/>
    <n v="7352.17"/>
    <n v="80471.05"/>
    <n v="18307.22"/>
    <n v="9794.17"/>
    <s v="Paid"/>
    <n v="90265.22"/>
    <n v="0"/>
    <s v="Collected"/>
    <x v="5"/>
    <x v="3"/>
    <x v="6"/>
    <x v="2"/>
    <n v="1.05"/>
    <n v="9794.17"/>
    <n v="0.10850436081582696"/>
    <n v="0"/>
    <x v="0"/>
    <n v="1"/>
    <s v="January"/>
    <s v="2024-01"/>
  </r>
  <r>
    <s v="FZ00448"/>
    <n v="45578"/>
    <n v="45587"/>
    <x v="0"/>
    <n v="500"/>
    <n v="946.41"/>
    <n v="0.46"/>
    <n v="471028.26"/>
    <x v="2"/>
    <n v="662.05"/>
    <n v="331025"/>
    <n v="7636.52"/>
    <n v="2969.99"/>
    <n v="10897.17"/>
    <n v="352528.68"/>
    <n v="140003.26"/>
    <n v="118499.58"/>
    <s v="Part-paid"/>
    <n v="194139.07"/>
    <n v="276889.19"/>
    <s v="Collected"/>
    <x v="4"/>
    <x v="3"/>
    <x v="14"/>
    <x v="1"/>
    <n v="1.19"/>
    <n v="118499.58"/>
    <n v="0.25157637038592973"/>
    <n v="0"/>
    <x v="0"/>
    <n v="10"/>
    <s v="October"/>
    <s v="2024-10"/>
  </r>
  <r>
    <s v="FZ00449"/>
    <n v="45831"/>
    <n v="45836"/>
    <x v="0"/>
    <n v="150"/>
    <n v="893.63"/>
    <n v="2.4300000000000002"/>
    <n v="130787.22"/>
    <x v="1"/>
    <n v="739.32"/>
    <n v="110898"/>
    <n v="3430.1"/>
    <n v="523.41999999999996"/>
    <n v="6936.12"/>
    <n v="121787.64"/>
    <n v="19889.22"/>
    <n v="8999.58"/>
    <s v="Paid"/>
    <n v="130787.22"/>
    <n v="0"/>
    <s v="Delivered"/>
    <x v="3"/>
    <x v="4"/>
    <x v="12"/>
    <x v="2"/>
    <n v="7.0000000000000007E-2"/>
    <n v="8999.58"/>
    <n v="6.8810851702482856E-2"/>
    <n v="0"/>
    <x v="1"/>
    <n v="6"/>
    <s v="June"/>
    <s v="2025-06"/>
  </r>
  <r>
    <s v="FZ00450"/>
    <n v="45764"/>
    <n v="45777"/>
    <x v="0"/>
    <n v="250"/>
    <n v="841.1"/>
    <n v="1.02"/>
    <n v="208130.2"/>
    <x v="3"/>
    <n v="702.53"/>
    <n v="175632.5"/>
    <n v="1266.22"/>
    <n v="1252.22"/>
    <n v="2684.18"/>
    <n v="180835.12"/>
    <n v="32497.7"/>
    <n v="27295.08"/>
    <s v="Paid"/>
    <n v="208130.2"/>
    <n v="0"/>
    <s v="Delivered"/>
    <x v="0"/>
    <x v="3"/>
    <x v="20"/>
    <x v="2"/>
    <n v="1.06"/>
    <n v="27295.08"/>
    <n v="0.13114425489429213"/>
    <n v="0"/>
    <x v="1"/>
    <n v="4"/>
    <s v="April"/>
    <s v="2025-04"/>
  </r>
  <r>
    <s v="FZ00451"/>
    <n v="45669"/>
    <n v="45682"/>
    <x v="1"/>
    <n v="150"/>
    <n v="1326.91"/>
    <n v="1.78"/>
    <n v="195493.65"/>
    <x v="1"/>
    <n v="1059.3399999999999"/>
    <n v="158901"/>
    <n v="1342.36"/>
    <n v="331.13"/>
    <n v="7124.98"/>
    <n v="167699.47"/>
    <n v="36592.65"/>
    <n v="27794.18"/>
    <s v="Paid"/>
    <n v="195493.65"/>
    <n v="0"/>
    <s v="Delivered"/>
    <x v="4"/>
    <x v="2"/>
    <x v="12"/>
    <x v="2"/>
    <n v="0.79"/>
    <n v="27794.18"/>
    <n v="0.14217433660888731"/>
    <n v="0"/>
    <x v="1"/>
    <n v="1"/>
    <s v="January"/>
    <s v="2025-01"/>
  </r>
  <r>
    <s v="FZ00452"/>
    <n v="45726"/>
    <n v="45734"/>
    <x v="3"/>
    <n v="250"/>
    <n v="922.37"/>
    <n v="1.34"/>
    <n v="227502.56"/>
    <x v="3"/>
    <n v="793.08"/>
    <n v="198270"/>
    <n v="5561.59"/>
    <n v="770.88"/>
    <n v="3260.87"/>
    <n v="207863.34"/>
    <n v="29232.560000000001"/>
    <n v="19639.22"/>
    <s v="Paid"/>
    <n v="227502.56"/>
    <n v="0"/>
    <s v="Delivered"/>
    <x v="2"/>
    <x v="3"/>
    <x v="29"/>
    <x v="0"/>
    <n v="1.0900000000000001"/>
    <n v="19639.22"/>
    <n v="8.6325270361792855E-2"/>
    <n v="0"/>
    <x v="1"/>
    <n v="3"/>
    <s v="March"/>
    <s v="2025-03"/>
  </r>
  <r>
    <s v="FZ00453"/>
    <n v="45553"/>
    <n v="45555"/>
    <x v="3"/>
    <n v="200"/>
    <n v="995.59"/>
    <n v="1.63"/>
    <n v="195872.38"/>
    <x v="1"/>
    <n v="824.48"/>
    <n v="164896"/>
    <n v="4202.3999999999996"/>
    <n v="325.05"/>
    <n v="6762.15"/>
    <n v="176185.60000000001"/>
    <n v="30976.38"/>
    <n v="19686.78"/>
    <s v="Paid"/>
    <n v="195872.38"/>
    <n v="0"/>
    <s v="Delivered"/>
    <x v="5"/>
    <x v="0"/>
    <x v="18"/>
    <x v="3"/>
    <n v="0.83"/>
    <n v="19686.78"/>
    <n v="0.10050819824622542"/>
    <n v="0"/>
    <x v="0"/>
    <n v="9"/>
    <s v="September"/>
    <s v="2024-09"/>
  </r>
  <r>
    <s v="FZ00454"/>
    <n v="45293"/>
    <n v="45298"/>
    <x v="1"/>
    <n v="200"/>
    <n v="1250.49"/>
    <n v="1.43"/>
    <n v="246521.60000000001"/>
    <x v="1"/>
    <n v="1109.67"/>
    <n v="221934"/>
    <n v="2705.67"/>
    <n v="335.63"/>
    <n v="365.42"/>
    <n v="225340.72"/>
    <n v="24587.599999999999"/>
    <n v="21180.880000000001"/>
    <s v="Paid"/>
    <n v="246521.60000000001"/>
    <n v="0"/>
    <s v="Delivered"/>
    <x v="2"/>
    <x v="1"/>
    <x v="27"/>
    <x v="2"/>
    <n v="1.17"/>
    <n v="21180.880000000001"/>
    <n v="8.5918962070666433E-2"/>
    <n v="0"/>
    <x v="0"/>
    <n v="1"/>
    <s v="January"/>
    <s v="2024-01"/>
  </r>
  <r>
    <s v="FZ00455"/>
    <n v="45425"/>
    <n v="45426"/>
    <x v="1"/>
    <n v="1000"/>
    <n v="1310.82"/>
    <n v="2.68"/>
    <n v="1275690.02"/>
    <x v="1"/>
    <n v="1024.06"/>
    <n v="1024060"/>
    <n v="17369.849999999999"/>
    <n v="4855.8"/>
    <n v="4108.1099999999997"/>
    <n v="1050393.76"/>
    <n v="251630.02"/>
    <n v="225296.26"/>
    <s v="Paid"/>
    <n v="1275690.02"/>
    <n v="0"/>
    <s v="Delivered"/>
    <x v="0"/>
    <x v="1"/>
    <x v="26"/>
    <x v="4"/>
    <n v="0.55000000000000004"/>
    <n v="225296.26"/>
    <n v="0.17660737049585135"/>
    <n v="0"/>
    <x v="0"/>
    <n v="5"/>
    <s v="May"/>
    <s v="2024-05"/>
  </r>
  <r>
    <s v="FZ00456"/>
    <n v="45981"/>
    <n v="45993"/>
    <x v="0"/>
    <n v="500"/>
    <n v="979.82"/>
    <n v="0.65"/>
    <n v="486725.58"/>
    <x v="0"/>
    <n v="664.78"/>
    <n v="332390"/>
    <n v="9967.6299999999992"/>
    <n v="1031.82"/>
    <n v="8718.7900000000009"/>
    <n v="352108.24"/>
    <n v="154335.57999999999"/>
    <n v="134617.34"/>
    <s v="Paid"/>
    <n v="486725.58"/>
    <n v="0"/>
    <s v="Collected"/>
    <x v="0"/>
    <x v="1"/>
    <x v="10"/>
    <x v="5"/>
    <n v="1.99"/>
    <n v="134617.34"/>
    <n v="0.27657749157132855"/>
    <n v="0"/>
    <x v="1"/>
    <n v="11"/>
    <s v="November"/>
    <s v="2025-11"/>
  </r>
  <r>
    <s v="FZ00457"/>
    <n v="45945"/>
    <n v="45957"/>
    <x v="1"/>
    <n v="1000"/>
    <n v="1372.29"/>
    <n v="3.44"/>
    <n v="1325083.22"/>
    <x v="3"/>
    <n v="1040.73"/>
    <n v="1040730"/>
    <n v="10324.52"/>
    <n v="4668.75"/>
    <n v="5071.3500000000004"/>
    <n v="1060794.6200000001"/>
    <n v="284353.21999999997"/>
    <n v="264288.59999999998"/>
    <s v="Paid"/>
    <n v="1325083.22"/>
    <n v="0"/>
    <s v="Delivered"/>
    <x v="1"/>
    <x v="4"/>
    <x v="2"/>
    <x v="2"/>
    <n v="0.22"/>
    <n v="264288.59999999998"/>
    <n v="0.19945056733870645"/>
    <n v="0"/>
    <x v="1"/>
    <n v="10"/>
    <s v="October"/>
    <s v="2025-10"/>
  </r>
  <r>
    <s v="FZ00458"/>
    <n v="45297"/>
    <n v="45298"/>
    <x v="0"/>
    <n v="200"/>
    <n v="824.37"/>
    <n v="1.5"/>
    <n v="162400.89000000001"/>
    <x v="1"/>
    <n v="747.57"/>
    <n v="149514"/>
    <n v="4746.79"/>
    <n v="672.09"/>
    <n v="2389.92"/>
    <n v="157322.79999999999"/>
    <n v="12886.89"/>
    <n v="5078.09"/>
    <s v="Unpaid"/>
    <n v="0"/>
    <n v="162400.89000000001"/>
    <s v="Delivered"/>
    <x v="4"/>
    <x v="1"/>
    <x v="34"/>
    <x v="4"/>
    <n v="0.53"/>
    <n v="5078.09"/>
    <n v="3.1268855731024628E-2"/>
    <n v="0"/>
    <x v="0"/>
    <n v="1"/>
    <s v="January"/>
    <s v="2024-01"/>
  </r>
  <r>
    <s v="FZ00459"/>
    <n v="45473"/>
    <n v="45478"/>
    <x v="3"/>
    <n v="50"/>
    <n v="976.33"/>
    <n v="2.2799999999999998"/>
    <n v="47703.48"/>
    <x v="1"/>
    <n v="825.63"/>
    <n v="41281.5"/>
    <n v="431.2"/>
    <n v="144.4"/>
    <n v="3382.86"/>
    <n v="45239.96"/>
    <n v="6421.98"/>
    <n v="2463.52"/>
    <s v="Paid"/>
    <n v="47703.48"/>
    <n v="0"/>
    <s v="Delivered"/>
    <x v="0"/>
    <x v="1"/>
    <x v="26"/>
    <x v="4"/>
    <n v="0.98"/>
    <n v="2463.52"/>
    <n v="5.1642353975013981E-2"/>
    <n v="0"/>
    <x v="0"/>
    <n v="6"/>
    <s v="June"/>
    <s v="2024-06"/>
  </r>
  <r>
    <s v="FZ00460"/>
    <n v="45454"/>
    <n v="45464"/>
    <x v="1"/>
    <n v="1000"/>
    <n v="1229.5999999999999"/>
    <n v="3.36"/>
    <n v="1188285.4399999999"/>
    <x v="1"/>
    <n v="985.58"/>
    <n v="985580"/>
    <n v="16296.73"/>
    <n v="2105.9899999999998"/>
    <n v="8231.31"/>
    <n v="1012214.03"/>
    <n v="202705.44"/>
    <n v="176071.41"/>
    <s v="Unpaid"/>
    <n v="0"/>
    <n v="1188285.4399999999"/>
    <s v="Delivered"/>
    <x v="5"/>
    <x v="3"/>
    <x v="11"/>
    <x v="5"/>
    <n v="1.22"/>
    <n v="176071.41"/>
    <n v="0.14817265622643666"/>
    <n v="0"/>
    <x v="0"/>
    <n v="6"/>
    <s v="June"/>
    <s v="2024-06"/>
  </r>
  <r>
    <s v="FZ00461"/>
    <n v="45484"/>
    <n v="45487"/>
    <x v="0"/>
    <n v="750"/>
    <n v="833.16"/>
    <n v="4.9400000000000004"/>
    <n v="594001.42000000004"/>
    <x v="0"/>
    <n v="731.13"/>
    <n v="548347.5"/>
    <n v="5070.76"/>
    <n v="3501.6"/>
    <n v="3977.9"/>
    <n v="560897.76"/>
    <n v="45653.919999999998"/>
    <n v="33103.660000000003"/>
    <s v="Paid"/>
    <n v="594001.42000000004"/>
    <n v="0"/>
    <s v="Delivered"/>
    <x v="0"/>
    <x v="3"/>
    <x v="18"/>
    <x v="3"/>
    <n v="0.39"/>
    <n v="33103.660000000003"/>
    <n v="5.5729934113625521E-2"/>
    <n v="0"/>
    <x v="0"/>
    <n v="7"/>
    <s v="July"/>
    <s v="2024-07"/>
  </r>
  <r>
    <s v="FZ00462"/>
    <n v="45436"/>
    <n v="45444"/>
    <x v="0"/>
    <n v="500"/>
    <n v="857.06"/>
    <n v="0.83"/>
    <n v="424973.2"/>
    <x v="2"/>
    <n v="668.06"/>
    <n v="334030"/>
    <n v="9552.1200000000008"/>
    <n v="1293.5"/>
    <n v="7625.17"/>
    <n v="352500.79"/>
    <n v="90943.2"/>
    <n v="72472.41"/>
    <s v="Paid"/>
    <n v="424973.2"/>
    <n v="0"/>
    <s v="Delivered"/>
    <x v="3"/>
    <x v="3"/>
    <x v="13"/>
    <x v="5"/>
    <n v="1.1200000000000001"/>
    <n v="72472.41"/>
    <n v="0.17053407132496826"/>
    <n v="0"/>
    <x v="0"/>
    <n v="5"/>
    <s v="May"/>
    <s v="2024-05"/>
  </r>
  <r>
    <s v="FZ00463"/>
    <n v="45742"/>
    <n v="45754"/>
    <x v="0"/>
    <n v="500"/>
    <n v="920.89"/>
    <n v="0.45"/>
    <n v="458373"/>
    <x v="2"/>
    <n v="730.01"/>
    <n v="365005"/>
    <n v="7119.39"/>
    <n v="2293.88"/>
    <n v="11403.5"/>
    <n v="385821.77"/>
    <n v="93368"/>
    <n v="72551.23"/>
    <s v="Paid"/>
    <n v="458373"/>
    <n v="0"/>
    <s v="Collected"/>
    <x v="2"/>
    <x v="1"/>
    <x v="33"/>
    <x v="1"/>
    <n v="0.99"/>
    <n v="72551.23"/>
    <n v="0.15827989432187323"/>
    <n v="0"/>
    <x v="1"/>
    <n v="3"/>
    <s v="March"/>
    <s v="2025-03"/>
  </r>
  <r>
    <s v="FZ00464"/>
    <n v="45590"/>
    <n v="45600"/>
    <x v="2"/>
    <n v="50"/>
    <n v="720.72"/>
    <n v="1.95"/>
    <n v="35333.300000000003"/>
    <x v="2"/>
    <n v="586.76"/>
    <n v="29338"/>
    <n v="668.82"/>
    <n v="107.65"/>
    <n v="9639.1200000000008"/>
    <n v="39753.589999999997"/>
    <n v="5995.3"/>
    <n v="-4420.29"/>
    <s v="Paid"/>
    <n v="35333.300000000003"/>
    <n v="0"/>
    <s v="Delivered"/>
    <x v="5"/>
    <x v="1"/>
    <x v="36"/>
    <x v="3"/>
    <n v="1.22"/>
    <n v="-4420.29"/>
    <n v="-0.12510266519119356"/>
    <n v="0"/>
    <x v="0"/>
    <n v="10"/>
    <s v="October"/>
    <s v="2024-10"/>
  </r>
  <r>
    <s v="FZ00465"/>
    <n v="45853"/>
    <n v="45863"/>
    <x v="0"/>
    <n v="750"/>
    <n v="855.86"/>
    <n v="2.0099999999999998"/>
    <n v="628992.91"/>
    <x v="1"/>
    <n v="736.84"/>
    <n v="552630"/>
    <n v="6188.75"/>
    <n v="1142.01"/>
    <n v="4496.0600000000004"/>
    <n v="564456.81999999995"/>
    <n v="76362.91"/>
    <n v="64536.09"/>
    <s v="Part-paid"/>
    <n v="177376.57"/>
    <n v="451616.34"/>
    <s v="Collected"/>
    <x v="3"/>
    <x v="0"/>
    <x v="8"/>
    <x v="5"/>
    <n v="1.8"/>
    <n v="64536.09"/>
    <n v="0.10260225349757916"/>
    <n v="0"/>
    <x v="1"/>
    <n v="7"/>
    <s v="July"/>
    <s v="2025-07"/>
  </r>
  <r>
    <s v="FZ00466"/>
    <n v="45814"/>
    <n v="45820"/>
    <x v="0"/>
    <n v="50"/>
    <n v="817.87"/>
    <n v="2.12"/>
    <n v="40026.559999999998"/>
    <x v="1"/>
    <n v="696.64"/>
    <n v="34832"/>
    <n v="530.55999999999995"/>
    <n v="224.31"/>
    <n v="8393.0300000000007"/>
    <n v="43979.9"/>
    <n v="5194.5600000000004"/>
    <n v="-3953.34"/>
    <s v="Paid"/>
    <n v="40026.559999999998"/>
    <n v="0"/>
    <s v="Delivered"/>
    <x v="4"/>
    <x v="1"/>
    <x v="36"/>
    <x v="3"/>
    <n v="0.44"/>
    <n v="-3953.34"/>
    <n v="-9.8767918102380031E-2"/>
    <n v="0"/>
    <x v="1"/>
    <n v="6"/>
    <s v="June"/>
    <s v="2025-06"/>
  </r>
  <r>
    <s v="FZ00467"/>
    <n v="45608"/>
    <n v="45617"/>
    <x v="3"/>
    <n v="1200"/>
    <n v="1019.15"/>
    <n v="2.04"/>
    <n v="1198031.21"/>
    <x v="3"/>
    <n v="715.55"/>
    <n v="858660"/>
    <n v="16351.91"/>
    <n v="6535.06"/>
    <n v="6100.15"/>
    <n v="887647.12"/>
    <n v="339371.21"/>
    <n v="310384.09000000003"/>
    <s v="Paid"/>
    <n v="1198031.21"/>
    <n v="0"/>
    <s v="Delivered"/>
    <x v="3"/>
    <x v="0"/>
    <x v="18"/>
    <x v="3"/>
    <n v="1.06"/>
    <n v="310384.09000000003"/>
    <n v="0.25907846758015596"/>
    <n v="0"/>
    <x v="0"/>
    <n v="11"/>
    <s v="November"/>
    <s v="2024-11"/>
  </r>
  <r>
    <s v="FZ00468"/>
    <n v="45573"/>
    <n v="45581"/>
    <x v="0"/>
    <n v="300"/>
    <n v="936.53"/>
    <n v="2.06"/>
    <n v="275171.24"/>
    <x v="2"/>
    <n v="694.84"/>
    <n v="208452"/>
    <n v="5045.08"/>
    <n v="1563.56"/>
    <n v="10647.04"/>
    <n v="225707.68"/>
    <n v="66719.240000000005"/>
    <n v="49463.56"/>
    <s v="Paid"/>
    <n v="275171.24"/>
    <n v="0"/>
    <s v="Delivered"/>
    <x v="0"/>
    <x v="2"/>
    <x v="12"/>
    <x v="2"/>
    <n v="0.27"/>
    <n v="49463.56"/>
    <n v="0.1797555587567945"/>
    <n v="0"/>
    <x v="0"/>
    <n v="10"/>
    <s v="October"/>
    <s v="2024-10"/>
  </r>
  <r>
    <s v="FZ00469"/>
    <n v="45570"/>
    <n v="45576"/>
    <x v="3"/>
    <n v="200"/>
    <n v="1034.25"/>
    <n v="2.12"/>
    <n v="202464.78"/>
    <x v="2"/>
    <n v="741.4"/>
    <n v="148280"/>
    <n v="4791.83"/>
    <n v="726.42"/>
    <n v="4586.93"/>
    <n v="158385.18"/>
    <n v="54184.78"/>
    <n v="44079.6"/>
    <s v="Paid"/>
    <n v="202464.78"/>
    <n v="0"/>
    <s v="Delivered"/>
    <x v="5"/>
    <x v="0"/>
    <x v="3"/>
    <x v="3"/>
    <n v="0.23"/>
    <n v="44079.6"/>
    <n v="0.21771490330318191"/>
    <n v="0"/>
    <x v="0"/>
    <n v="10"/>
    <s v="October"/>
    <s v="2024-10"/>
  </r>
  <r>
    <s v="FZ00470"/>
    <n v="45478"/>
    <n v="45489"/>
    <x v="0"/>
    <n v="100"/>
    <n v="892.82"/>
    <n v="1.98"/>
    <n v="87514.22"/>
    <x v="0"/>
    <n v="682.95"/>
    <n v="68295"/>
    <n v="872.09"/>
    <n v="464.38"/>
    <n v="10253.09"/>
    <n v="79884.56"/>
    <n v="19219.22"/>
    <n v="7629.66"/>
    <s v="Paid"/>
    <n v="87514.22"/>
    <n v="0"/>
    <s v="Collected"/>
    <x v="4"/>
    <x v="3"/>
    <x v="5"/>
    <x v="4"/>
    <n v="1.3"/>
    <n v="7629.66"/>
    <n v="8.7181945974037126E-2"/>
    <n v="0"/>
    <x v="0"/>
    <n v="7"/>
    <s v="July"/>
    <s v="2024-07"/>
  </r>
  <r>
    <s v="FZ00471"/>
    <n v="45910"/>
    <n v="45914"/>
    <x v="0"/>
    <n v="300"/>
    <n v="911.12"/>
    <n v="0.47"/>
    <n v="272051.32"/>
    <x v="1"/>
    <n v="658.43"/>
    <n v="197529"/>
    <n v="2889.96"/>
    <n v="1592.29"/>
    <n v="9831.11"/>
    <n v="211842.36"/>
    <n v="74522.320000000007"/>
    <n v="60208.959999999999"/>
    <s v="Paid"/>
    <n v="272051.32"/>
    <n v="0"/>
    <s v="Collected"/>
    <x v="0"/>
    <x v="0"/>
    <x v="13"/>
    <x v="5"/>
    <n v="1.72"/>
    <n v="60208.959999999999"/>
    <n v="0.22131471370916339"/>
    <n v="0"/>
    <x v="1"/>
    <n v="9"/>
    <s v="September"/>
    <s v="2025-09"/>
  </r>
  <r>
    <s v="FZ00472"/>
    <n v="45749"/>
    <n v="45757"/>
    <x v="0"/>
    <n v="300"/>
    <n v="864.78"/>
    <n v="0.94"/>
    <n v="256995.32"/>
    <x v="0"/>
    <n v="729.81"/>
    <n v="218943"/>
    <n v="5809.33"/>
    <n v="1126.82"/>
    <n v="705.12"/>
    <n v="226584.27"/>
    <n v="38052.32"/>
    <n v="30411.05"/>
    <s v="Unpaid"/>
    <n v="0"/>
    <n v="256995.32"/>
    <s v="Delivered"/>
    <x v="0"/>
    <x v="2"/>
    <x v="34"/>
    <x v="4"/>
    <n v="0.81"/>
    <n v="30411.05"/>
    <n v="0.11833308871149871"/>
    <n v="0"/>
    <x v="1"/>
    <n v="4"/>
    <s v="April"/>
    <s v="2025-04"/>
  </r>
  <r>
    <s v="FZ00473"/>
    <n v="45896"/>
    <m/>
    <x v="1"/>
    <n v="1000"/>
    <n v="1291.3699999999999"/>
    <n v="3.88"/>
    <n v="1241264.8400000001"/>
    <x v="2"/>
    <n v="1011.44"/>
    <n v="1011440"/>
    <n v="7635.64"/>
    <n v="4090.57"/>
    <n v="902.31"/>
    <n v="1024068.52"/>
    <n v="229824.84"/>
    <n v="217196.32"/>
    <s v="Unpaid"/>
    <n v="0"/>
    <n v="1241264.8400000001"/>
    <s v="Pending"/>
    <x v="3"/>
    <x v="1"/>
    <x v="17"/>
    <x v="3"/>
    <n v="1.95"/>
    <n v="217196.32"/>
    <n v="0.17497983750188234"/>
    <n v="0"/>
    <x v="1"/>
    <n v="8"/>
    <s v="August"/>
    <s v="2025-08"/>
  </r>
  <r>
    <s v="FZ00474"/>
    <n v="45289"/>
    <m/>
    <x v="0"/>
    <n v="1000"/>
    <n v="922.35"/>
    <n v="3.75"/>
    <n v="887761.88"/>
    <x v="2"/>
    <n v="747.05"/>
    <n v="747050"/>
    <n v="12733.55"/>
    <n v="2004.69"/>
    <n v="8315.0499999999993"/>
    <n v="770103.29"/>
    <n v="140711.88"/>
    <n v="117658.59"/>
    <s v="Paid"/>
    <n v="887761.88"/>
    <n v="0"/>
    <s v="Pending"/>
    <x v="0"/>
    <x v="2"/>
    <x v="23"/>
    <x v="4"/>
    <n v="2.1800000000000002"/>
    <n v="117658.59"/>
    <n v="0.13253395155917261"/>
    <n v="0"/>
    <x v="2"/>
    <n v="12"/>
    <s v="December"/>
    <s v="2023-12"/>
  </r>
  <r>
    <s v="FZ00475"/>
    <n v="45473"/>
    <n v="45475"/>
    <x v="1"/>
    <n v="100"/>
    <n v="1260.6400000000001"/>
    <n v="0.04"/>
    <n v="126013.57"/>
    <x v="1"/>
    <n v="1091.32"/>
    <n v="109132"/>
    <n v="1888.6"/>
    <n v="189.54"/>
    <n v="9809.34"/>
    <n v="121019.48"/>
    <n v="16881.57"/>
    <n v="4994.09"/>
    <s v="Paid"/>
    <n v="126013.57"/>
    <n v="0"/>
    <s v="Delivered"/>
    <x v="1"/>
    <x v="2"/>
    <x v="4"/>
    <x v="1"/>
    <n v="1.28"/>
    <n v="4994.09"/>
    <n v="3.9631366685349841E-2"/>
    <n v="0"/>
    <x v="0"/>
    <n v="6"/>
    <s v="June"/>
    <s v="2024-06"/>
  </r>
  <r>
    <s v="FZ00476"/>
    <n v="45451"/>
    <n v="45461"/>
    <x v="0"/>
    <n v="200"/>
    <n v="870.01"/>
    <n v="2.25"/>
    <n v="170086.96"/>
    <x v="1"/>
    <n v="685.04"/>
    <n v="137008"/>
    <n v="3360.57"/>
    <n v="337.49"/>
    <n v="6585.84"/>
    <n v="147291.9"/>
    <n v="33078.959999999999"/>
    <n v="22795.06"/>
    <s v="Paid"/>
    <n v="170086.96"/>
    <n v="0"/>
    <s v="Delivered"/>
    <x v="1"/>
    <x v="1"/>
    <x v="27"/>
    <x v="2"/>
    <n v="1.89"/>
    <n v="22795.06"/>
    <n v="0.1340200330466251"/>
    <n v="0"/>
    <x v="0"/>
    <n v="6"/>
    <s v="June"/>
    <s v="2024-06"/>
  </r>
  <r>
    <s v="FZ00477"/>
    <n v="45737"/>
    <n v="45744"/>
    <x v="3"/>
    <n v="50"/>
    <n v="1007.93"/>
    <n v="1.73"/>
    <n v="49524.639999999999"/>
    <x v="2"/>
    <n v="826.97"/>
    <n v="41348.5"/>
    <n v="765.61"/>
    <n v="233.8"/>
    <n v="1294.97"/>
    <n v="43642.879999999997"/>
    <n v="8176.14"/>
    <n v="5881.76"/>
    <s v="Unpaid"/>
    <n v="0"/>
    <n v="49524.639999999999"/>
    <s v="Delivered"/>
    <x v="3"/>
    <x v="1"/>
    <x v="1"/>
    <x v="1"/>
    <n v="0.44"/>
    <n v="5881.76"/>
    <n v="0.11876431610608376"/>
    <n v="0"/>
    <x v="1"/>
    <n v="3"/>
    <s v="March"/>
    <s v="2025-03"/>
  </r>
  <r>
    <s v="FZ00478"/>
    <n v="45334"/>
    <m/>
    <x v="0"/>
    <n v="250"/>
    <n v="891.81"/>
    <n v="1.04"/>
    <n v="220633.79"/>
    <x v="3"/>
    <n v="738.86"/>
    <n v="184715"/>
    <n v="4020.31"/>
    <n v="664.66"/>
    <n v="2628.92"/>
    <n v="192028.89"/>
    <n v="35918.79"/>
    <n v="28604.9"/>
    <s v="Part-paid"/>
    <n v="63408.06"/>
    <n v="157225.73000000001"/>
    <s v="Pending"/>
    <x v="5"/>
    <x v="0"/>
    <x v="7"/>
    <x v="5"/>
    <n v="0.68"/>
    <n v="28604.9"/>
    <n v="0.12964877229367269"/>
    <n v="0"/>
    <x v="0"/>
    <n v="2"/>
    <s v="February"/>
    <s v="2024-02"/>
  </r>
  <r>
    <s v="FZ00479"/>
    <n v="45461"/>
    <n v="45461"/>
    <x v="1"/>
    <n v="50"/>
    <n v="1196.74"/>
    <n v="1.86"/>
    <n v="58724.03"/>
    <x v="0"/>
    <n v="1012.06"/>
    <n v="50603"/>
    <n v="754.53"/>
    <n v="157.93"/>
    <n v="3071.66"/>
    <n v="54587.12"/>
    <n v="8121.03"/>
    <n v="4136.91"/>
    <s v="Part-paid"/>
    <n v="48731.040000000001"/>
    <n v="9992.99"/>
    <s v="Delivered"/>
    <x v="4"/>
    <x v="0"/>
    <x v="35"/>
    <x v="4"/>
    <n v="0.7"/>
    <n v="4136.91"/>
    <n v="7.0446629769789298E-2"/>
    <n v="0"/>
    <x v="0"/>
    <n v="6"/>
    <s v="June"/>
    <s v="2024-06"/>
  </r>
  <r>
    <s v="FZ00480"/>
    <n v="45815"/>
    <n v="45819"/>
    <x v="2"/>
    <n v="50"/>
    <n v="755.4"/>
    <n v="0.03"/>
    <n v="37758.67"/>
    <x v="2"/>
    <n v="562.49"/>
    <n v="28124.5"/>
    <n v="985.67"/>
    <n v="251.52"/>
    <n v="1510.71"/>
    <n v="30872.400000000001"/>
    <n v="9634.17"/>
    <n v="6886.27"/>
    <s v="Paid"/>
    <n v="37758.67"/>
    <n v="0"/>
    <s v="Collected"/>
    <x v="5"/>
    <x v="4"/>
    <x v="10"/>
    <x v="5"/>
    <n v="1.25"/>
    <n v="6886.27"/>
    <n v="0.18237586228540362"/>
    <n v="0"/>
    <x v="1"/>
    <n v="6"/>
    <s v="June"/>
    <s v="2025-06"/>
  </r>
  <r>
    <s v="FZ00481"/>
    <n v="45310"/>
    <n v="45314"/>
    <x v="0"/>
    <n v="100"/>
    <n v="822.61"/>
    <n v="0.34"/>
    <n v="81981.31"/>
    <x v="2"/>
    <n v="648.79999999999995"/>
    <n v="64880"/>
    <n v="2315.15"/>
    <n v="197.07"/>
    <n v="5622.94"/>
    <n v="73015.16"/>
    <n v="17101.310000000001"/>
    <n v="8966.15"/>
    <s v="Paid"/>
    <n v="81981.31"/>
    <n v="0"/>
    <s v="Delivered"/>
    <x v="5"/>
    <x v="2"/>
    <x v="17"/>
    <x v="3"/>
    <n v="0.74"/>
    <n v="8966.15"/>
    <n v="0.10936822063467881"/>
    <n v="0"/>
    <x v="0"/>
    <n v="1"/>
    <s v="January"/>
    <s v="2024-01"/>
  </r>
  <r>
    <s v="FZ00482"/>
    <n v="45862"/>
    <n v="45868"/>
    <x v="1"/>
    <n v="200"/>
    <n v="1182.8"/>
    <n v="1.69"/>
    <n v="232562.14"/>
    <x v="0"/>
    <n v="973.82"/>
    <n v="194764"/>
    <n v="3752.76"/>
    <n v="433.16"/>
    <n v="10880.56"/>
    <n v="209830.48"/>
    <n v="37798.14"/>
    <n v="22731.66"/>
    <s v="Paid"/>
    <n v="232562.14"/>
    <n v="0"/>
    <s v="Delivered"/>
    <x v="3"/>
    <x v="0"/>
    <x v="26"/>
    <x v="4"/>
    <n v="1.81"/>
    <n v="22731.66"/>
    <n v="9.774445659985756E-2"/>
    <n v="0"/>
    <x v="1"/>
    <n v="7"/>
    <s v="July"/>
    <s v="2025-07"/>
  </r>
  <r>
    <s v="FZ00483"/>
    <n v="45666"/>
    <n v="45671"/>
    <x v="1"/>
    <n v="200"/>
    <n v="1207.98"/>
    <n v="0.87"/>
    <n v="239494.11"/>
    <x v="2"/>
    <n v="1038.52"/>
    <n v="207704"/>
    <n v="4011.36"/>
    <n v="661.12"/>
    <n v="1184.69"/>
    <n v="213561.17"/>
    <n v="31790.11"/>
    <n v="25932.94"/>
    <s v="Paid"/>
    <n v="239494.11"/>
    <n v="0"/>
    <s v="Collected"/>
    <x v="1"/>
    <x v="0"/>
    <x v="29"/>
    <x v="0"/>
    <n v="0.59"/>
    <n v="25932.94"/>
    <n v="0.10828216192874221"/>
    <n v="0"/>
    <x v="1"/>
    <n v="1"/>
    <s v="January"/>
    <s v="2025-01"/>
  </r>
  <r>
    <s v="FZ00484"/>
    <n v="45548"/>
    <n v="45553"/>
    <x v="1"/>
    <n v="50"/>
    <n v="1374.41"/>
    <n v="2.39"/>
    <n v="67078.080000000002"/>
    <x v="0"/>
    <n v="1065.1600000000001"/>
    <n v="53258"/>
    <n v="325.7"/>
    <n v="146.94"/>
    <n v="7092.84"/>
    <n v="60823.48"/>
    <n v="13820.08"/>
    <n v="6254.6"/>
    <s v="Paid"/>
    <n v="67078.080000000002"/>
    <n v="0"/>
    <s v="Delivered"/>
    <x v="0"/>
    <x v="2"/>
    <x v="7"/>
    <x v="5"/>
    <n v="1.5"/>
    <n v="6254.6"/>
    <n v="9.3243575248426913E-2"/>
    <n v="0"/>
    <x v="0"/>
    <n v="9"/>
    <s v="September"/>
    <s v="2024-09"/>
  </r>
  <r>
    <s v="FZ00485"/>
    <n v="45744"/>
    <m/>
    <x v="2"/>
    <n v="1000"/>
    <n v="760.02"/>
    <n v="1.02"/>
    <n v="0"/>
    <x v="1"/>
    <n v="532.41"/>
    <n v="0"/>
    <n v="0"/>
    <n v="0"/>
    <n v="0"/>
    <n v="0"/>
    <n v="0"/>
    <n v="0"/>
    <s v="Paid"/>
    <n v="0"/>
    <n v="0"/>
    <s v="Cancelled"/>
    <x v="2"/>
    <x v="0"/>
    <x v="8"/>
    <x v="5"/>
    <n v="1.1100000000000001"/>
    <n v="0"/>
    <e v="#DIV/0!"/>
    <n v="0"/>
    <x v="1"/>
    <n v="3"/>
    <s v="March"/>
    <s v="2025-03"/>
  </r>
  <r>
    <s v="FZ00486"/>
    <n v="45534"/>
    <n v="45537"/>
    <x v="0"/>
    <n v="150"/>
    <n v="930.76"/>
    <n v="0.28000000000000003"/>
    <n v="139223.07999999999"/>
    <x v="1"/>
    <n v="695.72"/>
    <n v="104358"/>
    <n v="1796.55"/>
    <n v="873.37"/>
    <n v="3781.23"/>
    <n v="110809.15"/>
    <n v="34865.08"/>
    <n v="28413.93"/>
    <s v="Unpaid"/>
    <n v="0"/>
    <n v="139223.07999999999"/>
    <s v="Delivered"/>
    <x v="2"/>
    <x v="0"/>
    <x v="11"/>
    <x v="5"/>
    <n v="0.76"/>
    <n v="28413.93"/>
    <n v="0.20408922141357599"/>
    <n v="0"/>
    <x v="0"/>
    <n v="8"/>
    <s v="August"/>
    <s v="2024-08"/>
  </r>
  <r>
    <s v="FZ00487"/>
    <n v="45489"/>
    <n v="45496"/>
    <x v="3"/>
    <n v="200"/>
    <n v="926.83"/>
    <n v="0.97"/>
    <n v="183567.95"/>
    <x v="2"/>
    <n v="786.3"/>
    <n v="157260"/>
    <n v="1692.77"/>
    <n v="359.9"/>
    <n v="9711.1"/>
    <n v="169023.77"/>
    <n v="26307.95"/>
    <n v="14544.18"/>
    <s v="Paid"/>
    <n v="183567.95"/>
    <n v="0"/>
    <s v="Delivered"/>
    <x v="5"/>
    <x v="2"/>
    <x v="6"/>
    <x v="2"/>
    <n v="1.34"/>
    <n v="14544.18"/>
    <n v="7.9230497480633183E-2"/>
    <n v="0"/>
    <x v="0"/>
    <n v="7"/>
    <s v="July"/>
    <s v="2024-07"/>
  </r>
  <r>
    <s v="FZ00488"/>
    <n v="45530"/>
    <n v="45540"/>
    <x v="1"/>
    <n v="100"/>
    <n v="1226.8499999999999"/>
    <n v="1.67"/>
    <n v="120636.16"/>
    <x v="2"/>
    <n v="1114.2"/>
    <n v="111420"/>
    <n v="1172.42"/>
    <n v="472.38"/>
    <n v="5989.16"/>
    <n v="119053.96"/>
    <n v="9216.16"/>
    <n v="1582.2"/>
    <s v="Part-paid"/>
    <n v="43462.51"/>
    <n v="77173.649999999994"/>
    <s v="Delivered"/>
    <x v="2"/>
    <x v="2"/>
    <x v="5"/>
    <x v="4"/>
    <n v="0.63"/>
    <n v="1582.2"/>
    <n v="1.3115470518955511E-2"/>
    <n v="0"/>
    <x v="0"/>
    <n v="8"/>
    <s v="August"/>
    <s v="2024-08"/>
  </r>
  <r>
    <s v="FZ00489"/>
    <n v="45622"/>
    <n v="45633"/>
    <x v="0"/>
    <n v="100"/>
    <n v="960.19"/>
    <n v="1.33"/>
    <n v="94741.95"/>
    <x v="2"/>
    <n v="713.26"/>
    <n v="71326"/>
    <n v="1701.46"/>
    <n v="404.28"/>
    <n v="10409.6"/>
    <n v="83841.34"/>
    <n v="23415.95"/>
    <n v="10900.61"/>
    <s v="Part-paid"/>
    <n v="73727.22"/>
    <n v="21014.73"/>
    <s v="Collected"/>
    <x v="1"/>
    <x v="2"/>
    <x v="27"/>
    <x v="2"/>
    <n v="0.33"/>
    <n v="10900.61"/>
    <n v="0.11505579101971197"/>
    <n v="0"/>
    <x v="0"/>
    <n v="11"/>
    <s v="November"/>
    <s v="2024-11"/>
  </r>
  <r>
    <s v="FZ00490"/>
    <n v="45454"/>
    <n v="45454"/>
    <x v="3"/>
    <n v="100"/>
    <n v="1005.13"/>
    <n v="2.4"/>
    <n v="98100.69"/>
    <x v="0"/>
    <n v="719.93"/>
    <n v="71993"/>
    <n v="2134.69"/>
    <n v="330.52"/>
    <n v="5562.98"/>
    <n v="80021.19"/>
    <n v="26107.69"/>
    <n v="18079.5"/>
    <s v="Unpaid"/>
    <n v="0"/>
    <n v="98100.69"/>
    <s v="Delivered"/>
    <x v="0"/>
    <x v="0"/>
    <x v="17"/>
    <x v="3"/>
    <n v="0.41"/>
    <n v="18079.5"/>
    <n v="0.18429533981871074"/>
    <n v="0"/>
    <x v="0"/>
    <n v="6"/>
    <s v="June"/>
    <s v="2024-06"/>
  </r>
  <r>
    <s v="FZ00491"/>
    <n v="45948"/>
    <m/>
    <x v="1"/>
    <n v="500"/>
    <n v="1241.71"/>
    <n v="4.53"/>
    <n v="592730.27"/>
    <x v="1"/>
    <n v="1120.97"/>
    <n v="560485"/>
    <n v="7409.36"/>
    <n v="2162.75"/>
    <n v="7428.4"/>
    <n v="577485.51"/>
    <n v="32245.27"/>
    <n v="15244.76"/>
    <s v="Paid"/>
    <n v="592730.27"/>
    <n v="0"/>
    <s v="Pending"/>
    <x v="4"/>
    <x v="1"/>
    <x v="33"/>
    <x v="1"/>
    <n v="0.05"/>
    <n v="15244.76"/>
    <n v="2.5719557059233705E-2"/>
    <n v="0"/>
    <x v="1"/>
    <n v="10"/>
    <s v="October"/>
    <s v="2025-10"/>
  </r>
  <r>
    <s v="FZ00492"/>
    <n v="45876"/>
    <n v="45889"/>
    <x v="4"/>
    <n v="100"/>
    <n v="2856.75"/>
    <n v="0.93"/>
    <n v="283018.21999999997"/>
    <x v="2"/>
    <n v="2311.6799999999998"/>
    <n v="231168"/>
    <n v="2372.4499999999998"/>
    <n v="511.28"/>
    <n v="8076.29"/>
    <n v="242128.02"/>
    <n v="51850.22"/>
    <n v="40890.199999999997"/>
    <s v="Paid"/>
    <n v="283018.21999999997"/>
    <n v="0"/>
    <s v="Delivered"/>
    <x v="2"/>
    <x v="4"/>
    <x v="17"/>
    <x v="3"/>
    <n v="0.53"/>
    <n v="40890.199999999997"/>
    <n v="0.14447903742734303"/>
    <n v="0"/>
    <x v="1"/>
    <n v="8"/>
    <s v="August"/>
    <s v="2025-08"/>
  </r>
  <r>
    <s v="FZ00493"/>
    <n v="45302"/>
    <n v="45308"/>
    <x v="2"/>
    <n v="50"/>
    <n v="720.11"/>
    <n v="1.96"/>
    <n v="35299.79"/>
    <x v="1"/>
    <n v="582.55999999999995"/>
    <n v="29128"/>
    <n v="952.1"/>
    <n v="270.5"/>
    <n v="9108.11"/>
    <n v="39458.71"/>
    <n v="6171.79"/>
    <n v="-4158.92"/>
    <s v="Part-paid"/>
    <n v="27312.71"/>
    <n v="7987.08"/>
    <s v="Collected"/>
    <x v="3"/>
    <x v="1"/>
    <x v="1"/>
    <x v="1"/>
    <n v="0.68"/>
    <n v="-4158.92"/>
    <n v="-0.11781713149001737"/>
    <n v="0"/>
    <x v="0"/>
    <n v="1"/>
    <s v="January"/>
    <s v="2024-01"/>
  </r>
  <r>
    <s v="FZ00494"/>
    <n v="45537"/>
    <n v="45539"/>
    <x v="3"/>
    <n v="250"/>
    <n v="968.41"/>
    <n v="0.67"/>
    <n v="240480.41"/>
    <x v="1"/>
    <n v="772.83"/>
    <n v="193207.5"/>
    <n v="4363.12"/>
    <n v="679.54"/>
    <n v="5829.83"/>
    <n v="204079.99"/>
    <n v="47272.91"/>
    <n v="36400.42"/>
    <s v="Paid"/>
    <n v="240480.41"/>
    <n v="0"/>
    <s v="Delivered"/>
    <x v="1"/>
    <x v="1"/>
    <x v="36"/>
    <x v="3"/>
    <n v="1.67"/>
    <n v="36400.42"/>
    <n v="0.15136542722960261"/>
    <n v="0"/>
    <x v="0"/>
    <n v="9"/>
    <s v="September"/>
    <s v="2024-09"/>
  </r>
  <r>
    <s v="FZ00495"/>
    <n v="45580"/>
    <n v="45580"/>
    <x v="1"/>
    <n v="1000"/>
    <n v="1341.22"/>
    <n v="4.54"/>
    <n v="1280328.6100000001"/>
    <x v="2"/>
    <n v="1063.8"/>
    <n v="1063800"/>
    <n v="19202.43"/>
    <n v="4701.79"/>
    <n v="2129.75"/>
    <n v="1089833.97"/>
    <n v="216528.61"/>
    <n v="190494.64"/>
    <s v="Part-paid"/>
    <n v="983037.01"/>
    <n v="297291.59999999998"/>
    <s v="Delivered"/>
    <x v="5"/>
    <x v="2"/>
    <x v="7"/>
    <x v="5"/>
    <n v="1.69"/>
    <n v="190494.64"/>
    <n v="0.14878574024835703"/>
    <n v="0"/>
    <x v="0"/>
    <n v="10"/>
    <s v="October"/>
    <s v="2024-10"/>
  </r>
  <r>
    <s v="FZ00496"/>
    <n v="45415"/>
    <n v="45426"/>
    <x v="1"/>
    <n v="1200"/>
    <n v="1250.9100000000001"/>
    <n v="2.99"/>
    <n v="1456209.35"/>
    <x v="2"/>
    <n v="1061.46"/>
    <n v="1273752"/>
    <n v="8550.2900000000009"/>
    <n v="4927.07"/>
    <n v="5184.38"/>
    <n v="1292413.74"/>
    <n v="182457.35"/>
    <n v="163795.60999999999"/>
    <s v="Paid"/>
    <n v="1456209.35"/>
    <n v="0"/>
    <s v="Collected"/>
    <x v="0"/>
    <x v="2"/>
    <x v="22"/>
    <x v="5"/>
    <n v="2.2000000000000002"/>
    <n v="163795.60999999999"/>
    <n v="0.11248081191073246"/>
    <n v="0"/>
    <x v="0"/>
    <n v="5"/>
    <s v="May"/>
    <s v="2024-05"/>
  </r>
  <r>
    <s v="FZ00497"/>
    <n v="45638"/>
    <n v="45648"/>
    <x v="0"/>
    <n v="100"/>
    <n v="963.45"/>
    <n v="1.89"/>
    <n v="94524.08"/>
    <x v="1"/>
    <n v="681.59"/>
    <n v="68159"/>
    <n v="2397.9"/>
    <n v="585.41999999999996"/>
    <n v="4709.41"/>
    <n v="75851.73"/>
    <n v="26365.08"/>
    <n v="18672.349999999999"/>
    <s v="Paid"/>
    <n v="94524.08"/>
    <n v="0"/>
    <s v="Collected"/>
    <x v="0"/>
    <x v="1"/>
    <x v="32"/>
    <x v="0"/>
    <n v="1.99"/>
    <n v="18672.349999999999"/>
    <n v="0.19754066900201514"/>
    <n v="0"/>
    <x v="0"/>
    <n v="12"/>
    <s v="December"/>
    <s v="2024-12"/>
  </r>
  <r>
    <s v="FZ00498"/>
    <n v="45364"/>
    <n v="45367"/>
    <x v="1"/>
    <n v="1000"/>
    <n v="1383.72"/>
    <n v="2.4500000000000002"/>
    <n v="1349818.86"/>
    <x v="1"/>
    <n v="1074.07"/>
    <n v="1074070"/>
    <n v="10060.94"/>
    <n v="2890.36"/>
    <n v="10438.99"/>
    <n v="1097460.29"/>
    <n v="275748.86"/>
    <n v="252358.57"/>
    <s v="Paid"/>
    <n v="1349818.86"/>
    <n v="0"/>
    <s v="Delivered"/>
    <x v="2"/>
    <x v="1"/>
    <x v="8"/>
    <x v="5"/>
    <n v="0.99"/>
    <n v="252358.57"/>
    <n v="0.18695735959712401"/>
    <n v="0"/>
    <x v="0"/>
    <n v="3"/>
    <s v="March"/>
    <s v="2024-03"/>
  </r>
  <r>
    <s v="FZ00499"/>
    <n v="45396"/>
    <n v="45409"/>
    <x v="0"/>
    <n v="500"/>
    <n v="904.55"/>
    <n v="1.04"/>
    <n v="447571.34"/>
    <x v="1"/>
    <n v="681.45"/>
    <n v="340725"/>
    <n v="7679.92"/>
    <n v="1116.71"/>
    <n v="579.95000000000005"/>
    <n v="350101.58"/>
    <n v="106846.34"/>
    <n v="97469.759999999995"/>
    <s v="Part-paid"/>
    <n v="188867.21"/>
    <n v="258704.13"/>
    <s v="Delivered"/>
    <x v="0"/>
    <x v="4"/>
    <x v="28"/>
    <x v="4"/>
    <n v="2.0499999999999998"/>
    <n v="97469.759999999995"/>
    <n v="0.21777480211311115"/>
    <n v="0"/>
    <x v="0"/>
    <n v="4"/>
    <s v="April"/>
    <s v="2024-04"/>
  </r>
  <r>
    <s v="FZ00500"/>
    <n v="45922"/>
    <n v="45928"/>
    <x v="0"/>
    <n v="50"/>
    <n v="901.93"/>
    <n v="1.51"/>
    <n v="44415.54"/>
    <x v="1"/>
    <n v="709.5"/>
    <n v="35475"/>
    <n v="706.09"/>
    <n v="131.96"/>
    <n v="1399.03"/>
    <n v="37712.080000000002"/>
    <n v="8940.5400000000009"/>
    <n v="6703.46"/>
    <s v="Paid"/>
    <n v="44415.54"/>
    <n v="0"/>
    <s v="Collected"/>
    <x v="0"/>
    <x v="2"/>
    <x v="8"/>
    <x v="5"/>
    <n v="0.52"/>
    <n v="6703.46"/>
    <n v="0.15092600472717432"/>
    <n v="0"/>
    <x v="1"/>
    <n v="9"/>
    <s v="September"/>
    <s v="2025-09"/>
  </r>
  <r>
    <s v="FZ00501"/>
    <n v="45564"/>
    <n v="45572"/>
    <x v="1"/>
    <n v="1000"/>
    <n v="1367.95"/>
    <n v="4.03"/>
    <n v="1312821.6200000001"/>
    <x v="1"/>
    <n v="1074.54"/>
    <n v="1074540"/>
    <n v="7037.04"/>
    <n v="5383.89"/>
    <n v="5024.84"/>
    <n v="1091985.77"/>
    <n v="238281.62"/>
    <n v="220835.85"/>
    <s v="Part-paid"/>
    <n v="1066966.99"/>
    <n v="245854.63"/>
    <s v="Collected"/>
    <x v="4"/>
    <x v="1"/>
    <x v="8"/>
    <x v="5"/>
    <n v="1.73"/>
    <n v="220835.85"/>
    <n v="0.1682146657517721"/>
    <n v="0"/>
    <x v="0"/>
    <n v="9"/>
    <s v="September"/>
    <s v="2024-09"/>
  </r>
  <r>
    <s v="FZ00502"/>
    <n v="45385"/>
    <n v="45395"/>
    <x v="0"/>
    <n v="300"/>
    <n v="946.04"/>
    <n v="2.4700000000000002"/>
    <n v="276801.84000000003"/>
    <x v="3"/>
    <n v="717.79"/>
    <n v="215337"/>
    <n v="1931.46"/>
    <n v="477.26"/>
    <n v="4921.8500000000004"/>
    <n v="222667.57"/>
    <n v="61464.84"/>
    <n v="54134.27"/>
    <s v="Paid"/>
    <n v="276801.84000000003"/>
    <n v="0"/>
    <s v="Delivered"/>
    <x v="2"/>
    <x v="3"/>
    <x v="9"/>
    <x v="1"/>
    <n v="1.4"/>
    <n v="54134.27"/>
    <n v="0.19557048464706733"/>
    <n v="0"/>
    <x v="0"/>
    <n v="4"/>
    <s v="April"/>
    <s v="2024-04"/>
  </r>
  <r>
    <s v="FZ00503"/>
    <n v="45974"/>
    <n v="45985"/>
    <x v="2"/>
    <n v="1000"/>
    <n v="773.18"/>
    <n v="0.24"/>
    <n v="771324.37"/>
    <x v="1"/>
    <n v="597.29"/>
    <n v="597290"/>
    <n v="10255.33"/>
    <n v="3238.51"/>
    <n v="5241.3500000000004"/>
    <n v="616025.18999999994"/>
    <n v="174034.37"/>
    <n v="155299.18"/>
    <s v="Part-paid"/>
    <n v="628651.81999999995"/>
    <n v="142672.54999999999"/>
    <s v="Delivered"/>
    <x v="0"/>
    <x v="3"/>
    <x v="22"/>
    <x v="5"/>
    <n v="1.93"/>
    <n v="155299.18"/>
    <n v="0.20134094816685227"/>
    <n v="0"/>
    <x v="1"/>
    <n v="11"/>
    <s v="November"/>
    <s v="2025-11"/>
  </r>
  <r>
    <s v="FZ00504"/>
    <n v="45486"/>
    <n v="45495"/>
    <x v="0"/>
    <n v="150"/>
    <n v="891.15"/>
    <n v="2.0499999999999998"/>
    <n v="130932.21"/>
    <x v="2"/>
    <n v="662.54"/>
    <n v="99381"/>
    <n v="845.18"/>
    <n v="701.31"/>
    <n v="8276.4699999999993"/>
    <n v="109203.96"/>
    <n v="31551.21"/>
    <n v="21728.25"/>
    <s v="Paid"/>
    <n v="130932.21"/>
    <n v="0"/>
    <s v="Delivered"/>
    <x v="3"/>
    <x v="1"/>
    <x v="4"/>
    <x v="1"/>
    <n v="1.04"/>
    <n v="21728.25"/>
    <n v="0.16595037997143711"/>
    <n v="0"/>
    <x v="0"/>
    <n v="7"/>
    <s v="July"/>
    <s v="2024-07"/>
  </r>
  <r>
    <s v="FZ00505"/>
    <n v="45904"/>
    <n v="45911"/>
    <x v="0"/>
    <n v="100"/>
    <n v="848.65"/>
    <n v="0.18"/>
    <n v="84712.24"/>
    <x v="0"/>
    <n v="741.21"/>
    <n v="74121"/>
    <n v="975.68"/>
    <n v="542.37"/>
    <n v="9266.61"/>
    <n v="84905.66"/>
    <n v="10591.24"/>
    <n v="-193.42"/>
    <s v="Paid"/>
    <n v="84712.24"/>
    <n v="0"/>
    <s v="Collected"/>
    <x v="0"/>
    <x v="0"/>
    <x v="13"/>
    <x v="5"/>
    <n v="0.54"/>
    <n v="-193.42"/>
    <n v="-2.2832591842690026E-3"/>
    <n v="0"/>
    <x v="1"/>
    <n v="9"/>
    <s v="September"/>
    <s v="2025-09"/>
  </r>
  <r>
    <s v="FZ00506"/>
    <n v="45526"/>
    <n v="45531"/>
    <x v="0"/>
    <n v="1200"/>
    <n v="839.98"/>
    <n v="1.26"/>
    <n v="995275.5"/>
    <x v="2"/>
    <n v="682.25"/>
    <n v="818700"/>
    <n v="16087.08"/>
    <n v="2931.2"/>
    <n v="1680.27"/>
    <n v="839398.55"/>
    <n v="176575.5"/>
    <n v="155876.95000000001"/>
    <s v="Paid"/>
    <n v="995275.5"/>
    <n v="0"/>
    <s v="Delivered"/>
    <x v="0"/>
    <x v="1"/>
    <x v="11"/>
    <x v="5"/>
    <n v="1.42"/>
    <n v="155876.95000000001"/>
    <n v="0.1566168864801756"/>
    <n v="0"/>
    <x v="0"/>
    <n v="8"/>
    <s v="August"/>
    <s v="2024-08"/>
  </r>
  <r>
    <s v="FZ00507"/>
    <n v="45413"/>
    <n v="45423"/>
    <x v="0"/>
    <n v="150"/>
    <n v="894.16"/>
    <n v="1.67"/>
    <n v="131884.13"/>
    <x v="0"/>
    <n v="669.68"/>
    <n v="100452"/>
    <n v="2784.36"/>
    <n v="579.84"/>
    <n v="4608.57"/>
    <n v="108424.77"/>
    <n v="31432.13"/>
    <n v="23459.360000000001"/>
    <s v="Paid"/>
    <n v="131884.13"/>
    <n v="0"/>
    <s v="Delivered"/>
    <x v="1"/>
    <x v="1"/>
    <x v="36"/>
    <x v="3"/>
    <n v="1.7"/>
    <n v="23459.360000000001"/>
    <n v="0.17787856658720044"/>
    <n v="0"/>
    <x v="0"/>
    <n v="5"/>
    <s v="May"/>
    <s v="2024-05"/>
  </r>
  <r>
    <s v="FZ00508"/>
    <n v="45783"/>
    <m/>
    <x v="1"/>
    <n v="500"/>
    <n v="1311.43"/>
    <n v="0.04"/>
    <n v="0"/>
    <x v="3"/>
    <n v="1082.1400000000001"/>
    <n v="0"/>
    <n v="0"/>
    <n v="0"/>
    <n v="0"/>
    <n v="0"/>
    <n v="0"/>
    <n v="0"/>
    <s v="Paid"/>
    <n v="0"/>
    <n v="0"/>
    <s v="Cancelled"/>
    <x v="4"/>
    <x v="0"/>
    <x v="36"/>
    <x v="3"/>
    <n v="1.51"/>
    <n v="0"/>
    <e v="#DIV/0!"/>
    <n v="0"/>
    <x v="1"/>
    <n v="5"/>
    <s v="May"/>
    <s v="2025-05"/>
  </r>
  <r>
    <s v="FZ00509"/>
    <n v="45852"/>
    <n v="45856"/>
    <x v="0"/>
    <n v="300"/>
    <n v="882.79"/>
    <n v="1.41"/>
    <n v="261102.8"/>
    <x v="1"/>
    <n v="742.72"/>
    <n v="222816"/>
    <n v="5563.05"/>
    <n v="581.84"/>
    <n v="8204.68"/>
    <n v="237165.57"/>
    <n v="38286.800000000003"/>
    <n v="23937.23"/>
    <s v="Paid"/>
    <n v="261102.8"/>
    <n v="0"/>
    <s v="Delivered"/>
    <x v="1"/>
    <x v="4"/>
    <x v="7"/>
    <x v="5"/>
    <n v="1.1299999999999999"/>
    <n v="23937.23"/>
    <n v="9.1677415944984117E-2"/>
    <n v="0"/>
    <x v="1"/>
    <n v="7"/>
    <s v="July"/>
    <s v="2025-07"/>
  </r>
  <r>
    <s v="FZ00510"/>
    <n v="45747"/>
    <m/>
    <x v="0"/>
    <n v="250"/>
    <n v="928.85"/>
    <n v="2.46"/>
    <n v="0"/>
    <x v="2"/>
    <n v="750.4"/>
    <n v="0"/>
    <n v="0"/>
    <n v="0"/>
    <n v="0"/>
    <n v="0"/>
    <n v="0"/>
    <n v="0"/>
    <s v="Paid"/>
    <n v="0"/>
    <n v="0"/>
    <s v="Cancelled"/>
    <x v="0"/>
    <x v="1"/>
    <x v="23"/>
    <x v="4"/>
    <n v="1.1000000000000001"/>
    <n v="0"/>
    <e v="#DIV/0!"/>
    <n v="0"/>
    <x v="1"/>
    <n v="3"/>
    <s v="March"/>
    <s v="2025-03"/>
  </r>
  <r>
    <s v="FZ00511"/>
    <n v="45324"/>
    <n v="45332"/>
    <x v="1"/>
    <n v="250"/>
    <n v="1240.8900000000001"/>
    <n v="2.08"/>
    <n v="303769.87"/>
    <x v="0"/>
    <n v="986.69"/>
    <n v="246672.5"/>
    <n v="1303.04"/>
    <n v="820.55"/>
    <n v="1691.45"/>
    <n v="250487.54"/>
    <n v="57097.37"/>
    <n v="53282.33"/>
    <s v="Paid"/>
    <n v="303769.87"/>
    <n v="0"/>
    <s v="Delivered"/>
    <x v="1"/>
    <x v="1"/>
    <x v="11"/>
    <x v="5"/>
    <n v="1.87"/>
    <n v="53282.33"/>
    <n v="0.1754036040506585"/>
    <n v="0"/>
    <x v="0"/>
    <n v="2"/>
    <s v="February"/>
    <s v="2024-02"/>
  </r>
  <r>
    <s v="FZ00512"/>
    <n v="45362"/>
    <n v="45375"/>
    <x v="3"/>
    <n v="500"/>
    <n v="986.79"/>
    <n v="2.5499999999999998"/>
    <n v="480813.43"/>
    <x v="1"/>
    <n v="783.51"/>
    <n v="391755"/>
    <n v="8814.19"/>
    <n v="2229.71"/>
    <n v="1044.45"/>
    <n v="403843.35"/>
    <n v="89058.43"/>
    <n v="76970.080000000002"/>
    <s v="Paid"/>
    <n v="480813.43"/>
    <n v="0"/>
    <s v="Delivered"/>
    <x v="0"/>
    <x v="0"/>
    <x v="26"/>
    <x v="4"/>
    <n v="2.0099999999999998"/>
    <n v="76970.080000000002"/>
    <n v="0.16008304926091604"/>
    <n v="0"/>
    <x v="0"/>
    <n v="3"/>
    <s v="March"/>
    <s v="2024-03"/>
  </r>
  <r>
    <s v="FZ00513"/>
    <n v="45453"/>
    <n v="45457"/>
    <x v="0"/>
    <n v="750"/>
    <n v="864.8"/>
    <n v="3.19"/>
    <n v="627909.66"/>
    <x v="0"/>
    <n v="701.45"/>
    <n v="526087.5"/>
    <n v="15146.34"/>
    <n v="1512.66"/>
    <n v="4737.1899999999996"/>
    <n v="547483.68999999994"/>
    <n v="101822.16"/>
    <n v="80425.97"/>
    <s v="Unpaid"/>
    <n v="0"/>
    <n v="627909.66"/>
    <s v="Delivered"/>
    <x v="0"/>
    <x v="0"/>
    <x v="13"/>
    <x v="5"/>
    <n v="1.1299999999999999"/>
    <n v="80425.97"/>
    <n v="0.128085256723077"/>
    <n v="0"/>
    <x v="0"/>
    <n v="6"/>
    <s v="June"/>
    <s v="2024-06"/>
  </r>
  <r>
    <s v="FZ00514"/>
    <n v="45375"/>
    <n v="45377"/>
    <x v="0"/>
    <n v="300"/>
    <n v="933.78"/>
    <n v="0.44"/>
    <n v="278901.40999999997"/>
    <x v="2"/>
    <n v="673.25"/>
    <n v="201975"/>
    <n v="6557.5"/>
    <n v="577.34"/>
    <n v="276.31"/>
    <n v="209386.15"/>
    <n v="76926.41"/>
    <n v="69515.259999999995"/>
    <s v="Paid"/>
    <n v="278901.40999999997"/>
    <n v="0"/>
    <s v="Delivered"/>
    <x v="2"/>
    <x v="3"/>
    <x v="36"/>
    <x v="3"/>
    <n v="0.6"/>
    <n v="69515.259999999995"/>
    <n v="0.2492467140987204"/>
    <n v="0"/>
    <x v="0"/>
    <n v="3"/>
    <s v="March"/>
    <s v="2024-03"/>
  </r>
  <r>
    <s v="FZ00515"/>
    <n v="45941"/>
    <n v="45945"/>
    <x v="1"/>
    <n v="200"/>
    <n v="1333.45"/>
    <n v="0.99"/>
    <n v="264049.77"/>
    <x v="0"/>
    <n v="976.42"/>
    <n v="195284"/>
    <n v="4646.96"/>
    <n v="1133.29"/>
    <n v="594.02"/>
    <n v="201658.27"/>
    <n v="68765.77"/>
    <n v="62391.5"/>
    <s v="Paid"/>
    <n v="264049.77"/>
    <n v="0"/>
    <s v="Delivered"/>
    <x v="4"/>
    <x v="3"/>
    <x v="7"/>
    <x v="5"/>
    <n v="1.84"/>
    <n v="62391.5"/>
    <n v="0.23628689394427421"/>
    <n v="0"/>
    <x v="1"/>
    <n v="10"/>
    <s v="October"/>
    <s v="2025-10"/>
  </r>
  <r>
    <s v="FZ00516"/>
    <n v="45882"/>
    <n v="45890"/>
    <x v="3"/>
    <n v="300"/>
    <n v="1008.54"/>
    <n v="2.37"/>
    <n v="295391.28000000003"/>
    <x v="1"/>
    <n v="778.26"/>
    <n v="233478"/>
    <n v="2993.56"/>
    <n v="789.3"/>
    <n v="328.74"/>
    <n v="237589.6"/>
    <n v="61913.279999999999"/>
    <n v="57801.68"/>
    <s v="Paid"/>
    <n v="295391.28000000003"/>
    <n v="0"/>
    <s v="Delivered"/>
    <x v="0"/>
    <x v="1"/>
    <x v="16"/>
    <x v="1"/>
    <n v="0.96"/>
    <n v="57801.68"/>
    <n v="0.19567835584042967"/>
    <n v="0"/>
    <x v="1"/>
    <n v="8"/>
    <s v="August"/>
    <s v="2025-08"/>
  </r>
  <r>
    <s v="FZ00517"/>
    <n v="45625"/>
    <n v="45635"/>
    <x v="0"/>
    <n v="200"/>
    <n v="926.37"/>
    <n v="2.21"/>
    <n v="181179.44"/>
    <x v="0"/>
    <n v="677.88"/>
    <n v="135576"/>
    <n v="4065.76"/>
    <n v="520.88"/>
    <n v="9584.6299999999992"/>
    <n v="149747.26999999999"/>
    <n v="45603.44"/>
    <n v="31432.17"/>
    <s v="Paid"/>
    <n v="181179.44"/>
    <n v="0"/>
    <s v="Delivered"/>
    <x v="5"/>
    <x v="2"/>
    <x v="4"/>
    <x v="1"/>
    <n v="1.95"/>
    <n v="31432.17"/>
    <n v="0.1734864066253875"/>
    <n v="0"/>
    <x v="0"/>
    <n v="11"/>
    <s v="November"/>
    <s v="2024-11"/>
  </r>
  <r>
    <s v="FZ00518"/>
    <n v="45495"/>
    <n v="45502"/>
    <x v="0"/>
    <n v="200"/>
    <n v="832"/>
    <n v="0.04"/>
    <n v="166333.44"/>
    <x v="2"/>
    <n v="731.9"/>
    <n v="146380"/>
    <n v="2275.44"/>
    <n v="1052.1600000000001"/>
    <n v="833.65"/>
    <n v="150541.25"/>
    <n v="19953.439999999999"/>
    <n v="15792.19"/>
    <s v="Paid"/>
    <n v="166333.44"/>
    <n v="0"/>
    <s v="Delivered"/>
    <x v="4"/>
    <x v="1"/>
    <x v="18"/>
    <x v="3"/>
    <n v="1.37"/>
    <n v="15792.19"/>
    <n v="9.4942965166835966E-2"/>
    <n v="0"/>
    <x v="0"/>
    <n v="7"/>
    <s v="July"/>
    <s v="2024-07"/>
  </r>
  <r>
    <s v="FZ00519"/>
    <n v="45991"/>
    <n v="45999"/>
    <x v="3"/>
    <n v="50"/>
    <n v="1101.03"/>
    <n v="1.08"/>
    <n v="54456.94"/>
    <x v="1"/>
    <n v="719.16"/>
    <n v="35958"/>
    <n v="966.84"/>
    <n v="219.99"/>
    <n v="6277.82"/>
    <n v="43422.65"/>
    <n v="18498.939999999999"/>
    <n v="11034.29"/>
    <s v="Paid"/>
    <n v="54456.94"/>
    <n v="0"/>
    <s v="Delivered"/>
    <x v="1"/>
    <x v="3"/>
    <x v="19"/>
    <x v="4"/>
    <n v="1.85"/>
    <n v="11034.29"/>
    <n v="0.20262412834801222"/>
    <n v="0"/>
    <x v="1"/>
    <n v="11"/>
    <s v="November"/>
    <s v="2025-11"/>
  </r>
  <r>
    <s v="FZ00520"/>
    <n v="45430"/>
    <n v="45444"/>
    <x v="3"/>
    <n v="250"/>
    <n v="921.95"/>
    <n v="1.93"/>
    <n v="226039.09"/>
    <x v="1"/>
    <n v="821.82"/>
    <n v="205455"/>
    <n v="1428.04"/>
    <n v="840.59"/>
    <n v="2057.06"/>
    <n v="209780.69"/>
    <n v="20584.09"/>
    <n v="16258.4"/>
    <s v="Paid"/>
    <n v="226039.09"/>
    <n v="0"/>
    <s v="Collected"/>
    <x v="5"/>
    <x v="4"/>
    <x v="11"/>
    <x v="5"/>
    <n v="0.43"/>
    <n v="16258.4"/>
    <n v="7.192738211784519E-2"/>
    <n v="0"/>
    <x v="0"/>
    <n v="5"/>
    <s v="May"/>
    <s v="2024-05"/>
  </r>
  <r>
    <s v="FZ00521"/>
    <n v="45867"/>
    <n v="45873"/>
    <x v="0"/>
    <n v="1000"/>
    <n v="858.65"/>
    <n v="1.7"/>
    <n v="844052.95"/>
    <x v="1"/>
    <n v="708.88"/>
    <n v="708880"/>
    <n v="19553.89"/>
    <n v="4556.62"/>
    <n v="10270.790000000001"/>
    <n v="743261.3"/>
    <n v="135172.95000000001"/>
    <n v="100791.65"/>
    <s v="Paid"/>
    <n v="844052.95"/>
    <n v="0"/>
    <s v="Delivered"/>
    <x v="3"/>
    <x v="1"/>
    <x v="7"/>
    <x v="5"/>
    <n v="0.57999999999999996"/>
    <n v="100791.65"/>
    <n v="0.11941389459038085"/>
    <n v="0"/>
    <x v="1"/>
    <n v="7"/>
    <s v="July"/>
    <s v="2025-07"/>
  </r>
  <r>
    <s v="FZ00522"/>
    <n v="45374"/>
    <n v="45378"/>
    <x v="2"/>
    <n v="150"/>
    <n v="723.02"/>
    <n v="0.01"/>
    <n v="108442.15"/>
    <x v="2"/>
    <n v="554.76"/>
    <n v="83214"/>
    <n v="2272.46"/>
    <n v="819.43"/>
    <n v="7740.75"/>
    <n v="94046.64"/>
    <n v="25228.15"/>
    <n v="14395.51"/>
    <s v="Paid"/>
    <n v="108442.15"/>
    <n v="0"/>
    <s v="Delivered"/>
    <x v="0"/>
    <x v="3"/>
    <x v="10"/>
    <x v="5"/>
    <n v="1.57"/>
    <n v="14395.51"/>
    <n v="0.13274829021741086"/>
    <n v="0"/>
    <x v="0"/>
    <n v="3"/>
    <s v="March"/>
    <s v="2024-03"/>
  </r>
  <r>
    <s v="FZ00523"/>
    <n v="45473"/>
    <n v="45480"/>
    <x v="0"/>
    <n v="200"/>
    <n v="882.28"/>
    <n v="1.1200000000000001"/>
    <n v="174479.69"/>
    <x v="2"/>
    <n v="712.27"/>
    <n v="142454"/>
    <n v="1307.22"/>
    <n v="316.66000000000003"/>
    <n v="11564.06"/>
    <n v="155641.94"/>
    <n v="32025.69"/>
    <n v="18837.75"/>
    <s v="Unpaid"/>
    <n v="0"/>
    <n v="174479.69"/>
    <s v="Collected"/>
    <x v="4"/>
    <x v="1"/>
    <x v="24"/>
    <x v="0"/>
    <n v="1.1000000000000001"/>
    <n v="18837.75"/>
    <n v="0.10796528810889107"/>
    <n v="0"/>
    <x v="0"/>
    <n v="6"/>
    <s v="June"/>
    <s v="2024-06"/>
  </r>
  <r>
    <s v="FZ00524"/>
    <n v="45400"/>
    <n v="45408"/>
    <x v="0"/>
    <n v="100"/>
    <n v="903.75"/>
    <n v="2.13"/>
    <n v="88450.01"/>
    <x v="1"/>
    <n v="714.18"/>
    <n v="71418"/>
    <n v="1286.3699999999999"/>
    <n v="282.7"/>
    <n v="10248.67"/>
    <n v="83235.740000000005"/>
    <n v="17032.009999999998"/>
    <n v="5214.2700000000004"/>
    <s v="Paid"/>
    <n v="88450.01"/>
    <n v="0"/>
    <s v="Delivered"/>
    <x v="3"/>
    <x v="1"/>
    <x v="20"/>
    <x v="2"/>
    <n v="0.3"/>
    <n v="5214.2700000000004"/>
    <n v="5.8951604414742301E-2"/>
    <n v="0"/>
    <x v="0"/>
    <n v="4"/>
    <s v="April"/>
    <s v="2024-04"/>
  </r>
  <r>
    <s v="FZ00525"/>
    <n v="45401"/>
    <n v="45412"/>
    <x v="0"/>
    <n v="100"/>
    <n v="859.59"/>
    <n v="1.17"/>
    <n v="84953.279999999999"/>
    <x v="0"/>
    <n v="729.02"/>
    <n v="72902"/>
    <n v="1650.12"/>
    <n v="564.19000000000005"/>
    <n v="6432.52"/>
    <n v="81548.83"/>
    <n v="12051.28"/>
    <n v="3404.45"/>
    <s v="Paid"/>
    <n v="84953.279999999999"/>
    <n v="0"/>
    <s v="Collected"/>
    <x v="0"/>
    <x v="1"/>
    <x v="28"/>
    <x v="4"/>
    <n v="1.97"/>
    <n v="3404.45"/>
    <n v="4.007437970611611E-2"/>
    <n v="0"/>
    <x v="0"/>
    <n v="4"/>
    <s v="April"/>
    <s v="2024-04"/>
  </r>
  <r>
    <s v="FZ00526"/>
    <n v="45484"/>
    <m/>
    <x v="3"/>
    <n v="100"/>
    <n v="975.78"/>
    <n v="1.87"/>
    <n v="95753.29"/>
    <x v="3"/>
    <n v="819.99"/>
    <n v="81999"/>
    <n v="1120.18"/>
    <n v="335.12"/>
    <n v="2486.86"/>
    <n v="85941.16"/>
    <n v="13754.29"/>
    <n v="9812.1299999999992"/>
    <s v="Paid"/>
    <n v="95753.29"/>
    <n v="0"/>
    <s v="Pending"/>
    <x v="0"/>
    <x v="0"/>
    <x v="9"/>
    <x v="1"/>
    <n v="1.05"/>
    <n v="9812.1299999999992"/>
    <n v="0.10247303251930039"/>
    <n v="0"/>
    <x v="0"/>
    <n v="7"/>
    <s v="July"/>
    <s v="2024-07"/>
  </r>
  <r>
    <s v="FZ00527"/>
    <n v="46008"/>
    <n v="46010"/>
    <x v="0"/>
    <n v="200"/>
    <n v="964.98"/>
    <n v="1.64"/>
    <n v="189830.87"/>
    <x v="2"/>
    <n v="717.95"/>
    <n v="143590"/>
    <n v="1601.22"/>
    <n v="759.18"/>
    <n v="10024.34"/>
    <n v="155974.74"/>
    <n v="46240.87"/>
    <n v="33856.129999999997"/>
    <s v="Paid"/>
    <n v="189830.87"/>
    <n v="0"/>
    <s v="Delivered"/>
    <x v="0"/>
    <x v="0"/>
    <x v="7"/>
    <x v="5"/>
    <n v="1.53"/>
    <n v="33856.129999999997"/>
    <n v="0.17834891659085794"/>
    <n v="0"/>
    <x v="1"/>
    <n v="12"/>
    <s v="December"/>
    <s v="2025-12"/>
  </r>
  <r>
    <s v="FZ00528"/>
    <n v="45475"/>
    <n v="45486"/>
    <x v="4"/>
    <n v="150"/>
    <n v="2829.7"/>
    <n v="2.02"/>
    <n v="415881.01"/>
    <x v="1"/>
    <n v="2301.39"/>
    <n v="345208.5"/>
    <n v="1369.92"/>
    <n v="589.94000000000005"/>
    <n v="5015.1000000000004"/>
    <n v="352183.46"/>
    <n v="70672.509999999995"/>
    <n v="63697.55"/>
    <s v="Paid"/>
    <n v="415881.01"/>
    <n v="0"/>
    <s v="Delivered"/>
    <x v="1"/>
    <x v="0"/>
    <x v="25"/>
    <x v="3"/>
    <n v="1.66"/>
    <n v="63697.55"/>
    <n v="0.15316292032665788"/>
    <n v="0"/>
    <x v="0"/>
    <n v="7"/>
    <s v="July"/>
    <s v="2024-07"/>
  </r>
  <r>
    <s v="FZ00529"/>
    <n v="45460"/>
    <n v="45462"/>
    <x v="1"/>
    <n v="500"/>
    <n v="1226.5899999999999"/>
    <n v="2.66"/>
    <n v="596981.35"/>
    <x v="1"/>
    <n v="1102.47"/>
    <n v="551235"/>
    <n v="4955.1400000000003"/>
    <n v="2434.33"/>
    <n v="4444.83"/>
    <n v="563069.30000000005"/>
    <n v="45746.35"/>
    <n v="33912.050000000003"/>
    <s v="Paid"/>
    <n v="596981.35"/>
    <n v="0"/>
    <s v="Delivered"/>
    <x v="2"/>
    <x v="3"/>
    <x v="27"/>
    <x v="2"/>
    <n v="0.22"/>
    <n v="33912.050000000003"/>
    <n v="5.6805878441596215E-2"/>
    <n v="0"/>
    <x v="0"/>
    <n v="6"/>
    <s v="June"/>
    <s v="2024-06"/>
  </r>
  <r>
    <s v="FZ00530"/>
    <n v="45819"/>
    <n v="45823"/>
    <x v="3"/>
    <n v="300"/>
    <n v="934.35"/>
    <n v="1.48"/>
    <n v="276156.49"/>
    <x v="3"/>
    <n v="800.15"/>
    <n v="240045"/>
    <n v="2629.52"/>
    <n v="568.80999999999995"/>
    <n v="7604.66"/>
    <n v="250847.99"/>
    <n v="36111.49"/>
    <n v="25308.5"/>
    <s v="Paid"/>
    <n v="276156.49"/>
    <n v="0"/>
    <s v="Delivered"/>
    <x v="2"/>
    <x v="3"/>
    <x v="11"/>
    <x v="5"/>
    <n v="1.59"/>
    <n v="25308.5"/>
    <n v="9.164550143290133E-2"/>
    <n v="0"/>
    <x v="1"/>
    <n v="6"/>
    <s v="June"/>
    <s v="2025-06"/>
  </r>
  <r>
    <s v="FZ00531"/>
    <n v="45600"/>
    <n v="45605"/>
    <x v="0"/>
    <n v="200"/>
    <n v="877.98"/>
    <n v="0.51"/>
    <n v="174700.46"/>
    <x v="1"/>
    <n v="695.66"/>
    <n v="139132"/>
    <n v="1283.4100000000001"/>
    <n v="440.89"/>
    <n v="11371.02"/>
    <n v="152227.32"/>
    <n v="35568.46"/>
    <n v="22473.14"/>
    <s v="Paid"/>
    <n v="174700.46"/>
    <n v="0"/>
    <s v="Collected"/>
    <x v="2"/>
    <x v="2"/>
    <x v="19"/>
    <x v="4"/>
    <n v="0.85"/>
    <n v="22473.14"/>
    <n v="0.12863812722645379"/>
    <n v="0"/>
    <x v="0"/>
    <n v="11"/>
    <s v="November"/>
    <s v="2024-11"/>
  </r>
  <r>
    <s v="FZ00532"/>
    <n v="45821"/>
    <m/>
    <x v="3"/>
    <n v="200"/>
    <n v="956.7"/>
    <n v="0.17"/>
    <n v="191014.72"/>
    <x v="0"/>
    <n v="755.72"/>
    <n v="151144"/>
    <n v="2158.85"/>
    <n v="979.01"/>
    <n v="11858.11"/>
    <n v="166139.97"/>
    <n v="39870.720000000001"/>
    <n v="24874.75"/>
    <s v="Paid"/>
    <n v="191014.72"/>
    <n v="0"/>
    <s v="Pending"/>
    <x v="5"/>
    <x v="0"/>
    <x v="10"/>
    <x v="5"/>
    <n v="0.46"/>
    <n v="24874.75"/>
    <n v="0.13022425706249235"/>
    <n v="0"/>
    <x v="1"/>
    <n v="6"/>
    <s v="June"/>
    <s v="2025-06"/>
  </r>
  <r>
    <s v="FZ00533"/>
    <n v="45487"/>
    <n v="45499"/>
    <x v="0"/>
    <n v="100"/>
    <n v="902.27"/>
    <n v="1.91"/>
    <n v="88503.66"/>
    <x v="1"/>
    <n v="727.81"/>
    <n v="72781"/>
    <n v="611.11"/>
    <n v="152.88999999999999"/>
    <n v="10845.38"/>
    <n v="84390.38"/>
    <n v="15722.66"/>
    <n v="4113.28"/>
    <s v="Paid"/>
    <n v="88503.66"/>
    <n v="0"/>
    <s v="Delivered"/>
    <x v="0"/>
    <x v="1"/>
    <x v="7"/>
    <x v="5"/>
    <n v="0.06"/>
    <n v="4113.28"/>
    <n v="4.6475818062213466E-2"/>
    <n v="0"/>
    <x v="0"/>
    <n v="7"/>
    <s v="July"/>
    <s v="2024-07"/>
  </r>
  <r>
    <s v="FZ00534"/>
    <n v="45340"/>
    <n v="45352"/>
    <x v="1"/>
    <n v="1000"/>
    <n v="1259.5"/>
    <n v="2.81"/>
    <n v="1224108.05"/>
    <x v="1"/>
    <n v="1065.78"/>
    <n v="1065780"/>
    <n v="10266.61"/>
    <n v="2439.75"/>
    <n v="10736.39"/>
    <n v="1089222.75"/>
    <n v="158328.04999999999"/>
    <n v="134885.29999999999"/>
    <s v="Part-paid"/>
    <n v="352867"/>
    <n v="871241.05"/>
    <s v="Collected"/>
    <x v="1"/>
    <x v="3"/>
    <x v="22"/>
    <x v="5"/>
    <n v="2.31"/>
    <n v="134885.29999999999"/>
    <n v="0.1101906812883062"/>
    <n v="0"/>
    <x v="0"/>
    <n v="2"/>
    <s v="February"/>
    <s v="2024-02"/>
  </r>
  <r>
    <s v="FZ00535"/>
    <n v="45428"/>
    <m/>
    <x v="2"/>
    <n v="500"/>
    <n v="752.89"/>
    <n v="1.17"/>
    <n v="0"/>
    <x v="1"/>
    <n v="580"/>
    <n v="0"/>
    <n v="0"/>
    <n v="0"/>
    <n v="0"/>
    <n v="0"/>
    <n v="0"/>
    <n v="0"/>
    <s v="Paid"/>
    <n v="0"/>
    <n v="0"/>
    <s v="Cancelled"/>
    <x v="2"/>
    <x v="4"/>
    <x v="2"/>
    <x v="2"/>
    <n v="2.35"/>
    <n v="0"/>
    <e v="#DIV/0!"/>
    <n v="0"/>
    <x v="0"/>
    <n v="5"/>
    <s v="May"/>
    <s v="2024-05"/>
  </r>
  <r>
    <s v="FZ00536"/>
    <n v="45398"/>
    <n v="45400"/>
    <x v="0"/>
    <n v="200"/>
    <n v="946.67"/>
    <n v="1.02"/>
    <n v="187402.79"/>
    <x v="2"/>
    <n v="747.25"/>
    <n v="149450"/>
    <n v="2410.79"/>
    <n v="496.82"/>
    <n v="6323.74"/>
    <n v="158681.35"/>
    <n v="37952.79"/>
    <n v="28721.439999999999"/>
    <s v="Paid"/>
    <n v="187402.79"/>
    <n v="0"/>
    <s v="Collected"/>
    <x v="1"/>
    <x v="3"/>
    <x v="20"/>
    <x v="2"/>
    <n v="1.1299999999999999"/>
    <n v="28721.439999999999"/>
    <n v="0.15326047173577298"/>
    <n v="0"/>
    <x v="0"/>
    <n v="4"/>
    <s v="April"/>
    <s v="2024-04"/>
  </r>
  <r>
    <s v="FZ00537"/>
    <n v="45664"/>
    <n v="45676"/>
    <x v="1"/>
    <n v="1000"/>
    <n v="1354.9"/>
    <n v="0.93"/>
    <n v="1342299.43"/>
    <x v="0"/>
    <n v="1015.32"/>
    <n v="1015320"/>
    <n v="11830.86"/>
    <n v="4801.5600000000004"/>
    <n v="10828.96"/>
    <n v="1042781.38"/>
    <n v="326979.43"/>
    <n v="299518.05"/>
    <s v="Paid"/>
    <n v="1342299.43"/>
    <n v="0"/>
    <s v="Delivered"/>
    <x v="1"/>
    <x v="3"/>
    <x v="0"/>
    <x v="0"/>
    <n v="1.32"/>
    <n v="299518.05"/>
    <n v="0.22313802964216412"/>
    <n v="0"/>
    <x v="1"/>
    <n v="1"/>
    <s v="January"/>
    <s v="2025-01"/>
  </r>
  <r>
    <s v="FZ00538"/>
    <n v="45889"/>
    <m/>
    <x v="0"/>
    <n v="50"/>
    <n v="853.73"/>
    <n v="1.08"/>
    <n v="42225.49"/>
    <x v="3"/>
    <n v="695.85"/>
    <n v="34792.5"/>
    <n v="635.26"/>
    <n v="79.31"/>
    <n v="3975.32"/>
    <n v="39482.39"/>
    <n v="7432.99"/>
    <n v="2743.1"/>
    <s v="Paid"/>
    <n v="42225.49"/>
    <n v="0"/>
    <s v="Pending"/>
    <x v="3"/>
    <x v="1"/>
    <x v="28"/>
    <x v="4"/>
    <n v="0.41"/>
    <n v="2743.1"/>
    <n v="6.4963130090379059E-2"/>
    <n v="0"/>
    <x v="1"/>
    <n v="8"/>
    <s v="August"/>
    <s v="2025-08"/>
  </r>
  <r>
    <s v="FZ00539"/>
    <n v="45613"/>
    <n v="45615"/>
    <x v="3"/>
    <n v="100"/>
    <n v="957.99"/>
    <n v="1.97"/>
    <n v="93911.76"/>
    <x v="1"/>
    <n v="782.28"/>
    <n v="78228"/>
    <n v="2219.46"/>
    <n v="247.11"/>
    <n v="6864.37"/>
    <n v="87558.94"/>
    <n v="15683.76"/>
    <n v="6352.82"/>
    <s v="Unpaid"/>
    <n v="0"/>
    <n v="93911.76"/>
    <s v="Delivered"/>
    <x v="0"/>
    <x v="1"/>
    <x v="32"/>
    <x v="0"/>
    <n v="0.55000000000000004"/>
    <n v="6352.82"/>
    <n v="6.7646693023323171E-2"/>
    <n v="0"/>
    <x v="0"/>
    <n v="11"/>
    <s v="November"/>
    <s v="2024-11"/>
  </r>
  <r>
    <s v="FZ00540"/>
    <n v="45446"/>
    <n v="45455"/>
    <x v="2"/>
    <n v="150"/>
    <n v="676.21"/>
    <n v="2.38"/>
    <n v="99017.43"/>
    <x v="1"/>
    <n v="603.41"/>
    <n v="90511.5"/>
    <n v="954.46"/>
    <n v="888.32"/>
    <n v="722.43"/>
    <n v="93076.71"/>
    <n v="8505.93"/>
    <n v="5940.72"/>
    <s v="Unpaid"/>
    <n v="0"/>
    <n v="99017.43"/>
    <s v="Delivered"/>
    <x v="1"/>
    <x v="0"/>
    <x v="9"/>
    <x v="1"/>
    <n v="1.76"/>
    <n v="5940.72"/>
    <n v="5.9996709670206552E-2"/>
    <n v="0"/>
    <x v="0"/>
    <n v="6"/>
    <s v="June"/>
    <s v="2024-06"/>
  </r>
  <r>
    <s v="FZ00541"/>
    <n v="45383"/>
    <n v="45386"/>
    <x v="3"/>
    <n v="750"/>
    <n v="950.6"/>
    <n v="4.24"/>
    <n v="682720.92"/>
    <x v="1"/>
    <n v="721.96"/>
    <n v="541470"/>
    <n v="17987.22"/>
    <n v="2955.11"/>
    <n v="983.07"/>
    <n v="563395.4"/>
    <n v="141250.92000000001"/>
    <n v="119325.52"/>
    <s v="Paid"/>
    <n v="682720.92"/>
    <n v="0"/>
    <s v="Delivered"/>
    <x v="4"/>
    <x v="2"/>
    <x v="34"/>
    <x v="4"/>
    <n v="0.39"/>
    <n v="119325.52"/>
    <n v="0.17477935200813827"/>
    <n v="0"/>
    <x v="0"/>
    <n v="4"/>
    <s v="April"/>
    <s v="2024-04"/>
  </r>
  <r>
    <s v="FZ00542"/>
    <n v="45534"/>
    <n v="45544"/>
    <x v="0"/>
    <n v="300"/>
    <n v="904.64"/>
    <n v="1.68"/>
    <n v="266832.61"/>
    <x v="1"/>
    <n v="677.89"/>
    <n v="203367"/>
    <n v="3983.59"/>
    <n v="1118.27"/>
    <n v="38.26"/>
    <n v="208507.12"/>
    <n v="63465.61"/>
    <n v="58325.49"/>
    <s v="Paid"/>
    <n v="266832.61"/>
    <n v="0"/>
    <s v="Delivered"/>
    <x v="4"/>
    <x v="1"/>
    <x v="3"/>
    <x v="3"/>
    <n v="0.56999999999999995"/>
    <n v="58325.49"/>
    <n v="0.21858456505747181"/>
    <n v="0"/>
    <x v="0"/>
    <n v="8"/>
    <s v="August"/>
    <s v="2024-08"/>
  </r>
  <r>
    <s v="FZ00543"/>
    <n v="45784"/>
    <n v="45795"/>
    <x v="0"/>
    <n v="300"/>
    <n v="889.95"/>
    <n v="0.44"/>
    <n v="265810.27"/>
    <x v="1"/>
    <n v="706.47"/>
    <n v="211941"/>
    <n v="4748.99"/>
    <n v="1769.45"/>
    <n v="3844.09"/>
    <n v="222303.53"/>
    <n v="53869.27"/>
    <n v="43506.74"/>
    <s v="Paid"/>
    <n v="265810.27"/>
    <n v="0"/>
    <s v="Collected"/>
    <x v="2"/>
    <x v="0"/>
    <x v="11"/>
    <x v="5"/>
    <n v="0.22"/>
    <n v="43506.74"/>
    <n v="0.16367591816523866"/>
    <n v="0"/>
    <x v="1"/>
    <n v="5"/>
    <s v="May"/>
    <s v="2025-05"/>
  </r>
  <r>
    <s v="FZ00544"/>
    <n v="45865"/>
    <n v="45875"/>
    <x v="3"/>
    <n v="100"/>
    <n v="1006.33"/>
    <n v="0.25"/>
    <n v="100381.42"/>
    <x v="2"/>
    <n v="747.13"/>
    <n v="74713"/>
    <n v="1910.66"/>
    <n v="406.99"/>
    <n v="9913.69"/>
    <n v="86944.34"/>
    <n v="25668.42"/>
    <n v="13437.08"/>
    <s v="Paid"/>
    <n v="100381.42"/>
    <n v="0"/>
    <s v="Delivered"/>
    <x v="4"/>
    <x v="1"/>
    <x v="7"/>
    <x v="5"/>
    <n v="2.2799999999999998"/>
    <n v="13437.08"/>
    <n v="0.1338602303095533"/>
    <n v="0"/>
    <x v="1"/>
    <n v="7"/>
    <s v="July"/>
    <s v="2025-07"/>
  </r>
  <r>
    <s v="FZ00545"/>
    <n v="45839"/>
    <n v="45847"/>
    <x v="0"/>
    <n v="200"/>
    <n v="848.31"/>
    <n v="0.97"/>
    <n v="168016.28"/>
    <x v="1"/>
    <n v="662.78"/>
    <n v="132556"/>
    <n v="2341.9899999999998"/>
    <n v="598.86"/>
    <n v="6521.14"/>
    <n v="142017.99"/>
    <n v="35460.28"/>
    <n v="25998.29"/>
    <s v="Paid"/>
    <n v="168016.28"/>
    <n v="0"/>
    <s v="Delivered"/>
    <x v="5"/>
    <x v="1"/>
    <x v="30"/>
    <x v="0"/>
    <n v="1.91"/>
    <n v="25998.29"/>
    <n v="0.15473673146435571"/>
    <n v="0"/>
    <x v="1"/>
    <n v="7"/>
    <s v="July"/>
    <s v="2025-07"/>
  </r>
  <r>
    <s v="FZ00546"/>
    <n v="45617"/>
    <m/>
    <x v="1"/>
    <n v="300"/>
    <n v="1290.83"/>
    <n v="1.9"/>
    <n v="379891.27"/>
    <x v="1"/>
    <n v="1112.55"/>
    <n v="333765"/>
    <n v="7167.05"/>
    <n v="1602.85"/>
    <n v="4812.58"/>
    <n v="347347.48"/>
    <n v="46126.27"/>
    <n v="32543.79"/>
    <s v="Part-paid"/>
    <n v="261351.11"/>
    <n v="118540.16"/>
    <s v="Pending"/>
    <x v="3"/>
    <x v="4"/>
    <x v="13"/>
    <x v="5"/>
    <n v="2.14"/>
    <n v="32543.79"/>
    <n v="8.5666064397847311E-2"/>
    <n v="0"/>
    <x v="0"/>
    <n v="11"/>
    <s v="November"/>
    <s v="2024-11"/>
  </r>
  <r>
    <s v="FZ00547"/>
    <n v="45389"/>
    <m/>
    <x v="3"/>
    <n v="750"/>
    <n v="1055.6099999999999"/>
    <n v="3.23"/>
    <n v="766135.35"/>
    <x v="1"/>
    <n v="731.78"/>
    <n v="548835"/>
    <n v="11474.45"/>
    <n v="2411.0300000000002"/>
    <n v="11821.04"/>
    <n v="574541.52"/>
    <n v="217300.35"/>
    <n v="191593.83"/>
    <s v="Paid"/>
    <n v="766135.35"/>
    <n v="0"/>
    <s v="Pending"/>
    <x v="0"/>
    <x v="1"/>
    <x v="29"/>
    <x v="0"/>
    <n v="7.0000000000000007E-2"/>
    <n v="191593.83"/>
    <n v="0.25007830535426934"/>
    <n v="0"/>
    <x v="0"/>
    <n v="4"/>
    <s v="April"/>
    <s v="2024-04"/>
  </r>
  <r>
    <s v="FZ00548"/>
    <n v="45356"/>
    <m/>
    <x v="1"/>
    <n v="250"/>
    <n v="1288.54"/>
    <n v="0.77"/>
    <n v="319654.56"/>
    <x v="2"/>
    <n v="1025.3699999999999"/>
    <n v="256342.5"/>
    <n v="5279.41"/>
    <n v="632.25"/>
    <n v="5261.33"/>
    <n v="267515.49"/>
    <n v="63312.06"/>
    <n v="52139.07"/>
    <s v="Paid"/>
    <n v="319654.56"/>
    <n v="0"/>
    <s v="Pending"/>
    <x v="1"/>
    <x v="0"/>
    <x v="4"/>
    <x v="1"/>
    <n v="1.91"/>
    <n v="52139.07"/>
    <n v="0.16311067172012186"/>
    <n v="0"/>
    <x v="0"/>
    <n v="3"/>
    <s v="March"/>
    <s v="2024-03"/>
  </r>
  <r>
    <s v="FZ00549"/>
    <n v="45344"/>
    <n v="45350"/>
    <x v="2"/>
    <n v="250"/>
    <n v="673.11"/>
    <n v="1.34"/>
    <n v="166022.57999999999"/>
    <x v="1"/>
    <n v="527.87"/>
    <n v="131967.5"/>
    <n v="3752.85"/>
    <n v="466.78"/>
    <n v="1640.98"/>
    <n v="137828.10999999999"/>
    <n v="34055.08"/>
    <n v="28194.47"/>
    <s v="Paid"/>
    <n v="166022.57999999999"/>
    <n v="0"/>
    <s v="Delivered"/>
    <x v="5"/>
    <x v="1"/>
    <x v="1"/>
    <x v="1"/>
    <n v="0.24"/>
    <n v="28194.47"/>
    <n v="0.16982310478490337"/>
    <n v="0"/>
    <x v="0"/>
    <n v="2"/>
    <s v="February"/>
    <s v="2024-02"/>
  </r>
  <r>
    <s v="FZ00550"/>
    <n v="45446"/>
    <n v="45448"/>
    <x v="0"/>
    <n v="750"/>
    <n v="874.39"/>
    <n v="1.25"/>
    <n v="647595.09"/>
    <x v="0"/>
    <n v="699.05"/>
    <n v="524287.5"/>
    <n v="4824.32"/>
    <n v="1552.01"/>
    <n v="2590.31"/>
    <n v="533254.14"/>
    <n v="123307.59"/>
    <n v="114340.95"/>
    <s v="Paid"/>
    <n v="647595.09"/>
    <n v="0"/>
    <s v="Delivered"/>
    <x v="5"/>
    <x v="1"/>
    <x v="36"/>
    <x v="3"/>
    <n v="2.0699999999999998"/>
    <n v="114340.95"/>
    <n v="0.17656241031722461"/>
    <n v="0"/>
    <x v="0"/>
    <n v="6"/>
    <s v="June"/>
    <s v="2024-06"/>
  </r>
  <r>
    <s v="FZ00551"/>
    <n v="45576"/>
    <n v="45585"/>
    <x v="1"/>
    <n v="300"/>
    <n v="1274.82"/>
    <n v="2.37"/>
    <n v="373382.03"/>
    <x v="2"/>
    <n v="987.32"/>
    <n v="296196"/>
    <n v="1985.21"/>
    <n v="1386.51"/>
    <n v="5231.7299999999996"/>
    <n v="304799.45"/>
    <n v="77186.03"/>
    <n v="68582.58"/>
    <s v="Paid"/>
    <n v="373382.03"/>
    <n v="0"/>
    <s v="Delivered"/>
    <x v="0"/>
    <x v="1"/>
    <x v="6"/>
    <x v="2"/>
    <n v="1.24"/>
    <n v="68582.58"/>
    <n v="0.1836793806065064"/>
    <n v="0"/>
    <x v="0"/>
    <n v="10"/>
    <s v="October"/>
    <s v="2024-10"/>
  </r>
  <r>
    <s v="FZ00552"/>
    <n v="45823"/>
    <n v="45835"/>
    <x v="0"/>
    <n v="200"/>
    <n v="820.32"/>
    <n v="2.14"/>
    <n v="160553.03"/>
    <x v="1"/>
    <n v="680.16"/>
    <n v="136032"/>
    <n v="2925.66"/>
    <n v="396.76"/>
    <n v="10609.76"/>
    <n v="149964.18"/>
    <n v="24521.03"/>
    <n v="10588.85"/>
    <s v="Paid"/>
    <n v="160553.03"/>
    <n v="0"/>
    <s v="Delivered"/>
    <x v="0"/>
    <x v="1"/>
    <x v="8"/>
    <x v="5"/>
    <n v="0.9"/>
    <n v="10588.85"/>
    <n v="6.5952352316240942E-2"/>
    <n v="0"/>
    <x v="1"/>
    <n v="6"/>
    <s v="June"/>
    <s v="2025-06"/>
  </r>
  <r>
    <s v="FZ00553"/>
    <n v="45443"/>
    <n v="45451"/>
    <x v="0"/>
    <n v="300"/>
    <n v="863.19"/>
    <n v="2.0299999999999998"/>
    <n v="253700.17"/>
    <x v="0"/>
    <n v="722.42"/>
    <n v="216726"/>
    <n v="4648.01"/>
    <n v="1561.25"/>
    <n v="2303.3200000000002"/>
    <n v="225238.58"/>
    <n v="36974.17"/>
    <n v="28461.59"/>
    <s v="Paid"/>
    <n v="253700.17"/>
    <n v="0"/>
    <s v="Delivered"/>
    <x v="2"/>
    <x v="2"/>
    <x v="17"/>
    <x v="3"/>
    <n v="1.85"/>
    <n v="28461.59"/>
    <n v="0.11218593192113352"/>
    <n v="0"/>
    <x v="0"/>
    <n v="5"/>
    <s v="May"/>
    <s v="2024-05"/>
  </r>
  <r>
    <s v="FZ00554"/>
    <n v="45833"/>
    <n v="45840"/>
    <x v="1"/>
    <n v="250"/>
    <n v="1306.96"/>
    <n v="2.1800000000000002"/>
    <n v="319617.07"/>
    <x v="2"/>
    <n v="1041.02"/>
    <n v="260255"/>
    <n v="1628.5"/>
    <n v="542.24"/>
    <n v="8799.09"/>
    <n v="271224.83"/>
    <n v="59362.07"/>
    <n v="48392.24"/>
    <s v="Paid"/>
    <n v="319617.07"/>
    <n v="0"/>
    <s v="Delivered"/>
    <x v="4"/>
    <x v="2"/>
    <x v="10"/>
    <x v="5"/>
    <n v="2.27"/>
    <n v="48392.24"/>
    <n v="0.15140693205153277"/>
    <n v="0"/>
    <x v="1"/>
    <n v="6"/>
    <s v="June"/>
    <s v="2025-06"/>
  </r>
  <r>
    <s v="FZ00555"/>
    <n v="45909"/>
    <m/>
    <x v="3"/>
    <n v="750"/>
    <n v="1051.01"/>
    <n v="0.14000000000000001"/>
    <n v="787153.94"/>
    <x v="2"/>
    <n v="726.1"/>
    <n v="544575"/>
    <n v="4226.84"/>
    <n v="2012.2"/>
    <n v="6236.79"/>
    <n v="557050.82999999996"/>
    <n v="242578.94"/>
    <n v="230103.11"/>
    <s v="Paid"/>
    <n v="787153.94"/>
    <n v="0"/>
    <s v="Pending"/>
    <x v="2"/>
    <x v="0"/>
    <x v="8"/>
    <x v="5"/>
    <n v="1.45"/>
    <n v="230103.11"/>
    <n v="0.29232288413623386"/>
    <n v="0"/>
    <x v="1"/>
    <n v="9"/>
    <s v="September"/>
    <s v="2025-09"/>
  </r>
  <r>
    <s v="FZ00556"/>
    <n v="45832"/>
    <m/>
    <x v="1"/>
    <n v="200"/>
    <n v="1233.73"/>
    <n v="1.99"/>
    <n v="241835.75"/>
    <x v="2"/>
    <n v="1104.46"/>
    <n v="220892"/>
    <n v="4029.64"/>
    <n v="378.43"/>
    <n v="3690.88"/>
    <n v="228990.95"/>
    <n v="20943.75"/>
    <n v="12844.8"/>
    <s v="Paid"/>
    <n v="241835.75"/>
    <n v="0"/>
    <s v="Pending"/>
    <x v="0"/>
    <x v="1"/>
    <x v="30"/>
    <x v="0"/>
    <n v="1.9"/>
    <n v="12844.8"/>
    <n v="5.3113735252128765E-2"/>
    <n v="0"/>
    <x v="1"/>
    <n v="6"/>
    <s v="June"/>
    <s v="2025-06"/>
  </r>
  <r>
    <s v="FZ00557"/>
    <n v="45692"/>
    <n v="45697"/>
    <x v="3"/>
    <n v="100"/>
    <n v="962.16"/>
    <n v="1.24"/>
    <n v="95022.92"/>
    <x v="0"/>
    <n v="789.7"/>
    <n v="78970"/>
    <n v="697.85"/>
    <n v="303.23"/>
    <n v="4825.84"/>
    <n v="84796.92"/>
    <n v="16052.92"/>
    <n v="10226"/>
    <s v="Paid"/>
    <n v="95022.92"/>
    <n v="0"/>
    <s v="Delivered"/>
    <x v="4"/>
    <x v="2"/>
    <x v="33"/>
    <x v="1"/>
    <n v="0.57999999999999996"/>
    <n v="10226"/>
    <n v="0.10761614145303049"/>
    <n v="0"/>
    <x v="1"/>
    <n v="2"/>
    <s v="February"/>
    <s v="2025-02"/>
  </r>
  <r>
    <s v="FZ00558"/>
    <n v="45308"/>
    <n v="45313"/>
    <x v="0"/>
    <n v="100"/>
    <n v="909.12"/>
    <n v="1.2"/>
    <n v="89821.06"/>
    <x v="0"/>
    <n v="694.81"/>
    <n v="69481"/>
    <n v="602.16999999999996"/>
    <n v="493.43"/>
    <n v="9033.4699999999993"/>
    <n v="79610.070000000007"/>
    <n v="20340.060000000001"/>
    <n v="10210.99"/>
    <s v="Paid"/>
    <n v="89821.06"/>
    <n v="0"/>
    <s v="Delivered"/>
    <x v="0"/>
    <x v="1"/>
    <x v="14"/>
    <x v="1"/>
    <n v="1.84"/>
    <n v="10210.99"/>
    <n v="0.113681468466304"/>
    <n v="0"/>
    <x v="0"/>
    <n v="1"/>
    <s v="January"/>
    <s v="2024-01"/>
  </r>
  <r>
    <s v="FZ00559"/>
    <n v="45919"/>
    <n v="45929"/>
    <x v="0"/>
    <n v="750"/>
    <n v="934.19"/>
    <n v="1.65"/>
    <n v="689081.9"/>
    <x v="1"/>
    <n v="727.47"/>
    <n v="545602.5"/>
    <n v="7291.13"/>
    <n v="4386.5"/>
    <n v="4911.63"/>
    <n v="562191.76"/>
    <n v="143479.4"/>
    <n v="126890.14"/>
    <s v="Paid"/>
    <n v="689081.9"/>
    <n v="0"/>
    <s v="Delivered"/>
    <x v="4"/>
    <x v="1"/>
    <x v="4"/>
    <x v="1"/>
    <n v="1.22"/>
    <n v="126890.14"/>
    <n v="0.18414377158941483"/>
    <n v="0"/>
    <x v="1"/>
    <n v="9"/>
    <s v="September"/>
    <s v="2025-09"/>
  </r>
  <r>
    <s v="FZ00560"/>
    <n v="45405"/>
    <n v="45409"/>
    <x v="0"/>
    <n v="100"/>
    <n v="861.51"/>
    <n v="0.25"/>
    <n v="85935.62"/>
    <x v="1"/>
    <n v="742.65"/>
    <n v="74265"/>
    <n v="933.9"/>
    <n v="355.99"/>
    <n v="1368.62"/>
    <n v="76923.509999999995"/>
    <n v="11670.62"/>
    <n v="9012.11"/>
    <s v="Part-paid"/>
    <n v="29605.4"/>
    <n v="56330.22"/>
    <s v="Collected"/>
    <x v="4"/>
    <x v="3"/>
    <x v="8"/>
    <x v="5"/>
    <n v="0.55000000000000004"/>
    <n v="9012.11"/>
    <n v="0.10487048327573596"/>
    <n v="0"/>
    <x v="0"/>
    <n v="4"/>
    <s v="April"/>
    <s v="2024-04"/>
  </r>
  <r>
    <s v="FZ00561"/>
    <n v="45297"/>
    <n v="45304"/>
    <x v="1"/>
    <n v="100"/>
    <n v="1207.7"/>
    <n v="2.31"/>
    <n v="117980.21"/>
    <x v="3"/>
    <n v="1058"/>
    <n v="105800"/>
    <n v="1071.55"/>
    <n v="568.66999999999996"/>
    <n v="10668.25"/>
    <n v="118108.47"/>
    <n v="12180.21"/>
    <n v="-128.26"/>
    <s v="Unpaid"/>
    <n v="0"/>
    <n v="117980.21"/>
    <s v="Delivered"/>
    <x v="4"/>
    <x v="3"/>
    <x v="19"/>
    <x v="4"/>
    <n v="0.71"/>
    <n v="-128.26"/>
    <n v="-1.0871314773893009E-3"/>
    <n v="0"/>
    <x v="0"/>
    <n v="1"/>
    <s v="January"/>
    <s v="2024-01"/>
  </r>
  <r>
    <s v="FZ00562"/>
    <n v="45462"/>
    <n v="45475"/>
    <x v="1"/>
    <n v="150"/>
    <n v="1297.27"/>
    <n v="1.44"/>
    <n v="191788.4"/>
    <x v="0"/>
    <n v="1011.71"/>
    <n v="151756.5"/>
    <n v="1811"/>
    <n v="290.82"/>
    <n v="9480.0300000000007"/>
    <n v="163338.35"/>
    <n v="40031.9"/>
    <n v="28450.05"/>
    <s v="Part-paid"/>
    <n v="94401.11"/>
    <n v="97387.29"/>
    <s v="Delivered"/>
    <x v="0"/>
    <x v="1"/>
    <x v="5"/>
    <x v="4"/>
    <n v="1.59"/>
    <n v="28450.05"/>
    <n v="0.14834082770386531"/>
    <n v="0"/>
    <x v="0"/>
    <n v="6"/>
    <s v="June"/>
    <s v="2024-06"/>
  </r>
  <r>
    <s v="FZ00563"/>
    <n v="45313"/>
    <m/>
    <x v="3"/>
    <n v="1000"/>
    <n v="993.45"/>
    <n v="2.82"/>
    <n v="965434.71"/>
    <x v="0"/>
    <n v="744.85"/>
    <n v="744850"/>
    <n v="8622.07"/>
    <n v="5864.61"/>
    <n v="8824.41"/>
    <n v="768161.09"/>
    <n v="220584.71"/>
    <n v="197273.62"/>
    <s v="Paid"/>
    <n v="965434.71"/>
    <n v="0"/>
    <s v="Pending"/>
    <x v="4"/>
    <x v="0"/>
    <x v="8"/>
    <x v="5"/>
    <n v="0.8"/>
    <n v="197273.62"/>
    <n v="0.20433657289989088"/>
    <n v="0"/>
    <x v="0"/>
    <n v="1"/>
    <s v="January"/>
    <s v="2024-01"/>
  </r>
  <r>
    <s v="FZ00564"/>
    <n v="45602"/>
    <m/>
    <x v="0"/>
    <n v="100"/>
    <n v="862.35"/>
    <n v="2.21"/>
    <n v="84329.21"/>
    <x v="2"/>
    <n v="725.3"/>
    <n v="72530"/>
    <n v="579.36"/>
    <n v="438.61"/>
    <n v="11543.81"/>
    <n v="85091.78"/>
    <n v="11799.21"/>
    <n v="-762.57"/>
    <s v="Paid"/>
    <n v="84329.21"/>
    <n v="0"/>
    <s v="Pending"/>
    <x v="1"/>
    <x v="1"/>
    <x v="3"/>
    <x v="3"/>
    <n v="1.87"/>
    <n v="-762.57"/>
    <n v="-9.0427741467043275E-3"/>
    <n v="0"/>
    <x v="0"/>
    <n v="11"/>
    <s v="November"/>
    <s v="2024-11"/>
  </r>
  <r>
    <s v="FZ00565"/>
    <n v="45587"/>
    <n v="45592"/>
    <x v="0"/>
    <n v="100"/>
    <n v="867.56"/>
    <n v="0.44"/>
    <n v="86374.27"/>
    <x v="0"/>
    <n v="691.43"/>
    <n v="69143"/>
    <n v="1095.32"/>
    <n v="256.08"/>
    <n v="6477.19"/>
    <n v="76971.59"/>
    <n v="17231.27"/>
    <n v="9402.68"/>
    <s v="Part-paid"/>
    <n v="35525.74"/>
    <n v="50848.53"/>
    <s v="Delivered"/>
    <x v="0"/>
    <x v="2"/>
    <x v="5"/>
    <x v="4"/>
    <n v="0.1"/>
    <n v="9402.68"/>
    <n v="0.10885973334420077"/>
    <n v="0"/>
    <x v="0"/>
    <n v="10"/>
    <s v="October"/>
    <s v="2024-10"/>
  </r>
  <r>
    <s v="FZ00566"/>
    <n v="45958"/>
    <n v="45968"/>
    <x v="3"/>
    <n v="300"/>
    <n v="1010.36"/>
    <n v="0.35"/>
    <n v="302047.12"/>
    <x v="2"/>
    <n v="738.71"/>
    <n v="221613"/>
    <n v="5978.91"/>
    <n v="1363.98"/>
    <n v="11916.2"/>
    <n v="240872.09"/>
    <n v="80434.12"/>
    <n v="61175.03"/>
    <s v="Paid"/>
    <n v="302047.12"/>
    <n v="0"/>
    <s v="Collected"/>
    <x v="4"/>
    <x v="1"/>
    <x v="15"/>
    <x v="3"/>
    <n v="2.27"/>
    <n v="61175.03"/>
    <n v="0.2025347237212525"/>
    <n v="0"/>
    <x v="1"/>
    <n v="10"/>
    <s v="October"/>
    <s v="2025-10"/>
  </r>
  <r>
    <s v="FZ00567"/>
    <n v="45291"/>
    <n v="45303"/>
    <x v="0"/>
    <n v="500"/>
    <n v="929.4"/>
    <n v="1.06"/>
    <n v="459774.18"/>
    <x v="1"/>
    <n v="727.91"/>
    <n v="363955"/>
    <n v="9321.0300000000007"/>
    <n v="1649.57"/>
    <n v="6578.09"/>
    <n v="381503.69"/>
    <n v="95819.18"/>
    <n v="78270.490000000005"/>
    <s v="Unpaid"/>
    <n v="0"/>
    <n v="459774.18"/>
    <s v="Delivered"/>
    <x v="2"/>
    <x v="2"/>
    <x v="5"/>
    <x v="4"/>
    <n v="1.32"/>
    <n v="78270.490000000005"/>
    <n v="0.17023681060123907"/>
    <n v="0"/>
    <x v="2"/>
    <n v="12"/>
    <s v="December"/>
    <s v="2023-12"/>
  </r>
  <r>
    <s v="FZ00568"/>
    <n v="45440"/>
    <n v="45445"/>
    <x v="0"/>
    <n v="500"/>
    <n v="807.84"/>
    <n v="3.37"/>
    <n v="390307.9"/>
    <x v="2"/>
    <n v="660.06"/>
    <n v="330030"/>
    <n v="10636.87"/>
    <n v="2713.83"/>
    <n v="10927.97"/>
    <n v="354308.67"/>
    <n v="60277.9"/>
    <n v="35999.230000000003"/>
    <s v="Paid"/>
    <n v="390307.9"/>
    <n v="0"/>
    <s v="Collected"/>
    <x v="0"/>
    <x v="3"/>
    <x v="8"/>
    <x v="5"/>
    <n v="0.86"/>
    <n v="35999.230000000003"/>
    <n v="9.2232901255649716E-2"/>
    <n v="0"/>
    <x v="0"/>
    <n v="5"/>
    <s v="May"/>
    <s v="2024-05"/>
  </r>
  <r>
    <s v="FZ00569"/>
    <n v="45626"/>
    <m/>
    <x v="2"/>
    <n v="200"/>
    <n v="812.56"/>
    <n v="0.03"/>
    <n v="162463.25"/>
    <x v="1"/>
    <n v="579.65"/>
    <n v="115930"/>
    <n v="2904.13"/>
    <n v="545.63"/>
    <n v="9620.15"/>
    <n v="128999.91"/>
    <n v="46533.25"/>
    <n v="33463.339999999997"/>
    <s v="Paid"/>
    <n v="162463.25"/>
    <n v="0"/>
    <s v="Pending"/>
    <x v="5"/>
    <x v="4"/>
    <x v="8"/>
    <x v="5"/>
    <n v="0.97"/>
    <n v="33463.339999999997"/>
    <n v="0.20597482815344392"/>
    <n v="0"/>
    <x v="0"/>
    <n v="11"/>
    <s v="November"/>
    <s v="2024-11"/>
  </r>
  <r>
    <s v="FZ00570"/>
    <n v="45680"/>
    <n v="45683"/>
    <x v="0"/>
    <n v="300"/>
    <n v="887.66"/>
    <n v="0.23"/>
    <n v="265685.51"/>
    <x v="1"/>
    <n v="736.26"/>
    <n v="220878"/>
    <n v="2979.85"/>
    <n v="1083.9000000000001"/>
    <n v="1602.01"/>
    <n v="226543.76"/>
    <n v="44807.51"/>
    <n v="39141.75"/>
    <s v="Paid"/>
    <n v="265685.51"/>
    <n v="0"/>
    <s v="Collected"/>
    <x v="3"/>
    <x v="4"/>
    <x v="25"/>
    <x v="3"/>
    <n v="0.83"/>
    <n v="39141.75"/>
    <n v="0.14732361580426423"/>
    <n v="0"/>
    <x v="1"/>
    <n v="1"/>
    <s v="January"/>
    <s v="2025-01"/>
  </r>
  <r>
    <s v="FZ00571"/>
    <n v="45591"/>
    <n v="45601"/>
    <x v="0"/>
    <n v="1000"/>
    <n v="849.98"/>
    <n v="3.58"/>
    <n v="819550.71999999997"/>
    <x v="1"/>
    <n v="695.23"/>
    <n v="695230"/>
    <n v="21106.81"/>
    <n v="1833.56"/>
    <n v="1741.33"/>
    <n v="719911.7"/>
    <n v="124320.72"/>
    <n v="99639.02"/>
    <s v="Unpaid"/>
    <n v="0"/>
    <n v="819550.71999999997"/>
    <s v="Delivered"/>
    <x v="3"/>
    <x v="1"/>
    <x v="11"/>
    <x v="5"/>
    <n v="2.37"/>
    <n v="99639.02"/>
    <n v="0.12157761267051295"/>
    <n v="0"/>
    <x v="0"/>
    <n v="10"/>
    <s v="October"/>
    <s v="2024-10"/>
  </r>
  <r>
    <s v="FZ00572"/>
    <n v="45334"/>
    <n v="45338"/>
    <x v="1"/>
    <n v="150"/>
    <n v="1194.1199999999999"/>
    <n v="0.28000000000000003"/>
    <n v="178616.47"/>
    <x v="0"/>
    <n v="1116.28"/>
    <n v="167442"/>
    <n v="1646.24"/>
    <n v="316.89999999999998"/>
    <n v="10095.530000000001"/>
    <n v="179500.67"/>
    <n v="11174.47"/>
    <n v="-884.2"/>
    <s v="Paid"/>
    <n v="178616.47"/>
    <n v="0"/>
    <s v="Collected"/>
    <x v="0"/>
    <x v="2"/>
    <x v="2"/>
    <x v="2"/>
    <n v="0.86"/>
    <n v="-884.2"/>
    <n v="-4.950271383148486E-3"/>
    <n v="0"/>
    <x v="0"/>
    <n v="2"/>
    <s v="February"/>
    <s v="2024-02"/>
  </r>
  <r>
    <s v="FZ00573"/>
    <n v="45981"/>
    <n v="45987"/>
    <x v="0"/>
    <n v="500"/>
    <n v="891.13"/>
    <n v="2.2200000000000002"/>
    <n v="435673.46"/>
    <x v="2"/>
    <n v="724.85"/>
    <n v="362425"/>
    <n v="10431.82"/>
    <n v="2305.36"/>
    <n v="11549.25"/>
    <n v="386711.43"/>
    <n v="73248.460000000006"/>
    <n v="48962.03"/>
    <s v="Paid"/>
    <n v="435673.46"/>
    <n v="0"/>
    <s v="Delivered"/>
    <x v="1"/>
    <x v="2"/>
    <x v="29"/>
    <x v="0"/>
    <n v="1.72"/>
    <n v="48962.03"/>
    <n v="0.11238240217799816"/>
    <n v="0"/>
    <x v="1"/>
    <n v="11"/>
    <s v="November"/>
    <s v="2025-11"/>
  </r>
  <r>
    <s v="FZ00574"/>
    <n v="45643"/>
    <n v="45657"/>
    <x v="3"/>
    <n v="100"/>
    <n v="1001.22"/>
    <n v="2.41"/>
    <n v="97709.06"/>
    <x v="3"/>
    <n v="730"/>
    <n v="73000"/>
    <n v="955.04"/>
    <n v="401.23"/>
    <n v="883.34"/>
    <n v="75239.61"/>
    <n v="24709.06"/>
    <n v="22469.45"/>
    <s v="Paid"/>
    <n v="97709.06"/>
    <n v="0"/>
    <s v="Delivered"/>
    <x v="1"/>
    <x v="1"/>
    <x v="5"/>
    <x v="4"/>
    <n v="2.3199999999999998"/>
    <n v="22469.45"/>
    <n v="0.22996280999940028"/>
    <n v="0"/>
    <x v="0"/>
    <n v="12"/>
    <s v="December"/>
    <s v="2024-12"/>
  </r>
  <r>
    <s v="FZ00575"/>
    <n v="45955"/>
    <n v="45955"/>
    <x v="1"/>
    <n v="150"/>
    <n v="1407.21"/>
    <n v="0.12"/>
    <n v="210828.2"/>
    <x v="1"/>
    <n v="1096.78"/>
    <n v="164517"/>
    <n v="2267.08"/>
    <n v="858.01"/>
    <n v="11266.94"/>
    <n v="178909.03"/>
    <n v="46311.199999999997"/>
    <n v="31919.17"/>
    <s v="Part-paid"/>
    <n v="94035.42"/>
    <n v="116792.78"/>
    <s v="Delivered"/>
    <x v="0"/>
    <x v="1"/>
    <x v="32"/>
    <x v="0"/>
    <n v="1.73"/>
    <n v="31919.17"/>
    <n v="0.15139895896279529"/>
    <n v="0"/>
    <x v="1"/>
    <n v="10"/>
    <s v="October"/>
    <s v="2025-10"/>
  </r>
  <r>
    <s v="FZ00576"/>
    <n v="45349"/>
    <n v="45356"/>
    <x v="0"/>
    <n v="500"/>
    <n v="930.82"/>
    <n v="2.34"/>
    <n v="454519.41"/>
    <x v="1"/>
    <n v="696.85"/>
    <n v="348425"/>
    <n v="5653.1"/>
    <n v="2110.0300000000002"/>
    <n v="4255.1400000000003"/>
    <n v="360443.27"/>
    <n v="106094.41"/>
    <n v="94076.14"/>
    <s v="Paid"/>
    <n v="454519.41"/>
    <n v="0"/>
    <s v="Collected"/>
    <x v="1"/>
    <x v="1"/>
    <x v="10"/>
    <x v="5"/>
    <n v="1.76"/>
    <n v="94076.14"/>
    <n v="0.20697936750379925"/>
    <n v="0"/>
    <x v="0"/>
    <n v="2"/>
    <s v="February"/>
    <s v="2024-02"/>
  </r>
  <r>
    <s v="FZ00577"/>
    <n v="45572"/>
    <n v="45585"/>
    <x v="2"/>
    <n v="200"/>
    <n v="785.01"/>
    <n v="1.47"/>
    <n v="154694.07"/>
    <x v="3"/>
    <n v="529.17999999999995"/>
    <n v="105836"/>
    <n v="1944.03"/>
    <n v="1071.03"/>
    <n v="6334.63"/>
    <n v="115185.69"/>
    <n v="48858.07"/>
    <n v="39508.379999999997"/>
    <s v="Paid"/>
    <n v="154694.07"/>
    <n v="0"/>
    <s v="Delivered"/>
    <x v="1"/>
    <x v="2"/>
    <x v="31"/>
    <x v="1"/>
    <n v="2.39"/>
    <n v="39508.379999999997"/>
    <n v="0.2553968616896562"/>
    <n v="0"/>
    <x v="0"/>
    <n v="10"/>
    <s v="October"/>
    <s v="2024-10"/>
  </r>
  <r>
    <s v="FZ00578"/>
    <n v="45821"/>
    <n v="45834"/>
    <x v="0"/>
    <n v="250"/>
    <n v="884.32"/>
    <n v="0.8"/>
    <n v="219311.35999999999"/>
    <x v="1"/>
    <n v="730.99"/>
    <n v="182747.5"/>
    <n v="4457.78"/>
    <n v="465.4"/>
    <n v="1038.1199999999999"/>
    <n v="188708.8"/>
    <n v="36563.86"/>
    <n v="30602.560000000001"/>
    <s v="Part-paid"/>
    <n v="165723.12"/>
    <n v="53588.24"/>
    <s v="Collected"/>
    <x v="3"/>
    <x v="2"/>
    <x v="22"/>
    <x v="5"/>
    <n v="0.99"/>
    <n v="30602.560000000001"/>
    <n v="0.1395393289248674"/>
    <n v="0"/>
    <x v="1"/>
    <n v="6"/>
    <s v="June"/>
    <s v="2025-06"/>
  </r>
  <r>
    <s v="FZ00579"/>
    <n v="45989"/>
    <n v="46000"/>
    <x v="1"/>
    <n v="500"/>
    <n v="1306.07"/>
    <n v="2.59"/>
    <n v="636121.39"/>
    <x v="0"/>
    <n v="1070.82"/>
    <n v="535410"/>
    <n v="4838.1000000000004"/>
    <n v="959.36"/>
    <n v="1609.71"/>
    <n v="542817.17000000004"/>
    <n v="100711.39"/>
    <n v="93304.22"/>
    <s v="Paid"/>
    <n v="636121.39"/>
    <n v="0"/>
    <s v="Delivered"/>
    <x v="3"/>
    <x v="1"/>
    <x v="13"/>
    <x v="5"/>
    <n v="1.48"/>
    <n v="93304.22"/>
    <n v="0.14667675300149866"/>
    <n v="0"/>
    <x v="1"/>
    <n v="11"/>
    <s v="November"/>
    <s v="2025-11"/>
  </r>
  <r>
    <s v="FZ00580"/>
    <n v="45703"/>
    <n v="45708"/>
    <x v="4"/>
    <n v="300"/>
    <n v="2847.33"/>
    <n v="1.46"/>
    <n v="841727.69"/>
    <x v="1"/>
    <n v="2253.02"/>
    <n v="675906"/>
    <n v="6223.47"/>
    <n v="930.99"/>
    <n v="1642.06"/>
    <n v="684702.52"/>
    <n v="165821.69"/>
    <n v="157025.17000000001"/>
    <s v="Part-paid"/>
    <n v="690874.5"/>
    <n v="150853.19"/>
    <s v="Collected"/>
    <x v="0"/>
    <x v="2"/>
    <x v="4"/>
    <x v="1"/>
    <n v="1.51"/>
    <n v="157025.17000000001"/>
    <n v="0.18655103291184352"/>
    <n v="0"/>
    <x v="1"/>
    <n v="2"/>
    <s v="February"/>
    <s v="2025-02"/>
  </r>
  <r>
    <s v="FZ00581"/>
    <n v="45839"/>
    <n v="45843"/>
    <x v="1"/>
    <n v="500"/>
    <n v="1291.8699999999999"/>
    <n v="0.61"/>
    <n v="641994.80000000005"/>
    <x v="2"/>
    <n v="1103.18"/>
    <n v="551590"/>
    <n v="5429.16"/>
    <n v="1723.34"/>
    <n v="11742.75"/>
    <n v="570485.25"/>
    <n v="90404.800000000003"/>
    <n v="71509.55"/>
    <s v="Part-paid"/>
    <n v="296753.93"/>
    <n v="345240.87"/>
    <s v="Collected"/>
    <x v="0"/>
    <x v="0"/>
    <x v="22"/>
    <x v="5"/>
    <n v="1.35"/>
    <n v="71509.55"/>
    <n v="0.11138649409621386"/>
    <n v="0"/>
    <x v="1"/>
    <n v="7"/>
    <s v="July"/>
    <s v="2025-07"/>
  </r>
  <r>
    <s v="FZ00582"/>
    <n v="45662"/>
    <n v="45662"/>
    <x v="3"/>
    <n v="1000"/>
    <n v="994.65"/>
    <n v="0.49"/>
    <n v="989776.22"/>
    <x v="2"/>
    <n v="793.84"/>
    <n v="793840"/>
    <n v="19444.66"/>
    <n v="5730.6"/>
    <n v="11340.76"/>
    <n v="830356.02"/>
    <n v="195936.22"/>
    <n v="159420.20000000001"/>
    <s v="Part-paid"/>
    <n v="619968.48"/>
    <n v="369807.74"/>
    <s v="Collected"/>
    <x v="1"/>
    <x v="2"/>
    <x v="35"/>
    <x v="4"/>
    <n v="1.55"/>
    <n v="159420.20000000001"/>
    <n v="0.16106691268052492"/>
    <n v="0"/>
    <x v="1"/>
    <n v="1"/>
    <s v="January"/>
    <s v="2025-01"/>
  </r>
  <r>
    <s v="FZ00583"/>
    <n v="45477"/>
    <n v="45479"/>
    <x v="1"/>
    <n v="300"/>
    <n v="1174.29"/>
    <n v="2.16"/>
    <n v="344677.6"/>
    <x v="2"/>
    <n v="1108.67"/>
    <n v="332601"/>
    <n v="3222.86"/>
    <n v="1753.96"/>
    <n v="1858.95"/>
    <n v="339436.77"/>
    <n v="12076.6"/>
    <n v="5240.83"/>
    <s v="Paid"/>
    <n v="344677.6"/>
    <n v="0"/>
    <s v="Collected"/>
    <x v="3"/>
    <x v="2"/>
    <x v="33"/>
    <x v="1"/>
    <n v="1.89"/>
    <n v="5240.83"/>
    <n v="1.5205020575749628E-2"/>
    <n v="0"/>
    <x v="0"/>
    <n v="7"/>
    <s v="July"/>
    <s v="2024-07"/>
  </r>
  <r>
    <s v="FZ00584"/>
    <n v="45438"/>
    <n v="45440"/>
    <x v="0"/>
    <n v="750"/>
    <n v="884.69"/>
    <n v="0.04"/>
    <n v="663252.09"/>
    <x v="1"/>
    <n v="662.37"/>
    <n v="496777.5"/>
    <n v="16802.150000000001"/>
    <n v="1830.73"/>
    <n v="2164.75"/>
    <n v="517575.13"/>
    <n v="166474.59"/>
    <n v="145676.96"/>
    <s v="Part-paid"/>
    <n v="214968.73"/>
    <n v="448283.36"/>
    <s v="Delivered"/>
    <x v="2"/>
    <x v="4"/>
    <x v="13"/>
    <x v="5"/>
    <n v="1.07"/>
    <n v="145676.96"/>
    <n v="0.21964040852098934"/>
    <n v="0"/>
    <x v="0"/>
    <n v="5"/>
    <s v="May"/>
    <s v="2024-05"/>
  </r>
  <r>
    <s v="FZ00585"/>
    <n v="45651"/>
    <n v="45653"/>
    <x v="0"/>
    <n v="100"/>
    <n v="890.43"/>
    <n v="1.9"/>
    <n v="87351.18"/>
    <x v="2"/>
    <n v="668.62"/>
    <n v="66862"/>
    <n v="1614.77"/>
    <n v="368.51"/>
    <n v="4570.7"/>
    <n v="73415.98"/>
    <n v="20489.18"/>
    <n v="13935.2"/>
    <s v="Paid"/>
    <n v="87351.18"/>
    <n v="0"/>
    <s v="Delivered"/>
    <x v="0"/>
    <x v="3"/>
    <x v="6"/>
    <x v="2"/>
    <n v="1.04"/>
    <n v="13935.2"/>
    <n v="0.15953075848546067"/>
    <n v="0"/>
    <x v="0"/>
    <n v="12"/>
    <s v="December"/>
    <s v="2024-12"/>
  </r>
  <r>
    <s v="FZ00586"/>
    <n v="45931"/>
    <n v="45939"/>
    <x v="2"/>
    <n v="150"/>
    <n v="760.13"/>
    <n v="1.05"/>
    <n v="112822.3"/>
    <x v="2"/>
    <n v="572.86"/>
    <n v="85929"/>
    <n v="1221.31"/>
    <n v="420.66"/>
    <n v="9297.4699999999993"/>
    <n v="96868.44"/>
    <n v="26893.3"/>
    <n v="15953.86"/>
    <s v="Paid"/>
    <n v="112822.3"/>
    <n v="0"/>
    <s v="Collected"/>
    <x v="0"/>
    <x v="1"/>
    <x v="12"/>
    <x v="2"/>
    <n v="0.66"/>
    <n v="15953.86"/>
    <n v="0.14140697362134969"/>
    <n v="0"/>
    <x v="1"/>
    <n v="10"/>
    <s v="October"/>
    <s v="2025-10"/>
  </r>
  <r>
    <s v="FZ00587"/>
    <n v="45311"/>
    <n v="45325"/>
    <x v="3"/>
    <n v="150"/>
    <n v="900.44"/>
    <n v="0.42"/>
    <n v="134498.72"/>
    <x v="1"/>
    <n v="738.19"/>
    <n v="110728.5"/>
    <n v="1748.55"/>
    <n v="846.22"/>
    <n v="7485.65"/>
    <n v="120808.92"/>
    <n v="23770.22"/>
    <n v="13689.8"/>
    <s v="Paid"/>
    <n v="134498.72"/>
    <n v="0"/>
    <s v="Delivered"/>
    <x v="5"/>
    <x v="1"/>
    <x v="36"/>
    <x v="3"/>
    <n v="1.4"/>
    <n v="13689.8"/>
    <n v="0.10178386827770554"/>
    <n v="0"/>
    <x v="0"/>
    <n v="1"/>
    <s v="January"/>
    <s v="2024-01"/>
  </r>
  <r>
    <s v="FZ00588"/>
    <n v="45323"/>
    <n v="45337"/>
    <x v="2"/>
    <n v="250"/>
    <n v="751.49"/>
    <n v="1.05"/>
    <n v="185899.84"/>
    <x v="2"/>
    <n v="580.53"/>
    <n v="145132.5"/>
    <n v="4992.62"/>
    <n v="436.95"/>
    <n v="6649.14"/>
    <n v="157211.21"/>
    <n v="40767.339999999997"/>
    <n v="28688.63"/>
    <s v="Paid"/>
    <n v="185899.84"/>
    <n v="0"/>
    <s v="Delivered"/>
    <x v="3"/>
    <x v="4"/>
    <x v="12"/>
    <x v="2"/>
    <n v="1.86"/>
    <n v="28688.63"/>
    <n v="0.15432304836841174"/>
    <n v="0"/>
    <x v="0"/>
    <n v="2"/>
    <s v="February"/>
    <s v="2024-02"/>
  </r>
  <r>
    <s v="FZ00589"/>
    <n v="45706"/>
    <n v="45707"/>
    <x v="1"/>
    <n v="100"/>
    <n v="1276.74"/>
    <n v="1.36"/>
    <n v="125937.63"/>
    <x v="2"/>
    <n v="1085.6600000000001"/>
    <n v="108566"/>
    <n v="942.95"/>
    <n v="265.85000000000002"/>
    <n v="9898.94"/>
    <n v="119673.74"/>
    <n v="17371.63"/>
    <n v="6263.89"/>
    <s v="Paid"/>
    <n v="125937.63"/>
    <n v="0"/>
    <s v="Delivered"/>
    <x v="4"/>
    <x v="0"/>
    <x v="33"/>
    <x v="1"/>
    <n v="0.91"/>
    <n v="6263.89"/>
    <n v="4.9738033024759952E-2"/>
    <n v="0"/>
    <x v="1"/>
    <n v="2"/>
    <s v="February"/>
    <s v="2025-02"/>
  </r>
  <r>
    <s v="FZ00590"/>
    <n v="45388"/>
    <n v="45393"/>
    <x v="0"/>
    <n v="100"/>
    <n v="868.37"/>
    <n v="1.99"/>
    <n v="85108.94"/>
    <x v="1"/>
    <n v="726.76"/>
    <n v="72676"/>
    <n v="1995.5"/>
    <n v="172.61"/>
    <n v="10934.21"/>
    <n v="85778.32"/>
    <n v="12432.94"/>
    <n v="-669.38"/>
    <s v="Part-paid"/>
    <n v="21416.67"/>
    <n v="63692.27"/>
    <s v="Collected"/>
    <x v="2"/>
    <x v="1"/>
    <x v="36"/>
    <x v="3"/>
    <n v="2.42"/>
    <n v="-669.38"/>
    <n v="-7.8649786967150571E-3"/>
    <n v="0"/>
    <x v="0"/>
    <n v="4"/>
    <s v="April"/>
    <s v="2024-04"/>
  </r>
  <r>
    <s v="FZ00591"/>
    <n v="45439"/>
    <n v="45440"/>
    <x v="1"/>
    <n v="300"/>
    <n v="1273.8"/>
    <n v="1.22"/>
    <n v="377477.89"/>
    <x v="2"/>
    <n v="1090.83"/>
    <n v="327249"/>
    <n v="6297.89"/>
    <n v="458.76"/>
    <n v="5098.9399999999996"/>
    <n v="339104.59"/>
    <n v="50228.89"/>
    <n v="38373.300000000003"/>
    <s v="Part-paid"/>
    <n v="299401.71000000002"/>
    <n v="78076.179999999993"/>
    <s v="Delivered"/>
    <x v="0"/>
    <x v="4"/>
    <x v="33"/>
    <x v="1"/>
    <n v="1.57"/>
    <n v="38373.300000000003"/>
    <n v="0.10165707983585476"/>
    <n v="0"/>
    <x v="0"/>
    <n v="5"/>
    <s v="May"/>
    <s v="2024-05"/>
  </r>
  <r>
    <s v="FZ00592"/>
    <n v="45853"/>
    <n v="45857"/>
    <x v="1"/>
    <n v="100"/>
    <n v="1170.82"/>
    <n v="0.61"/>
    <n v="116367.8"/>
    <x v="1"/>
    <n v="1049.42"/>
    <n v="104942"/>
    <n v="1111.19"/>
    <n v="215.94"/>
    <n v="8538.1299999999992"/>
    <n v="114807.26"/>
    <n v="11425.8"/>
    <n v="1560.54"/>
    <s v="Paid"/>
    <n v="116367.8"/>
    <n v="0"/>
    <s v="Delivered"/>
    <x v="0"/>
    <x v="4"/>
    <x v="11"/>
    <x v="5"/>
    <n v="0.05"/>
    <n v="1560.54"/>
    <n v="1.3410410783739144E-2"/>
    <n v="0"/>
    <x v="1"/>
    <n v="7"/>
    <s v="July"/>
    <s v="2025-07"/>
  </r>
  <r>
    <s v="FZ00593"/>
    <n v="45626"/>
    <n v="45632"/>
    <x v="0"/>
    <n v="250"/>
    <n v="901.87"/>
    <n v="0.82"/>
    <n v="223618.67"/>
    <x v="1"/>
    <n v="737.3"/>
    <n v="184325"/>
    <n v="3722.59"/>
    <n v="727.73"/>
    <n v="5440.74"/>
    <n v="194216.06"/>
    <n v="39293.67"/>
    <n v="29402.61"/>
    <s v="Paid"/>
    <n v="223618.67"/>
    <n v="0"/>
    <s v="Collected"/>
    <x v="1"/>
    <x v="1"/>
    <x v="14"/>
    <x v="1"/>
    <n v="0.95"/>
    <n v="29402.61"/>
    <n v="0.13148548821974479"/>
    <n v="0"/>
    <x v="0"/>
    <n v="11"/>
    <s v="November"/>
    <s v="2024-11"/>
  </r>
  <r>
    <s v="FZ00594"/>
    <n v="45966"/>
    <n v="45976"/>
    <x v="1"/>
    <n v="200"/>
    <n v="1430.5"/>
    <n v="1.1000000000000001"/>
    <n v="282952.90000000002"/>
    <x v="1"/>
    <n v="1112.3"/>
    <n v="222460"/>
    <n v="4303.8599999999997"/>
    <n v="579.36"/>
    <n v="8429.9500000000007"/>
    <n v="235773.17"/>
    <n v="60492.9"/>
    <n v="47179.73"/>
    <s v="Part-paid"/>
    <n v="71536.44"/>
    <n v="211416.46"/>
    <s v="Delivered"/>
    <x v="0"/>
    <x v="0"/>
    <x v="5"/>
    <x v="4"/>
    <n v="0.27"/>
    <n v="47179.73"/>
    <n v="0.16674057767211434"/>
    <n v="0"/>
    <x v="1"/>
    <n v="11"/>
    <s v="November"/>
    <s v="2025-11"/>
  </r>
  <r>
    <s v="FZ00595"/>
    <n v="45523"/>
    <n v="45528"/>
    <x v="3"/>
    <n v="250"/>
    <n v="946.44"/>
    <n v="1.07"/>
    <n v="234078.27"/>
    <x v="1"/>
    <n v="733.97"/>
    <n v="183492.5"/>
    <n v="3124.19"/>
    <n v="506.5"/>
    <n v="4232.99"/>
    <n v="191356.18"/>
    <n v="50585.77"/>
    <n v="42722.09"/>
    <s v="Part-paid"/>
    <n v="93562.83"/>
    <n v="140515.44"/>
    <s v="Collected"/>
    <x v="0"/>
    <x v="1"/>
    <x v="19"/>
    <x v="4"/>
    <n v="1.46"/>
    <n v="42722.09"/>
    <n v="0.18251198626852461"/>
    <n v="0"/>
    <x v="0"/>
    <n v="8"/>
    <s v="August"/>
    <s v="2024-08"/>
  </r>
  <r>
    <s v="FZ00596"/>
    <n v="45993"/>
    <m/>
    <x v="1"/>
    <n v="100"/>
    <n v="1446.78"/>
    <n v="0.52"/>
    <n v="143925.67000000001"/>
    <x v="1"/>
    <n v="1016.95"/>
    <n v="101695"/>
    <n v="1228.5899999999999"/>
    <n v="372.24"/>
    <n v="2679.67"/>
    <n v="105975.5"/>
    <n v="42230.67"/>
    <n v="37950.17"/>
    <s v="Paid"/>
    <n v="143925.67000000001"/>
    <n v="0"/>
    <s v="Pending"/>
    <x v="3"/>
    <x v="3"/>
    <x v="17"/>
    <x v="3"/>
    <n v="0.8"/>
    <n v="37950.17"/>
    <n v="0.26367895317075818"/>
    <n v="0"/>
    <x v="1"/>
    <n v="12"/>
    <s v="December"/>
    <s v="2025-12"/>
  </r>
  <r>
    <s v="FZ00597"/>
    <n v="45452"/>
    <n v="45456"/>
    <x v="0"/>
    <n v="500"/>
    <n v="870.83"/>
    <n v="0.19"/>
    <n v="434587.71"/>
    <x v="2"/>
    <n v="678.51"/>
    <n v="339255"/>
    <n v="10652.41"/>
    <n v="2859.44"/>
    <n v="4730.0200000000004"/>
    <n v="357496.87"/>
    <n v="95332.71"/>
    <n v="77090.84"/>
    <s v="Paid"/>
    <n v="434587.71"/>
    <n v="0"/>
    <s v="Collected"/>
    <x v="0"/>
    <x v="1"/>
    <x v="26"/>
    <x v="4"/>
    <n v="1.82"/>
    <n v="77090.84"/>
    <n v="0.17738844938804182"/>
    <n v="0"/>
    <x v="0"/>
    <n v="6"/>
    <s v="June"/>
    <s v="2024-06"/>
  </r>
  <r>
    <s v="FZ00598"/>
    <n v="45916"/>
    <n v="45923"/>
    <x v="0"/>
    <n v="100"/>
    <n v="896.37"/>
    <n v="1.25"/>
    <n v="88516.54"/>
    <x v="1"/>
    <n v="712.87"/>
    <n v="71287"/>
    <n v="1769.28"/>
    <n v="157.38"/>
    <n v="10090.209999999999"/>
    <n v="83303.87"/>
    <n v="17229.54"/>
    <n v="5212.67"/>
    <s v="Paid"/>
    <n v="88516.54"/>
    <n v="0"/>
    <s v="Collected"/>
    <x v="0"/>
    <x v="4"/>
    <x v="0"/>
    <x v="0"/>
    <n v="2.1800000000000002"/>
    <n v="5212.67"/>
    <n v="5.8889220025997405E-2"/>
    <n v="0"/>
    <x v="1"/>
    <n v="9"/>
    <s v="September"/>
    <s v="2025-09"/>
  </r>
  <r>
    <s v="FZ00599"/>
    <n v="45477"/>
    <n v="45484"/>
    <x v="3"/>
    <n v="300"/>
    <n v="904.03"/>
    <n v="0.4"/>
    <n v="270124.15999999997"/>
    <x v="2"/>
    <n v="788.36"/>
    <n v="236508"/>
    <n v="3940.17"/>
    <n v="1556.71"/>
    <n v="11786.29"/>
    <n v="253791.17"/>
    <n v="33616.160000000003"/>
    <n v="16332.99"/>
    <s v="Paid"/>
    <n v="270124.15999999997"/>
    <n v="0"/>
    <s v="Delivered"/>
    <x v="1"/>
    <x v="3"/>
    <x v="8"/>
    <x v="5"/>
    <n v="0.23"/>
    <n v="16332.99"/>
    <n v="6.046475072796155E-2"/>
    <n v="0"/>
    <x v="0"/>
    <n v="7"/>
    <s v="July"/>
    <s v="2024-07"/>
  </r>
  <r>
    <s v="FZ00600"/>
    <n v="45659"/>
    <n v="45668"/>
    <x v="0"/>
    <n v="50"/>
    <n v="910.42"/>
    <n v="0.22"/>
    <n v="45420.85"/>
    <x v="1"/>
    <n v="705.6"/>
    <n v="35280"/>
    <n v="1067.01"/>
    <n v="183.4"/>
    <n v="10319.09"/>
    <n v="46849.5"/>
    <n v="10140.85"/>
    <n v="-1428.65"/>
    <s v="Paid"/>
    <n v="45420.85"/>
    <n v="0"/>
    <s v="Delivered"/>
    <x v="4"/>
    <x v="3"/>
    <x v="6"/>
    <x v="2"/>
    <n v="1.5"/>
    <n v="-1428.65"/>
    <n v="-3.1453616565960352E-2"/>
    <n v="0"/>
    <x v="1"/>
    <n v="1"/>
    <s v="January"/>
    <s v="2025-01"/>
  </r>
  <r>
    <s v="FZ00601"/>
    <n v="45770"/>
    <m/>
    <x v="3"/>
    <n v="150"/>
    <n v="937.16"/>
    <n v="0.51"/>
    <n v="139857.07"/>
    <x v="1"/>
    <n v="762.47"/>
    <n v="114370.5"/>
    <n v="3085.31"/>
    <n v="561.36"/>
    <n v="10117.219999999999"/>
    <n v="128134.39"/>
    <n v="25486.57"/>
    <n v="11722.68"/>
    <s v="Paid"/>
    <n v="139857.07"/>
    <n v="0"/>
    <s v="Pending"/>
    <x v="2"/>
    <x v="0"/>
    <x v="10"/>
    <x v="5"/>
    <n v="1"/>
    <n v="11722.68"/>
    <n v="8.3819001785179675E-2"/>
    <n v="0"/>
    <x v="1"/>
    <n v="4"/>
    <s v="April"/>
    <s v="2025-04"/>
  </r>
  <r>
    <s v="FZ00602"/>
    <n v="45506"/>
    <n v="45515"/>
    <x v="3"/>
    <n v="150"/>
    <n v="1029.55"/>
    <n v="1.8"/>
    <n v="151652.72"/>
    <x v="1"/>
    <n v="776.25"/>
    <n v="116437.5"/>
    <n v="1822.48"/>
    <n v="544.54999999999995"/>
    <n v="10553.86"/>
    <n v="129358.39"/>
    <n v="35215.22"/>
    <n v="22294.33"/>
    <s v="Paid"/>
    <n v="151652.72"/>
    <n v="0"/>
    <s v="Delivered"/>
    <x v="2"/>
    <x v="0"/>
    <x v="9"/>
    <x v="1"/>
    <n v="0.2"/>
    <n v="22294.33"/>
    <n v="0.14700910079291687"/>
    <n v="0"/>
    <x v="0"/>
    <n v="8"/>
    <s v="August"/>
    <s v="2024-08"/>
  </r>
  <r>
    <s v="FZ00603"/>
    <n v="45554"/>
    <m/>
    <x v="1"/>
    <n v="300"/>
    <n v="1344.27"/>
    <n v="0.72"/>
    <n v="400377.38"/>
    <x v="2"/>
    <n v="1029.4100000000001"/>
    <n v="308823"/>
    <n v="5572.63"/>
    <n v="857.97"/>
    <n v="2374.34"/>
    <n v="317627.94"/>
    <n v="91554.38"/>
    <n v="82749.440000000002"/>
    <s v="Paid"/>
    <n v="400377.38"/>
    <n v="0"/>
    <s v="Pending"/>
    <x v="1"/>
    <x v="3"/>
    <x v="10"/>
    <x v="5"/>
    <n v="1.53"/>
    <n v="82749.440000000002"/>
    <n v="0.20667860906627641"/>
    <n v="0"/>
    <x v="0"/>
    <n v="9"/>
    <s v="September"/>
    <s v="2024-09"/>
  </r>
  <r>
    <s v="FZ00604"/>
    <n v="45450"/>
    <m/>
    <x v="0"/>
    <n v="100"/>
    <n v="817.22"/>
    <n v="1.23"/>
    <n v="80716.820000000007"/>
    <x v="2"/>
    <n v="661.39"/>
    <n v="66139"/>
    <n v="557.35"/>
    <n v="382.82"/>
    <n v="9327.3700000000008"/>
    <n v="76406.539999999994"/>
    <n v="14577.82"/>
    <n v="4310.28"/>
    <s v="Paid"/>
    <n v="80716.820000000007"/>
    <n v="0"/>
    <s v="Pending"/>
    <x v="1"/>
    <x v="1"/>
    <x v="18"/>
    <x v="3"/>
    <n v="0.43"/>
    <n v="4310.28"/>
    <n v="5.3400022448852662E-2"/>
    <n v="0"/>
    <x v="0"/>
    <n v="6"/>
    <s v="June"/>
    <s v="2024-06"/>
  </r>
  <r>
    <s v="FZ00605"/>
    <n v="45960"/>
    <m/>
    <x v="2"/>
    <n v="150"/>
    <n v="745.13"/>
    <n v="0.7"/>
    <n v="110987.11"/>
    <x v="1"/>
    <n v="591.69000000000005"/>
    <n v="88753.5"/>
    <n v="2991.81"/>
    <n v="505.29"/>
    <n v="872.94"/>
    <n v="93123.54"/>
    <n v="22233.61"/>
    <n v="17863.57"/>
    <s v="Part-paid"/>
    <n v="44937.46"/>
    <n v="66049.649999999994"/>
    <s v="Pending"/>
    <x v="0"/>
    <x v="1"/>
    <x v="13"/>
    <x v="5"/>
    <n v="0.27"/>
    <n v="17863.57"/>
    <n v="0.16095175376672119"/>
    <n v="0"/>
    <x v="1"/>
    <n v="10"/>
    <s v="October"/>
    <s v="2025-10"/>
  </r>
  <r>
    <s v="FZ00606"/>
    <n v="45869"/>
    <n v="45872"/>
    <x v="3"/>
    <n v="100"/>
    <n v="974.95"/>
    <n v="1.54"/>
    <n v="95993.58"/>
    <x v="2"/>
    <n v="752.3"/>
    <n v="75230"/>
    <n v="2024.29"/>
    <n v="219.11"/>
    <n v="7316.05"/>
    <n v="84789.45"/>
    <n v="20763.580000000002"/>
    <n v="11204.13"/>
    <s v="Paid"/>
    <n v="95993.58"/>
    <n v="0"/>
    <s v="Collected"/>
    <x v="0"/>
    <x v="1"/>
    <x v="10"/>
    <x v="5"/>
    <n v="1.04"/>
    <n v="11204.13"/>
    <n v="0.11671749298234319"/>
    <n v="0"/>
    <x v="1"/>
    <n v="7"/>
    <s v="July"/>
    <s v="2025-07"/>
  </r>
  <r>
    <s v="FZ00607"/>
    <n v="45551"/>
    <n v="45555"/>
    <x v="1"/>
    <n v="500"/>
    <n v="1360.03"/>
    <n v="0.93"/>
    <n v="673690.86"/>
    <x v="0"/>
    <n v="1000.42"/>
    <n v="500210"/>
    <n v="5434.24"/>
    <n v="1541.83"/>
    <n v="4324.8599999999997"/>
    <n v="511510.93"/>
    <n v="173480.86"/>
    <n v="162179.93"/>
    <s v="Paid"/>
    <n v="673690.86"/>
    <n v="0"/>
    <s v="Collected"/>
    <x v="2"/>
    <x v="0"/>
    <x v="34"/>
    <x v="4"/>
    <n v="2.04"/>
    <n v="162179.93"/>
    <n v="0.24073345747929548"/>
    <n v="0"/>
    <x v="0"/>
    <n v="9"/>
    <s v="September"/>
    <s v="2024-09"/>
  </r>
  <r>
    <s v="FZ00608"/>
    <n v="45804"/>
    <m/>
    <x v="1"/>
    <n v="100"/>
    <n v="1204.3399999999999"/>
    <n v="0.93"/>
    <n v="119313.96"/>
    <x v="3"/>
    <n v="985.96"/>
    <n v="98596"/>
    <n v="1001.78"/>
    <n v="272.19"/>
    <n v="1645.4"/>
    <n v="101515.37"/>
    <n v="20717.96"/>
    <n v="17798.59"/>
    <s v="Paid"/>
    <n v="119313.96"/>
    <n v="0"/>
    <s v="Pending"/>
    <x v="1"/>
    <x v="2"/>
    <x v="7"/>
    <x v="5"/>
    <n v="2.2000000000000002"/>
    <n v="17798.59"/>
    <n v="0.14917441345505589"/>
    <n v="0"/>
    <x v="1"/>
    <n v="5"/>
    <s v="May"/>
    <s v="2025-05"/>
  </r>
  <r>
    <s v="FZ00609"/>
    <n v="45386"/>
    <n v="45394"/>
    <x v="0"/>
    <n v="500"/>
    <n v="932.53"/>
    <n v="0.89"/>
    <n v="462115.24"/>
    <x v="2"/>
    <n v="657.06"/>
    <n v="328530"/>
    <n v="10352.02"/>
    <n v="1308.48"/>
    <n v="8384.77"/>
    <n v="348575.27"/>
    <n v="133585.24"/>
    <n v="113539.97"/>
    <s v="Paid"/>
    <n v="462115.24"/>
    <n v="0"/>
    <s v="Delivered"/>
    <x v="0"/>
    <x v="1"/>
    <x v="11"/>
    <x v="5"/>
    <n v="0.98"/>
    <n v="113539.97"/>
    <n v="0.24569622503685445"/>
    <n v="0"/>
    <x v="0"/>
    <n v="4"/>
    <s v="April"/>
    <s v="2024-04"/>
  </r>
  <r>
    <s v="FZ00610"/>
    <n v="45508"/>
    <n v="45508"/>
    <x v="0"/>
    <n v="100"/>
    <n v="879.5"/>
    <n v="1.49"/>
    <n v="86639.54"/>
    <x v="1"/>
    <n v="681.18"/>
    <n v="68118"/>
    <n v="1386.29"/>
    <n v="388.21"/>
    <n v="3616.29"/>
    <n v="73508.789999999994"/>
    <n v="18521.54"/>
    <n v="13130.75"/>
    <s v="Part-paid"/>
    <n v="39965.480000000003"/>
    <n v="46674.06"/>
    <s v="Collected"/>
    <x v="0"/>
    <x v="1"/>
    <x v="26"/>
    <x v="4"/>
    <n v="1.56"/>
    <n v="13130.75"/>
    <n v="0.15155609090260638"/>
    <n v="0"/>
    <x v="0"/>
    <n v="8"/>
    <s v="August"/>
    <s v="2024-08"/>
  </r>
  <r>
    <s v="FZ00611"/>
    <n v="45856"/>
    <n v="45865"/>
    <x v="3"/>
    <n v="300"/>
    <n v="944.77"/>
    <n v="1.91"/>
    <n v="278017.46999999997"/>
    <x v="1"/>
    <n v="727.55"/>
    <n v="218265"/>
    <n v="5101.63"/>
    <n v="640.24"/>
    <n v="199.92"/>
    <n v="224206.79"/>
    <n v="59752.47"/>
    <n v="53810.68"/>
    <s v="Part-paid"/>
    <n v="168194.13"/>
    <n v="109823.34"/>
    <s v="Delivered"/>
    <x v="3"/>
    <x v="3"/>
    <x v="35"/>
    <x v="4"/>
    <n v="2.4900000000000002"/>
    <n v="53810.68"/>
    <n v="0.19355143401599909"/>
    <n v="0"/>
    <x v="1"/>
    <n v="7"/>
    <s v="July"/>
    <s v="2025-07"/>
  </r>
  <r>
    <s v="FZ00612"/>
    <n v="46003"/>
    <m/>
    <x v="4"/>
    <n v="1000"/>
    <n v="2876.99"/>
    <n v="2.97"/>
    <n v="2791543.4"/>
    <x v="0"/>
    <n v="2287.58"/>
    <n v="2287580"/>
    <n v="23814.01"/>
    <n v="2835.84"/>
    <n v="11442.35"/>
    <n v="2325672.2000000002"/>
    <n v="503963.4"/>
    <n v="465871.2"/>
    <s v="Paid"/>
    <n v="2791543.4"/>
    <n v="0"/>
    <s v="Pending"/>
    <x v="0"/>
    <x v="1"/>
    <x v="13"/>
    <x v="5"/>
    <n v="0.3"/>
    <n v="465871.2"/>
    <n v="0.16688660473629033"/>
    <n v="0"/>
    <x v="1"/>
    <n v="12"/>
    <s v="December"/>
    <s v="2025-12"/>
  </r>
  <r>
    <s v="FZ00613"/>
    <n v="45897"/>
    <n v="45901"/>
    <x v="1"/>
    <n v="500"/>
    <n v="1213.3699999999999"/>
    <n v="3.13"/>
    <n v="587695.76"/>
    <x v="1"/>
    <n v="1019.38"/>
    <n v="509690"/>
    <n v="11645.91"/>
    <n v="1515.5"/>
    <n v="4990.0600000000004"/>
    <n v="527841.47"/>
    <n v="78005.759999999995"/>
    <n v="59854.29"/>
    <s v="Paid"/>
    <n v="587695.76"/>
    <n v="0"/>
    <s v="Delivered"/>
    <x v="5"/>
    <x v="0"/>
    <x v="23"/>
    <x v="4"/>
    <n v="0.43"/>
    <n v="59854.29"/>
    <n v="0.10184570669694809"/>
    <n v="0"/>
    <x v="1"/>
    <n v="8"/>
    <s v="August"/>
    <s v="2025-08"/>
  </r>
  <r>
    <s v="FZ00614"/>
    <n v="45806"/>
    <n v="45810"/>
    <x v="2"/>
    <n v="100"/>
    <n v="691.94"/>
    <n v="1.44"/>
    <n v="68197.61"/>
    <x v="2"/>
    <n v="540.49"/>
    <n v="54049"/>
    <n v="1971.45"/>
    <n v="263.11"/>
    <n v="9354.4599999999991"/>
    <n v="65638.02"/>
    <n v="14148.61"/>
    <n v="2559.59"/>
    <s v="Paid"/>
    <n v="68197.61"/>
    <n v="0"/>
    <s v="Delivered"/>
    <x v="1"/>
    <x v="1"/>
    <x v="9"/>
    <x v="1"/>
    <n v="0.08"/>
    <n v="2559.59"/>
    <n v="3.7531960430871404E-2"/>
    <n v="0"/>
    <x v="1"/>
    <n v="5"/>
    <s v="May"/>
    <s v="2025-05"/>
  </r>
  <r>
    <s v="FZ00615"/>
    <n v="45405"/>
    <n v="45406"/>
    <x v="1"/>
    <n v="500"/>
    <n v="1261.3499999999999"/>
    <n v="3.53"/>
    <n v="608412.17000000004"/>
    <x v="1"/>
    <n v="1005.74"/>
    <n v="502870"/>
    <n v="6530.35"/>
    <n v="2436.6"/>
    <n v="8612.08"/>
    <n v="520449.03"/>
    <n v="105542.17"/>
    <n v="87963.14"/>
    <s v="Paid"/>
    <n v="608412.17000000004"/>
    <n v="0"/>
    <s v="Delivered"/>
    <x v="0"/>
    <x v="1"/>
    <x v="7"/>
    <x v="5"/>
    <n v="0.47"/>
    <n v="87963.14"/>
    <n v="0.14457820592247519"/>
    <n v="0"/>
    <x v="0"/>
    <n v="4"/>
    <s v="April"/>
    <s v="2024-04"/>
  </r>
  <r>
    <s v="FZ00616"/>
    <n v="45388"/>
    <n v="45401"/>
    <x v="0"/>
    <n v="500"/>
    <n v="880.7"/>
    <n v="1.86"/>
    <n v="432159.49"/>
    <x v="2"/>
    <n v="683.13"/>
    <n v="341565"/>
    <n v="8694.4699999999993"/>
    <n v="841.09"/>
    <n v="9195.08"/>
    <n v="360295.64"/>
    <n v="90594.49"/>
    <n v="71863.850000000006"/>
    <s v="Paid"/>
    <n v="432159.49"/>
    <n v="0"/>
    <s v="Delivered"/>
    <x v="1"/>
    <x v="1"/>
    <x v="6"/>
    <x v="2"/>
    <n v="0.17"/>
    <n v="71863.850000000006"/>
    <n v="0.16629011201396968"/>
    <n v="0"/>
    <x v="0"/>
    <n v="4"/>
    <s v="April"/>
    <s v="2024-04"/>
  </r>
  <r>
    <s v="FZ00617"/>
    <n v="45571"/>
    <n v="45580"/>
    <x v="0"/>
    <n v="300"/>
    <n v="849.95"/>
    <n v="1.88"/>
    <n v="250191.28"/>
    <x v="1"/>
    <n v="736.46"/>
    <n v="220938"/>
    <n v="4638.91"/>
    <n v="1187.92"/>
    <n v="7168.96"/>
    <n v="233933.79"/>
    <n v="29253.279999999999"/>
    <n v="16257.49"/>
    <s v="Paid"/>
    <n v="250191.28"/>
    <n v="0"/>
    <s v="Delivered"/>
    <x v="0"/>
    <x v="4"/>
    <x v="20"/>
    <x v="2"/>
    <n v="2.21"/>
    <n v="16257.49"/>
    <n v="6.4980242316998421E-2"/>
    <n v="0"/>
    <x v="0"/>
    <n v="10"/>
    <s v="October"/>
    <s v="2024-10"/>
  </r>
  <r>
    <s v="FZ00618"/>
    <n v="45419"/>
    <n v="45419"/>
    <x v="0"/>
    <n v="250"/>
    <n v="823.88"/>
    <n v="2.14"/>
    <n v="201562.23999999999"/>
    <x v="0"/>
    <n v="679.61"/>
    <n v="169902.5"/>
    <n v="4937.01"/>
    <n v="707.18"/>
    <n v="9930.74"/>
    <n v="185477.43"/>
    <n v="31659.74"/>
    <n v="16084.81"/>
    <s v="Paid"/>
    <n v="201562.23999999999"/>
    <n v="0"/>
    <s v="Collected"/>
    <x v="1"/>
    <x v="0"/>
    <x v="8"/>
    <x v="5"/>
    <n v="0.63"/>
    <n v="16084.81"/>
    <n v="7.9800710688668675E-2"/>
    <n v="0"/>
    <x v="0"/>
    <n v="5"/>
    <s v="May"/>
    <s v="2024-05"/>
  </r>
  <r>
    <s v="FZ00619"/>
    <n v="45543"/>
    <n v="45546"/>
    <x v="0"/>
    <n v="250"/>
    <n v="929.69"/>
    <n v="2.04"/>
    <n v="227681.08"/>
    <x v="1"/>
    <n v="679.9"/>
    <n v="169975"/>
    <n v="5139.84"/>
    <n v="1136.25"/>
    <n v="7945.99"/>
    <n v="184197.08"/>
    <n v="57706.080000000002"/>
    <n v="43484"/>
    <s v="Paid"/>
    <n v="227681.08"/>
    <n v="0"/>
    <s v="Delivered"/>
    <x v="0"/>
    <x v="2"/>
    <x v="10"/>
    <x v="5"/>
    <n v="1.39"/>
    <n v="43484"/>
    <n v="0.19098644472347023"/>
    <n v="0"/>
    <x v="0"/>
    <n v="9"/>
    <s v="September"/>
    <s v="2024-09"/>
  </r>
  <r>
    <s v="FZ00620"/>
    <n v="45659"/>
    <n v="45660"/>
    <x v="0"/>
    <n v="250"/>
    <n v="912.98"/>
    <n v="1.53"/>
    <n v="224752.85"/>
    <x v="1"/>
    <n v="682.19"/>
    <n v="170547.5"/>
    <n v="3985.3"/>
    <n v="1216.68"/>
    <n v="6248.24"/>
    <n v="181997.72"/>
    <n v="54205.35"/>
    <n v="42755.13"/>
    <s v="Unpaid"/>
    <n v="0"/>
    <n v="224752.85"/>
    <s v="Delivered"/>
    <x v="5"/>
    <x v="2"/>
    <x v="15"/>
    <x v="3"/>
    <n v="0.06"/>
    <n v="42755.13"/>
    <n v="0.19023175901885114"/>
    <n v="0"/>
    <x v="1"/>
    <n v="1"/>
    <s v="January"/>
    <s v="2025-01"/>
  </r>
  <r>
    <s v="FZ00621"/>
    <n v="45424"/>
    <n v="45427"/>
    <x v="1"/>
    <n v="300"/>
    <n v="1310.9"/>
    <n v="0.66"/>
    <n v="390674.42"/>
    <x v="2"/>
    <n v="994.19"/>
    <n v="298257"/>
    <n v="4104.33"/>
    <n v="786.33"/>
    <n v="11847.55"/>
    <n v="314995.21000000002"/>
    <n v="92417.42"/>
    <n v="75679.210000000006"/>
    <s v="Unpaid"/>
    <n v="0"/>
    <n v="390674.42"/>
    <s v="Collected"/>
    <x v="4"/>
    <x v="1"/>
    <x v="22"/>
    <x v="5"/>
    <n v="2.4500000000000002"/>
    <n v="75679.210000000006"/>
    <n v="0.19371426980041337"/>
    <n v="0"/>
    <x v="0"/>
    <n v="5"/>
    <s v="May"/>
    <s v="2024-05"/>
  </r>
  <r>
    <s v="FZ00622"/>
    <n v="45861"/>
    <n v="45863"/>
    <x v="0"/>
    <n v="100"/>
    <n v="864.69"/>
    <n v="1.98"/>
    <n v="84756.91"/>
    <x v="1"/>
    <n v="747.96"/>
    <n v="74796"/>
    <n v="1962.72"/>
    <n v="443.46"/>
    <n v="1065.27"/>
    <n v="78267.45"/>
    <n v="9960.91"/>
    <n v="6489.46"/>
    <s v="Paid"/>
    <n v="84756.91"/>
    <n v="0"/>
    <s v="Collected"/>
    <x v="0"/>
    <x v="3"/>
    <x v="30"/>
    <x v="0"/>
    <n v="1.99"/>
    <n v="6489.46"/>
    <n v="7.6565556719800185E-2"/>
    <n v="0"/>
    <x v="1"/>
    <n v="7"/>
    <s v="July"/>
    <s v="2025-07"/>
  </r>
  <r>
    <s v="FZ00623"/>
    <n v="45986"/>
    <n v="45992"/>
    <x v="1"/>
    <n v="150"/>
    <n v="1440.22"/>
    <n v="0.36"/>
    <n v="215255.28"/>
    <x v="1"/>
    <n v="1062.6199999999999"/>
    <n v="159393"/>
    <n v="2443.15"/>
    <n v="646.92999999999995"/>
    <n v="316.70999999999998"/>
    <n v="162799.79"/>
    <n v="55862.28"/>
    <n v="52455.49"/>
    <s v="Part-paid"/>
    <n v="74727.17"/>
    <n v="140528.10999999999"/>
    <s v="Delivered"/>
    <x v="0"/>
    <x v="0"/>
    <x v="35"/>
    <x v="4"/>
    <n v="1.01"/>
    <n v="52455.49"/>
    <n v="0.24368967859928917"/>
    <n v="0"/>
    <x v="1"/>
    <n v="11"/>
    <s v="November"/>
    <s v="2025-11"/>
  </r>
  <r>
    <s v="FZ00624"/>
    <n v="45572"/>
    <n v="45582"/>
    <x v="1"/>
    <n v="500"/>
    <n v="1319.16"/>
    <n v="1.1599999999999999"/>
    <n v="651928.87"/>
    <x v="1"/>
    <n v="1089.45"/>
    <n v="544725"/>
    <n v="9178.01"/>
    <n v="2850.69"/>
    <n v="978.14"/>
    <n v="557731.83999999997"/>
    <n v="107203.87"/>
    <n v="94197.03"/>
    <s v="Unpaid"/>
    <n v="0"/>
    <n v="651928.87"/>
    <s v="Collected"/>
    <x v="3"/>
    <x v="0"/>
    <x v="6"/>
    <x v="2"/>
    <n v="2.37"/>
    <n v="94197.03"/>
    <n v="0.14448973551363051"/>
    <n v="0"/>
    <x v="0"/>
    <n v="10"/>
    <s v="October"/>
    <s v="2024-10"/>
  </r>
  <r>
    <s v="FZ00625"/>
    <n v="45446"/>
    <m/>
    <x v="3"/>
    <n v="200"/>
    <n v="895.7"/>
    <n v="1.22"/>
    <n v="176954.49"/>
    <x v="2"/>
    <n v="735.27"/>
    <n v="147054"/>
    <n v="4242.0600000000004"/>
    <n v="685.51"/>
    <n v="1803.48"/>
    <n v="153785.04999999999"/>
    <n v="29900.49"/>
    <n v="23169.439999999999"/>
    <s v="Paid"/>
    <n v="176954.49"/>
    <n v="0"/>
    <s v="Pending"/>
    <x v="0"/>
    <x v="1"/>
    <x v="26"/>
    <x v="4"/>
    <n v="1.04"/>
    <n v="23169.439999999999"/>
    <n v="0.13093445665040768"/>
    <n v="0"/>
    <x v="0"/>
    <n v="6"/>
    <s v="June"/>
    <s v="2024-06"/>
  </r>
  <r>
    <s v="FZ00626"/>
    <n v="45710"/>
    <m/>
    <x v="0"/>
    <n v="150"/>
    <n v="849.16"/>
    <n v="2.06"/>
    <n v="124750.1"/>
    <x v="2"/>
    <n v="725.61"/>
    <n v="108841.5"/>
    <n v="1704.59"/>
    <n v="552.74"/>
    <n v="4212.09"/>
    <n v="115310.92"/>
    <n v="15908.6"/>
    <n v="9439.18"/>
    <s v="Unpaid"/>
    <n v="0"/>
    <n v="124750.1"/>
    <s v="Pending"/>
    <x v="0"/>
    <x v="1"/>
    <x v="16"/>
    <x v="1"/>
    <n v="0.81"/>
    <n v="9439.18"/>
    <n v="7.5664708886004906E-2"/>
    <n v="0"/>
    <x v="1"/>
    <n v="2"/>
    <s v="February"/>
    <s v="2025-02"/>
  </r>
  <r>
    <s v="FZ00627"/>
    <n v="45522"/>
    <n v="45527"/>
    <x v="0"/>
    <n v="100"/>
    <n v="915.66"/>
    <n v="2.2799999999999998"/>
    <n v="89478.3"/>
    <x v="3"/>
    <n v="712.34"/>
    <n v="71234"/>
    <n v="613.17999999999995"/>
    <n v="346.97"/>
    <n v="2859.57"/>
    <n v="75053.72"/>
    <n v="18244.3"/>
    <n v="14424.58"/>
    <s v="Paid"/>
    <n v="89478.3"/>
    <n v="0"/>
    <s v="Collected"/>
    <x v="0"/>
    <x v="2"/>
    <x v="16"/>
    <x v="1"/>
    <n v="1.05"/>
    <n v="14424.58"/>
    <n v="0.1612075777031973"/>
    <n v="0"/>
    <x v="0"/>
    <n v="8"/>
    <s v="August"/>
    <s v="2024-08"/>
  </r>
  <r>
    <s v="FZ00628"/>
    <n v="45973"/>
    <n v="45987"/>
    <x v="3"/>
    <n v="100"/>
    <n v="1021.65"/>
    <n v="2.34"/>
    <n v="99774.34"/>
    <x v="0"/>
    <n v="807.19"/>
    <n v="80719"/>
    <n v="1047.19"/>
    <n v="488.95"/>
    <n v="7001.27"/>
    <n v="89256.41"/>
    <n v="19055.34"/>
    <n v="10517.93"/>
    <s v="Paid"/>
    <n v="99774.34"/>
    <n v="0"/>
    <s v="Delivered"/>
    <x v="0"/>
    <x v="4"/>
    <x v="20"/>
    <x v="2"/>
    <n v="1.97"/>
    <n v="10517.93"/>
    <n v="0.10541718441835847"/>
    <n v="0"/>
    <x v="1"/>
    <n v="11"/>
    <s v="November"/>
    <s v="2025-11"/>
  </r>
  <r>
    <s v="FZ00629"/>
    <n v="45574"/>
    <n v="45577"/>
    <x v="1"/>
    <n v="1000"/>
    <n v="1397.03"/>
    <n v="4.74"/>
    <n v="1330810.78"/>
    <x v="0"/>
    <n v="1034.29"/>
    <n v="1034290"/>
    <n v="9363.2800000000007"/>
    <n v="3170.36"/>
    <n v="7166.85"/>
    <n v="1053990.49"/>
    <n v="296520.78000000003"/>
    <n v="276820.28999999998"/>
    <s v="Part-paid"/>
    <n v="592670.11"/>
    <n v="738140.67"/>
    <s v="Delivered"/>
    <x v="2"/>
    <x v="1"/>
    <x v="31"/>
    <x v="1"/>
    <n v="2.4700000000000002"/>
    <n v="276820.28999999998"/>
    <n v="0.20800875237875663"/>
    <n v="0"/>
    <x v="0"/>
    <n v="10"/>
    <s v="October"/>
    <s v="2024-10"/>
  </r>
  <r>
    <s v="FZ00630"/>
    <n v="45470"/>
    <n v="45477"/>
    <x v="0"/>
    <n v="150"/>
    <n v="859.18"/>
    <n v="1.1200000000000001"/>
    <n v="127433.58"/>
    <x v="2"/>
    <n v="745.01"/>
    <n v="111751.5"/>
    <n v="1861.35"/>
    <n v="607.61"/>
    <n v="2675.15"/>
    <n v="116895.61"/>
    <n v="15682.08"/>
    <n v="10537.97"/>
    <s v="Part-paid"/>
    <n v="63644.639999999999"/>
    <n v="63788.94"/>
    <s v="Collected"/>
    <x v="2"/>
    <x v="0"/>
    <x v="11"/>
    <x v="5"/>
    <n v="2.4300000000000002"/>
    <n v="10537.97"/>
    <n v="8.2693823715852599E-2"/>
    <n v="0"/>
    <x v="0"/>
    <n v="6"/>
    <s v="June"/>
    <s v="2024-06"/>
  </r>
  <r>
    <s v="FZ00631"/>
    <n v="45584"/>
    <m/>
    <x v="3"/>
    <n v="200"/>
    <n v="1086.8699999999999"/>
    <n v="2"/>
    <n v="213026.52"/>
    <x v="2"/>
    <n v="735.1"/>
    <n v="147020"/>
    <n v="4235.57"/>
    <n v="586.02"/>
    <n v="136.30000000000001"/>
    <n v="151977.89000000001"/>
    <n v="66006.52"/>
    <n v="61048.63"/>
    <s v="Paid"/>
    <n v="213026.52"/>
    <n v="0"/>
    <s v="Pending"/>
    <x v="0"/>
    <x v="3"/>
    <x v="19"/>
    <x v="4"/>
    <n v="0.93"/>
    <n v="61048.63"/>
    <n v="0.28657760545494526"/>
    <n v="0"/>
    <x v="0"/>
    <n v="10"/>
    <s v="October"/>
    <s v="2024-10"/>
  </r>
  <r>
    <s v="FZ00632"/>
    <n v="45947"/>
    <n v="45949"/>
    <x v="1"/>
    <n v="100"/>
    <n v="1274.49"/>
    <n v="1.98"/>
    <n v="124925.51"/>
    <x v="1"/>
    <n v="996.03"/>
    <n v="99603"/>
    <n v="1676.49"/>
    <n v="553.16"/>
    <n v="1743.75"/>
    <n v="103576.4"/>
    <n v="25322.51"/>
    <n v="21349.11"/>
    <s v="Paid"/>
    <n v="124925.51"/>
    <n v="0"/>
    <s v="Collected"/>
    <x v="1"/>
    <x v="0"/>
    <x v="3"/>
    <x v="3"/>
    <n v="1.57"/>
    <n v="21349.11"/>
    <n v="0.1708947195812929"/>
    <n v="0"/>
    <x v="1"/>
    <n v="10"/>
    <s v="October"/>
    <s v="2025-10"/>
  </r>
  <r>
    <s v="FZ00633"/>
    <n v="45806"/>
    <n v="45819"/>
    <x v="1"/>
    <n v="50"/>
    <n v="1317.25"/>
    <n v="2.0699999999999998"/>
    <n v="64499.15"/>
    <x v="1"/>
    <n v="1009.03"/>
    <n v="50451.5"/>
    <n v="376.74"/>
    <n v="272.99"/>
    <n v="8393.5"/>
    <n v="59494.73"/>
    <n v="14047.65"/>
    <n v="5004.42"/>
    <s v="Unpaid"/>
    <n v="0"/>
    <n v="64499.15"/>
    <s v="Delivered"/>
    <x v="1"/>
    <x v="1"/>
    <x v="27"/>
    <x v="2"/>
    <n v="1.3"/>
    <n v="5004.42"/>
    <n v="7.7588929466512344E-2"/>
    <n v="0"/>
    <x v="1"/>
    <n v="5"/>
    <s v="May"/>
    <s v="2025-05"/>
  </r>
  <r>
    <s v="FZ00634"/>
    <n v="46006"/>
    <n v="46007"/>
    <x v="0"/>
    <n v="250"/>
    <n v="938.17"/>
    <n v="1.76"/>
    <n v="230414.55"/>
    <x v="0"/>
    <n v="694.97"/>
    <n v="173742.5"/>
    <n v="5278.28"/>
    <n v="1431.19"/>
    <n v="11892.3"/>
    <n v="192344.27"/>
    <n v="56672.05"/>
    <n v="38070.28"/>
    <s v="Paid"/>
    <n v="230414.55"/>
    <n v="0"/>
    <s v="Delivered"/>
    <x v="0"/>
    <x v="2"/>
    <x v="19"/>
    <x v="4"/>
    <n v="0.73"/>
    <n v="38070.28"/>
    <n v="0.16522515613705818"/>
    <n v="0"/>
    <x v="1"/>
    <n v="12"/>
    <s v="December"/>
    <s v="2025-12"/>
  </r>
  <r>
    <s v="FZ00635"/>
    <n v="45400"/>
    <n v="45411"/>
    <x v="0"/>
    <n v="200"/>
    <n v="836.2"/>
    <n v="2.4300000000000002"/>
    <n v="163176.07"/>
    <x v="0"/>
    <n v="693.97"/>
    <n v="138794"/>
    <n v="3939.38"/>
    <n v="591.24"/>
    <n v="11585.62"/>
    <n v="154910.24"/>
    <n v="24382.07"/>
    <n v="8265.83"/>
    <s v="Paid"/>
    <n v="163176.07"/>
    <n v="0"/>
    <s v="Collected"/>
    <x v="1"/>
    <x v="2"/>
    <x v="16"/>
    <x v="1"/>
    <n v="1.69"/>
    <n v="8265.83"/>
    <n v="5.0655895806290714E-2"/>
    <n v="0"/>
    <x v="0"/>
    <n v="4"/>
    <s v="April"/>
    <s v="2024-04"/>
  </r>
  <r>
    <s v="FZ00636"/>
    <n v="45982"/>
    <n v="45986"/>
    <x v="0"/>
    <n v="500"/>
    <n v="942.52"/>
    <n v="4.83"/>
    <n v="448498.14"/>
    <x v="1"/>
    <n v="751.76"/>
    <n v="375880"/>
    <n v="6603.82"/>
    <n v="1745.27"/>
    <n v="1799.26"/>
    <n v="386028.35"/>
    <n v="72618.14"/>
    <n v="62469.79"/>
    <s v="Unpaid"/>
    <n v="0"/>
    <n v="448498.14"/>
    <s v="Collected"/>
    <x v="3"/>
    <x v="1"/>
    <x v="8"/>
    <x v="5"/>
    <n v="0.72"/>
    <n v="62469.79"/>
    <n v="0.13928662000694139"/>
    <n v="0"/>
    <x v="1"/>
    <n v="11"/>
    <s v="November"/>
    <s v="2025-11"/>
  </r>
  <r>
    <s v="FZ00637"/>
    <n v="45773"/>
    <n v="45785"/>
    <x v="1"/>
    <n v="300"/>
    <n v="1375.24"/>
    <n v="0.28999999999999998"/>
    <n v="411375.54"/>
    <x v="0"/>
    <n v="1101.6099999999999"/>
    <n v="330483"/>
    <n v="3299.26"/>
    <n v="461.04"/>
    <n v="10684.21"/>
    <n v="344927.51"/>
    <n v="80892.539999999994"/>
    <n v="66448.03"/>
    <s v="Unpaid"/>
    <n v="0"/>
    <n v="411375.54"/>
    <s v="Delivered"/>
    <x v="3"/>
    <x v="0"/>
    <x v="2"/>
    <x v="2"/>
    <n v="1.36"/>
    <n v="66448.03"/>
    <n v="0.16152644855841453"/>
    <n v="0"/>
    <x v="1"/>
    <n v="4"/>
    <s v="April"/>
    <s v="2025-04"/>
  </r>
  <r>
    <s v="FZ00638"/>
    <n v="45937"/>
    <n v="45940"/>
    <x v="0"/>
    <n v="1000"/>
    <n v="871.54"/>
    <n v="3.84"/>
    <n v="838072.86"/>
    <x v="0"/>
    <n v="724.09"/>
    <n v="724090"/>
    <n v="18929.009999999998"/>
    <n v="3054.64"/>
    <n v="8859.23"/>
    <n v="754932.88"/>
    <n v="113982.86"/>
    <n v="83139.98"/>
    <s v="Paid"/>
    <n v="838072.86"/>
    <n v="0"/>
    <s v="Delivered"/>
    <x v="4"/>
    <x v="4"/>
    <x v="8"/>
    <x v="5"/>
    <n v="1.1100000000000001"/>
    <n v="83139.98"/>
    <n v="9.920376135315967E-2"/>
    <n v="0"/>
    <x v="1"/>
    <n v="10"/>
    <s v="October"/>
    <s v="2025-10"/>
  </r>
  <r>
    <s v="FZ00639"/>
    <n v="45395"/>
    <n v="45408"/>
    <x v="0"/>
    <n v="50"/>
    <n v="870.97"/>
    <n v="0.45"/>
    <n v="43352.53"/>
    <x v="2"/>
    <n v="741.33"/>
    <n v="37066.5"/>
    <n v="864.3"/>
    <n v="231.94"/>
    <n v="9446.7999999999993"/>
    <n v="47609.54"/>
    <n v="6286.03"/>
    <n v="-4257.01"/>
    <s v="Paid"/>
    <n v="43352.53"/>
    <n v="0"/>
    <s v="Collected"/>
    <x v="0"/>
    <x v="2"/>
    <x v="8"/>
    <x v="5"/>
    <n v="0.44"/>
    <n v="-4257.01"/>
    <n v="-9.8195191837708209E-2"/>
    <n v="0"/>
    <x v="0"/>
    <n v="4"/>
    <s v="April"/>
    <s v="2024-04"/>
  </r>
  <r>
    <s v="FZ00640"/>
    <n v="45661"/>
    <n v="45674"/>
    <x v="0"/>
    <n v="150"/>
    <n v="822.45"/>
    <n v="0.56000000000000005"/>
    <n v="122676.64"/>
    <x v="0"/>
    <n v="671.78"/>
    <n v="100767"/>
    <n v="1655.23"/>
    <n v="802.51"/>
    <n v="9466.2000000000007"/>
    <n v="112690.94"/>
    <n v="21909.64"/>
    <n v="9985.7000000000007"/>
    <s v="Paid"/>
    <n v="122676.64"/>
    <n v="0"/>
    <s v="Delivered"/>
    <x v="3"/>
    <x v="2"/>
    <x v="30"/>
    <x v="0"/>
    <n v="0.84"/>
    <n v="9985.7000000000007"/>
    <n v="8.139854498786403E-2"/>
    <n v="0"/>
    <x v="1"/>
    <n v="1"/>
    <s v="January"/>
    <s v="2025-01"/>
  </r>
  <r>
    <s v="FZ00641"/>
    <n v="45591"/>
    <n v="45595"/>
    <x v="0"/>
    <n v="750"/>
    <n v="901.37"/>
    <n v="4.55"/>
    <n v="645268.25"/>
    <x v="1"/>
    <n v="669.23"/>
    <n v="501922.5"/>
    <n v="16346.04"/>
    <n v="1875.2"/>
    <n v="2096.89"/>
    <n v="522240.63"/>
    <n v="143345.75"/>
    <n v="123027.62"/>
    <s v="Part-paid"/>
    <n v="370323.75"/>
    <n v="274944.5"/>
    <s v="Delivered"/>
    <x v="0"/>
    <x v="3"/>
    <x v="21"/>
    <x v="0"/>
    <n v="2.23"/>
    <n v="123027.62"/>
    <n v="0.19066120175601386"/>
    <n v="0"/>
    <x v="0"/>
    <n v="10"/>
    <s v="October"/>
    <s v="2024-10"/>
  </r>
  <r>
    <s v="FZ00642"/>
    <n v="45454"/>
    <n v="45455"/>
    <x v="0"/>
    <n v="100"/>
    <n v="845.5"/>
    <n v="1"/>
    <n v="83704.5"/>
    <x v="2"/>
    <n v="682.3"/>
    <n v="68230"/>
    <n v="1384.47"/>
    <n v="368.28"/>
    <n v="7847.06"/>
    <n v="77829.81"/>
    <n v="15474.5"/>
    <n v="5874.69"/>
    <s v="Paid"/>
    <n v="83704.5"/>
    <n v="0"/>
    <s v="Delivered"/>
    <x v="3"/>
    <x v="1"/>
    <x v="18"/>
    <x v="3"/>
    <n v="2.46"/>
    <n v="5874.69"/>
    <n v="7.018368188090246E-2"/>
    <n v="0"/>
    <x v="0"/>
    <n v="6"/>
    <s v="June"/>
    <s v="2024-06"/>
  </r>
  <r>
    <s v="FZ00643"/>
    <n v="45954"/>
    <n v="45967"/>
    <x v="3"/>
    <n v="250"/>
    <n v="986.27"/>
    <n v="0.89"/>
    <n v="244373.05"/>
    <x v="2"/>
    <n v="719.66"/>
    <n v="179915"/>
    <n v="2779.59"/>
    <n v="1128.25"/>
    <n v="2580.5"/>
    <n v="186403.34"/>
    <n v="64458.05"/>
    <n v="57969.71"/>
    <s v="Paid"/>
    <n v="244373.05"/>
    <n v="0"/>
    <s v="Collected"/>
    <x v="5"/>
    <x v="2"/>
    <x v="18"/>
    <x v="3"/>
    <n v="1.92"/>
    <n v="57969.71"/>
    <n v="0.23721809749479331"/>
    <n v="0"/>
    <x v="1"/>
    <n v="10"/>
    <s v="October"/>
    <s v="2025-10"/>
  </r>
  <r>
    <s v="FZ00644"/>
    <n v="45993"/>
    <m/>
    <x v="2"/>
    <n v="500"/>
    <n v="792.27"/>
    <n v="4.8099999999999996"/>
    <n v="377080.91"/>
    <x v="1"/>
    <n v="586.08000000000004"/>
    <n v="293040"/>
    <n v="11110.99"/>
    <n v="2970.93"/>
    <n v="4580.6899999999996"/>
    <n v="311702.61"/>
    <n v="84040.91"/>
    <n v="65378.3"/>
    <s v="Part-paid"/>
    <n v="246793.55"/>
    <n v="130287.36"/>
    <s v="Pending"/>
    <x v="1"/>
    <x v="1"/>
    <x v="8"/>
    <x v="5"/>
    <n v="0.06"/>
    <n v="65378.3"/>
    <n v="0.17338003135719601"/>
    <n v="0"/>
    <x v="1"/>
    <n v="12"/>
    <s v="December"/>
    <s v="2025-12"/>
  </r>
  <r>
    <s v="FZ00645"/>
    <n v="45296"/>
    <n v="45310"/>
    <x v="0"/>
    <n v="250"/>
    <n v="886.19"/>
    <n v="1.56"/>
    <n v="218091.36"/>
    <x v="1"/>
    <n v="713.13"/>
    <n v="178282.5"/>
    <n v="4828.5"/>
    <n v="600.36"/>
    <n v="10306.4"/>
    <n v="194017.76"/>
    <n v="39808.86"/>
    <n v="24073.599999999999"/>
    <s v="Part-paid"/>
    <n v="145276.82999999999"/>
    <n v="72814.53"/>
    <s v="Collected"/>
    <x v="2"/>
    <x v="2"/>
    <x v="33"/>
    <x v="1"/>
    <n v="1.46"/>
    <n v="24073.599999999999"/>
    <n v="0.11038309816583289"/>
    <n v="0"/>
    <x v="0"/>
    <n v="1"/>
    <s v="January"/>
    <s v="2024-01"/>
  </r>
  <r>
    <s v="FZ00646"/>
    <n v="45703"/>
    <n v="45704"/>
    <x v="0"/>
    <n v="150"/>
    <n v="835.39"/>
    <n v="0.46"/>
    <n v="124732.08"/>
    <x v="1"/>
    <n v="740.01"/>
    <n v="111001.5"/>
    <n v="1326.88"/>
    <n v="497.31"/>
    <n v="3103.58"/>
    <n v="115929.27"/>
    <n v="13730.58"/>
    <n v="8802.81"/>
    <s v="Paid"/>
    <n v="124732.08"/>
    <n v="0"/>
    <s v="Collected"/>
    <x v="1"/>
    <x v="2"/>
    <x v="13"/>
    <x v="5"/>
    <n v="0.79"/>
    <n v="8802.81"/>
    <n v="7.0573744941958796E-2"/>
    <n v="0"/>
    <x v="1"/>
    <n v="2"/>
    <s v="February"/>
    <s v="2025-02"/>
  </r>
  <r>
    <s v="FZ00647"/>
    <n v="45503"/>
    <n v="45511"/>
    <x v="2"/>
    <n v="250"/>
    <n v="754.68"/>
    <n v="0.3"/>
    <n v="188103.99"/>
    <x v="3"/>
    <n v="537.80999999999995"/>
    <n v="134452.5"/>
    <n v="1555.33"/>
    <n v="531.23"/>
    <n v="10059.06"/>
    <n v="146598.12"/>
    <n v="53651.49"/>
    <n v="41505.870000000003"/>
    <s v="Part-paid"/>
    <n v="146648.19"/>
    <n v="41455.800000000003"/>
    <s v="Collected"/>
    <x v="3"/>
    <x v="1"/>
    <x v="1"/>
    <x v="1"/>
    <n v="1.42"/>
    <n v="41505.870000000003"/>
    <n v="0.2206538521591169"/>
    <n v="0"/>
    <x v="0"/>
    <n v="7"/>
    <s v="July"/>
    <s v="2024-07"/>
  </r>
  <r>
    <s v="FZ00648"/>
    <n v="45762"/>
    <n v="45771"/>
    <x v="0"/>
    <n v="500"/>
    <n v="916.43"/>
    <n v="4.74"/>
    <n v="436495.61"/>
    <x v="3"/>
    <n v="698.84"/>
    <n v="349420"/>
    <n v="4290.2700000000004"/>
    <n v="2144.92"/>
    <n v="4117.22"/>
    <n v="359972.41"/>
    <n v="87075.61"/>
    <n v="76523.199999999997"/>
    <s v="Paid"/>
    <n v="436495.61"/>
    <n v="0"/>
    <s v="Delivered"/>
    <x v="3"/>
    <x v="3"/>
    <x v="31"/>
    <x v="1"/>
    <n v="1.23"/>
    <n v="76523.199999999997"/>
    <n v="0.17531264518330436"/>
    <n v="0"/>
    <x v="1"/>
    <n v="4"/>
    <s v="April"/>
    <s v="2025-04"/>
  </r>
  <r>
    <s v="FZ00649"/>
    <n v="45985"/>
    <n v="45988"/>
    <x v="0"/>
    <n v="200"/>
    <n v="865.88"/>
    <n v="1.25"/>
    <n v="171011.3"/>
    <x v="0"/>
    <n v="708.29"/>
    <n v="141658"/>
    <n v="4164.88"/>
    <n v="700.56"/>
    <n v="4342.6499999999996"/>
    <n v="150866.09"/>
    <n v="29353.3"/>
    <n v="20145.21"/>
    <s v="Paid"/>
    <n v="171011.3"/>
    <n v="0"/>
    <s v="Collected"/>
    <x v="5"/>
    <x v="4"/>
    <x v="22"/>
    <x v="5"/>
    <n v="0.51"/>
    <n v="20145.21"/>
    <n v="0.11780046113911771"/>
    <n v="0"/>
    <x v="1"/>
    <n v="11"/>
    <s v="November"/>
    <s v="2025-11"/>
  </r>
  <r>
    <s v="FZ00650"/>
    <n v="45994"/>
    <n v="45999"/>
    <x v="0"/>
    <n v="200"/>
    <n v="871.64"/>
    <n v="0.89"/>
    <n v="172776.48"/>
    <x v="2"/>
    <n v="674.49"/>
    <n v="134898"/>
    <n v="1763.2"/>
    <n v="373.34"/>
    <n v="10684.26"/>
    <n v="147718.79999999999"/>
    <n v="37878.480000000003"/>
    <n v="25057.68"/>
    <s v="Part-paid"/>
    <n v="128957.6"/>
    <n v="43818.879999999997"/>
    <s v="Delivered"/>
    <x v="5"/>
    <x v="0"/>
    <x v="21"/>
    <x v="0"/>
    <n v="0.96"/>
    <n v="25057.68"/>
    <n v="0.14502946234348563"/>
    <n v="0"/>
    <x v="1"/>
    <n v="12"/>
    <s v="December"/>
    <s v="2025-12"/>
  </r>
  <r>
    <s v="FZ00651"/>
    <n v="45825"/>
    <n v="45832"/>
    <x v="0"/>
    <n v="500"/>
    <n v="816.44"/>
    <n v="0.08"/>
    <n v="407893.42"/>
    <x v="2"/>
    <n v="665.18"/>
    <n v="332590"/>
    <n v="5036.07"/>
    <n v="2437.66"/>
    <n v="138.22"/>
    <n v="340201.95"/>
    <n v="75303.42"/>
    <n v="67691.47"/>
    <s v="Paid"/>
    <n v="407893.42"/>
    <n v="0"/>
    <s v="Delivered"/>
    <x v="3"/>
    <x v="0"/>
    <x v="36"/>
    <x v="3"/>
    <n v="2.27"/>
    <n v="67691.47"/>
    <n v="0.16595381705348422"/>
    <n v="0"/>
    <x v="1"/>
    <n v="6"/>
    <s v="June"/>
    <s v="2025-06"/>
  </r>
  <r>
    <s v="FZ00652"/>
    <n v="45753"/>
    <n v="45767"/>
    <x v="2"/>
    <n v="100"/>
    <n v="779.04"/>
    <n v="0.32"/>
    <n v="77654.710000000006"/>
    <x v="1"/>
    <n v="599.87"/>
    <n v="59987"/>
    <n v="1481.58"/>
    <n v="439.17"/>
    <n v="1254.22"/>
    <n v="63161.97"/>
    <n v="17667.71"/>
    <n v="14492.74"/>
    <s v="Paid"/>
    <n v="77654.710000000006"/>
    <n v="0"/>
    <s v="Delivered"/>
    <x v="0"/>
    <x v="2"/>
    <x v="3"/>
    <x v="3"/>
    <n v="1.63"/>
    <n v="14492.74"/>
    <n v="0.18663053406548036"/>
    <n v="0"/>
    <x v="1"/>
    <n v="4"/>
    <s v="April"/>
    <s v="2025-04"/>
  </r>
  <r>
    <s v="FZ00653"/>
    <n v="45623"/>
    <m/>
    <x v="0"/>
    <n v="200"/>
    <n v="907.67"/>
    <n v="0.36"/>
    <n v="180880.48"/>
    <x v="2"/>
    <n v="687.84"/>
    <n v="137568"/>
    <n v="4135.4399999999996"/>
    <n v="396.45"/>
    <n v="3475.43"/>
    <n v="145575.32"/>
    <n v="43312.480000000003"/>
    <n v="35305.160000000003"/>
    <s v="Paid"/>
    <n v="180880.48"/>
    <n v="0"/>
    <s v="Pending"/>
    <x v="1"/>
    <x v="0"/>
    <x v="5"/>
    <x v="4"/>
    <n v="1.1100000000000001"/>
    <n v="35305.160000000003"/>
    <n v="0.19518501941171321"/>
    <n v="0"/>
    <x v="0"/>
    <n v="11"/>
    <s v="November"/>
    <s v="2024-11"/>
  </r>
  <r>
    <s v="FZ00654"/>
    <n v="45542"/>
    <m/>
    <x v="4"/>
    <n v="300"/>
    <n v="2858.75"/>
    <n v="0.73"/>
    <n v="851364.34"/>
    <x v="2"/>
    <n v="2412.29"/>
    <n v="723687"/>
    <n v="6100.3"/>
    <n v="519.17999999999995"/>
    <n v="3501.82"/>
    <n v="733808.3"/>
    <n v="127677.34"/>
    <n v="117556.04"/>
    <s v="Part-paid"/>
    <n v="658086.91"/>
    <n v="193277.43"/>
    <s v="Pending"/>
    <x v="3"/>
    <x v="4"/>
    <x v="6"/>
    <x v="2"/>
    <n v="1.04"/>
    <n v="117556.04"/>
    <n v="0.13807959116539928"/>
    <n v="0"/>
    <x v="0"/>
    <n v="9"/>
    <s v="September"/>
    <s v="2024-09"/>
  </r>
  <r>
    <s v="FZ00655"/>
    <n v="45753"/>
    <n v="45758"/>
    <x v="1"/>
    <n v="300"/>
    <n v="1315.43"/>
    <n v="0.2"/>
    <n v="393839.74"/>
    <x v="1"/>
    <n v="1012.39"/>
    <n v="303717"/>
    <n v="1585.64"/>
    <n v="1784.39"/>
    <n v="11634.46"/>
    <n v="318721.49"/>
    <n v="90122.74"/>
    <n v="75118.25"/>
    <s v="Part-paid"/>
    <n v="323709.31"/>
    <n v="70130.429999999993"/>
    <s v="Delivered"/>
    <x v="4"/>
    <x v="1"/>
    <x v="3"/>
    <x v="3"/>
    <n v="0.2"/>
    <n v="75118.25"/>
    <n v="0.19073303775794692"/>
    <n v="0"/>
    <x v="1"/>
    <n v="4"/>
    <s v="April"/>
    <s v="2025-04"/>
  </r>
  <r>
    <s v="FZ00656"/>
    <n v="45699"/>
    <n v="45703"/>
    <x v="0"/>
    <n v="1200"/>
    <n v="814.68"/>
    <n v="4.42"/>
    <n v="934405.37"/>
    <x v="2"/>
    <n v="683.32"/>
    <n v="819984"/>
    <n v="16296.66"/>
    <n v="3899.63"/>
    <n v="4211.16"/>
    <n v="844391.45"/>
    <n v="114421.37"/>
    <n v="90013.92"/>
    <s v="Paid"/>
    <n v="934405.37"/>
    <n v="0"/>
    <s v="Delivered"/>
    <x v="3"/>
    <x v="2"/>
    <x v="33"/>
    <x v="1"/>
    <n v="1.8"/>
    <n v="90013.92"/>
    <n v="9.6332836785815987E-2"/>
    <n v="0"/>
    <x v="1"/>
    <n v="2"/>
    <s v="February"/>
    <s v="2025-02"/>
  </r>
  <r>
    <s v="FZ00657"/>
    <n v="45589"/>
    <n v="45602"/>
    <x v="2"/>
    <n v="500"/>
    <n v="714.3"/>
    <n v="1.58"/>
    <n v="351507.03"/>
    <x v="2"/>
    <n v="570.1"/>
    <n v="285050"/>
    <n v="4514.9799999999996"/>
    <n v="1430.86"/>
    <n v="8968.75"/>
    <n v="299964.59000000003"/>
    <n v="66457.03"/>
    <n v="51542.44"/>
    <s v="Part-paid"/>
    <n v="236002.5"/>
    <n v="115504.53"/>
    <s v="Delivered"/>
    <x v="1"/>
    <x v="1"/>
    <x v="20"/>
    <x v="2"/>
    <n v="0.54"/>
    <n v="51542.44"/>
    <n v="0.14663274302081525"/>
    <n v="0"/>
    <x v="0"/>
    <n v="10"/>
    <s v="October"/>
    <s v="2024-10"/>
  </r>
  <r>
    <s v="FZ00658"/>
    <n v="45996"/>
    <m/>
    <x v="0"/>
    <n v="100"/>
    <n v="978.38"/>
    <n v="1.8"/>
    <n v="96076.92"/>
    <x v="2"/>
    <n v="727.47"/>
    <n v="72747"/>
    <n v="1039.68"/>
    <n v="244.85"/>
    <n v="791.22"/>
    <n v="74822.75"/>
    <n v="23329.919999999998"/>
    <n v="21254.17"/>
    <s v="Paid"/>
    <n v="96076.92"/>
    <n v="0"/>
    <s v="Pending"/>
    <x v="0"/>
    <x v="1"/>
    <x v="27"/>
    <x v="2"/>
    <n v="1.45"/>
    <n v="21254.17"/>
    <n v="0.22122035136013934"/>
    <n v="0"/>
    <x v="1"/>
    <n v="12"/>
    <s v="December"/>
    <s v="2025-12"/>
  </r>
  <r>
    <s v="FZ00659"/>
    <n v="45492"/>
    <m/>
    <x v="3"/>
    <n v="300"/>
    <n v="978.54"/>
    <n v="1.63"/>
    <n v="288776.94"/>
    <x v="0"/>
    <n v="783.22"/>
    <n v="234966"/>
    <n v="2540.8200000000002"/>
    <n v="1361.91"/>
    <n v="11967.4"/>
    <n v="250836.13"/>
    <n v="53810.94"/>
    <n v="37940.81"/>
    <s v="Paid"/>
    <n v="288776.94"/>
    <n v="0"/>
    <s v="Pending"/>
    <x v="2"/>
    <x v="3"/>
    <x v="11"/>
    <x v="5"/>
    <n v="0.97"/>
    <n v="37940.81"/>
    <n v="0.13138448658677523"/>
    <n v="0"/>
    <x v="0"/>
    <n v="7"/>
    <s v="July"/>
    <s v="2024-07"/>
  </r>
  <r>
    <s v="FZ00660"/>
    <n v="45797"/>
    <n v="45802"/>
    <x v="0"/>
    <n v="150"/>
    <n v="921.77"/>
    <n v="1.25"/>
    <n v="136537.18"/>
    <x v="1"/>
    <n v="686.4"/>
    <n v="102960"/>
    <n v="1867.19"/>
    <n v="424.21"/>
    <n v="9250.25"/>
    <n v="114501.65"/>
    <n v="33577.18"/>
    <n v="22035.53"/>
    <s v="Paid"/>
    <n v="136537.18"/>
    <n v="0"/>
    <s v="Delivered"/>
    <x v="1"/>
    <x v="1"/>
    <x v="20"/>
    <x v="2"/>
    <n v="2.36"/>
    <n v="22035.53"/>
    <n v="0.16138849506046632"/>
    <n v="0"/>
    <x v="1"/>
    <n v="5"/>
    <s v="May"/>
    <s v="2025-05"/>
  </r>
  <r>
    <s v="FZ00661"/>
    <n v="45797"/>
    <n v="45808"/>
    <x v="0"/>
    <n v="250"/>
    <n v="898.11"/>
    <n v="0.09"/>
    <n v="224325.43"/>
    <x v="2"/>
    <n v="671.93"/>
    <n v="167982.5"/>
    <n v="2509.64"/>
    <n v="1132.46"/>
    <n v="7149.69"/>
    <n v="178774.29"/>
    <n v="56342.93"/>
    <n v="45551.14"/>
    <s v="Paid"/>
    <n v="224325.43"/>
    <n v="0"/>
    <s v="Delivered"/>
    <x v="1"/>
    <x v="3"/>
    <x v="31"/>
    <x v="1"/>
    <n v="2.12"/>
    <n v="45551.14"/>
    <n v="0.2030582979379556"/>
    <n v="0"/>
    <x v="1"/>
    <n v="5"/>
    <s v="May"/>
    <s v="2025-05"/>
  </r>
  <r>
    <s v="FZ00662"/>
    <n v="45426"/>
    <n v="45440"/>
    <x v="0"/>
    <n v="1000"/>
    <n v="828.46"/>
    <n v="1.03"/>
    <n v="819926.86"/>
    <x v="1"/>
    <n v="662.51"/>
    <n v="662510"/>
    <n v="23314.47"/>
    <n v="3622.75"/>
    <n v="8068.75"/>
    <n v="697515.97"/>
    <n v="157416.85999999999"/>
    <n v="122410.89"/>
    <s v="Paid"/>
    <n v="819926.86"/>
    <n v="0"/>
    <s v="Collected"/>
    <x v="0"/>
    <x v="1"/>
    <x v="25"/>
    <x v="3"/>
    <n v="0.95"/>
    <n v="122410.89"/>
    <n v="0.14929488954661152"/>
    <n v="0"/>
    <x v="0"/>
    <n v="5"/>
    <s v="May"/>
    <s v="2024-05"/>
  </r>
  <r>
    <s v="FZ00663"/>
    <n v="45584"/>
    <n v="45592"/>
    <x v="1"/>
    <n v="250"/>
    <n v="1338.07"/>
    <n v="1.49"/>
    <n v="329533.19"/>
    <x v="3"/>
    <n v="1106.81"/>
    <n v="276702.5"/>
    <n v="5472.05"/>
    <n v="1195.1500000000001"/>
    <n v="10566.27"/>
    <n v="293935.96999999997"/>
    <n v="52830.69"/>
    <n v="35597.22"/>
    <s v="Paid"/>
    <n v="329533.19"/>
    <n v="0"/>
    <s v="Delivered"/>
    <x v="1"/>
    <x v="0"/>
    <x v="30"/>
    <x v="0"/>
    <n v="0.14000000000000001"/>
    <n v="35597.22"/>
    <n v="0.10802317059474344"/>
    <n v="0"/>
    <x v="0"/>
    <n v="10"/>
    <s v="October"/>
    <s v="2024-10"/>
  </r>
  <r>
    <s v="FZ00664"/>
    <n v="45784"/>
    <n v="45785"/>
    <x v="3"/>
    <n v="100"/>
    <n v="960.32"/>
    <n v="0.13"/>
    <n v="95907.16"/>
    <x v="0"/>
    <n v="766.95"/>
    <n v="76695"/>
    <n v="1224.32"/>
    <n v="175.16"/>
    <n v="3512.24"/>
    <n v="81606.720000000001"/>
    <n v="19212.16"/>
    <n v="14300.44"/>
    <s v="Part-paid"/>
    <n v="72620.710000000006"/>
    <n v="23286.45"/>
    <s v="Delivered"/>
    <x v="3"/>
    <x v="0"/>
    <x v="10"/>
    <x v="5"/>
    <n v="1.73"/>
    <n v="14300.44"/>
    <n v="0.14910711567311555"/>
    <n v="0"/>
    <x v="1"/>
    <n v="5"/>
    <s v="May"/>
    <s v="2025-05"/>
  </r>
  <r>
    <s v="FZ00665"/>
    <n v="45737"/>
    <n v="45740"/>
    <x v="1"/>
    <n v="150"/>
    <n v="1210.8800000000001"/>
    <n v="0.08"/>
    <n v="181486.69"/>
    <x v="1"/>
    <n v="1083.6099999999999"/>
    <n v="162541.5"/>
    <n v="2327.63"/>
    <n v="561.51"/>
    <n v="9353.5400000000009"/>
    <n v="174784.18"/>
    <n v="18945.189999999999"/>
    <n v="6702.51"/>
    <s v="Paid"/>
    <n v="181486.69"/>
    <n v="0"/>
    <s v="Collected"/>
    <x v="2"/>
    <x v="1"/>
    <x v="10"/>
    <x v="5"/>
    <n v="1.1499999999999999"/>
    <n v="6702.51"/>
    <n v="3.6931138035522053E-2"/>
    <n v="0"/>
    <x v="1"/>
    <n v="3"/>
    <s v="March"/>
    <s v="2025-03"/>
  </r>
  <r>
    <s v="FZ00666"/>
    <n v="45844"/>
    <n v="45852"/>
    <x v="2"/>
    <n v="200"/>
    <n v="701.44"/>
    <n v="1.78"/>
    <n v="137790.87"/>
    <x v="1"/>
    <n v="536.99"/>
    <n v="107398"/>
    <n v="4503.93"/>
    <n v="482.89"/>
    <n v="48.36"/>
    <n v="112433.18"/>
    <n v="30392.87"/>
    <n v="25357.69"/>
    <s v="Paid"/>
    <n v="137790.87"/>
    <n v="0"/>
    <s v="Delivered"/>
    <x v="3"/>
    <x v="1"/>
    <x v="12"/>
    <x v="2"/>
    <n v="0.64"/>
    <n v="25357.69"/>
    <n v="0.18403026267270103"/>
    <n v="0"/>
    <x v="1"/>
    <n v="7"/>
    <s v="July"/>
    <s v="2025-07"/>
  </r>
  <r>
    <s v="FZ00667"/>
    <n v="45351"/>
    <n v="45364"/>
    <x v="2"/>
    <n v="200"/>
    <n v="681.98"/>
    <n v="1.92"/>
    <n v="133777.20000000001"/>
    <x v="2"/>
    <n v="574.1"/>
    <n v="114820"/>
    <n v="4479.78"/>
    <n v="1105.82"/>
    <n v="8383.7000000000007"/>
    <n v="128789.3"/>
    <n v="18957.2"/>
    <n v="4987.8999999999996"/>
    <s v="Unpaid"/>
    <n v="0"/>
    <n v="133777.20000000001"/>
    <s v="Collected"/>
    <x v="0"/>
    <x v="2"/>
    <x v="13"/>
    <x v="5"/>
    <n v="2.27"/>
    <n v="4987.8999999999996"/>
    <n v="3.7285127809522096E-2"/>
    <n v="0"/>
    <x v="0"/>
    <n v="2"/>
    <s v="February"/>
    <s v="2024-02"/>
  </r>
  <r>
    <s v="FZ00668"/>
    <n v="45836"/>
    <n v="45846"/>
    <x v="0"/>
    <n v="300"/>
    <n v="872.52"/>
    <n v="1.18"/>
    <n v="258667.28"/>
    <x v="2"/>
    <n v="687.1"/>
    <n v="206130"/>
    <n v="5408.31"/>
    <n v="1416.85"/>
    <n v="8498.91"/>
    <n v="221454.07"/>
    <n v="52537.279999999999"/>
    <n v="37213.21"/>
    <s v="Paid"/>
    <n v="258667.28"/>
    <n v="0"/>
    <s v="Delivered"/>
    <x v="5"/>
    <x v="4"/>
    <x v="18"/>
    <x v="3"/>
    <n v="1.82"/>
    <n v="37213.21"/>
    <n v="0.14386516145374087"/>
    <n v="0"/>
    <x v="1"/>
    <n v="6"/>
    <s v="June"/>
    <s v="2025-06"/>
  </r>
  <r>
    <s v="FZ00669"/>
    <n v="45878"/>
    <m/>
    <x v="0"/>
    <n v="750"/>
    <n v="833.76"/>
    <n v="1.36"/>
    <n v="616815.65"/>
    <x v="2"/>
    <n v="679.6"/>
    <n v="509700"/>
    <n v="9458.1299999999992"/>
    <n v="2683.57"/>
    <n v="1180.6400000000001"/>
    <n v="523022.34"/>
    <n v="107115.65"/>
    <n v="93793.31"/>
    <s v="Part-paid"/>
    <n v="213447.08"/>
    <n v="403368.57"/>
    <s v="Pending"/>
    <x v="3"/>
    <x v="0"/>
    <x v="8"/>
    <x v="5"/>
    <n v="1.1000000000000001"/>
    <n v="93793.31"/>
    <n v="0.15206052245918208"/>
    <n v="0"/>
    <x v="1"/>
    <n v="8"/>
    <s v="August"/>
    <s v="2025-08"/>
  </r>
  <r>
    <s v="FZ00670"/>
    <n v="45318"/>
    <n v="45322"/>
    <x v="0"/>
    <n v="200"/>
    <n v="822.64"/>
    <n v="0.6"/>
    <n v="163540.82999999999"/>
    <x v="2"/>
    <n v="701.09"/>
    <n v="140218"/>
    <n v="3881.3"/>
    <n v="859.24"/>
    <n v="3490.72"/>
    <n v="148449.26"/>
    <n v="23322.83"/>
    <n v="15091.57"/>
    <s v="Paid"/>
    <n v="163540.82999999999"/>
    <n v="0"/>
    <s v="Delivered"/>
    <x v="0"/>
    <x v="2"/>
    <x v="10"/>
    <x v="5"/>
    <n v="0.04"/>
    <n v="15091.57"/>
    <n v="9.2280135792388973E-2"/>
    <n v="0"/>
    <x v="0"/>
    <n v="1"/>
    <s v="January"/>
    <s v="2024-01"/>
  </r>
  <r>
    <s v="FZ00671"/>
    <n v="45662"/>
    <n v="45671"/>
    <x v="4"/>
    <n v="300"/>
    <n v="2734.1"/>
    <n v="0.3"/>
    <n v="817769.31"/>
    <x v="2"/>
    <n v="2358.02"/>
    <n v="707406"/>
    <n v="1658.39"/>
    <n v="1408.31"/>
    <n v="7181.64"/>
    <n v="717654.34"/>
    <n v="110363.31"/>
    <n v="100114.97"/>
    <s v="Paid"/>
    <n v="817769.31"/>
    <n v="0"/>
    <s v="Delivered"/>
    <x v="0"/>
    <x v="2"/>
    <x v="13"/>
    <x v="5"/>
    <n v="0.56999999999999995"/>
    <n v="100114.97"/>
    <n v="0.12242446466962668"/>
    <n v="0"/>
    <x v="1"/>
    <n v="1"/>
    <s v="January"/>
    <s v="2025-01"/>
  </r>
  <r>
    <s v="FZ00672"/>
    <n v="45575"/>
    <n v="45588"/>
    <x v="0"/>
    <n v="50"/>
    <n v="915.7"/>
    <n v="1.23"/>
    <n v="45221.84"/>
    <x v="2"/>
    <n v="650.57000000000005"/>
    <n v="32528.5"/>
    <n v="988.24"/>
    <n v="286.88"/>
    <n v="8603.73"/>
    <n v="42407.35"/>
    <n v="12693.34"/>
    <n v="2814.49"/>
    <s v="Paid"/>
    <n v="45221.84"/>
    <n v="0"/>
    <s v="Delivered"/>
    <x v="1"/>
    <x v="1"/>
    <x v="20"/>
    <x v="2"/>
    <n v="0.39"/>
    <n v="2814.49"/>
    <n v="6.223740564293713E-2"/>
    <n v="0"/>
    <x v="0"/>
    <n v="10"/>
    <s v="October"/>
    <s v="2024-10"/>
  </r>
  <r>
    <s v="FZ00673"/>
    <n v="45691"/>
    <n v="45705"/>
    <x v="1"/>
    <n v="750"/>
    <n v="1251.54"/>
    <n v="2.6"/>
    <n v="914249.97"/>
    <x v="1"/>
    <n v="1113.83"/>
    <n v="835372.5"/>
    <n v="14974.69"/>
    <n v="3244.39"/>
    <n v="5048.08"/>
    <n v="858639.66"/>
    <n v="78877.47"/>
    <n v="55610.31"/>
    <s v="Paid"/>
    <n v="914249.97"/>
    <n v="0"/>
    <s v="Delivered"/>
    <x v="2"/>
    <x v="2"/>
    <x v="9"/>
    <x v="1"/>
    <n v="2.34"/>
    <n v="55610.31"/>
    <n v="6.0826154580021476E-2"/>
    <n v="0"/>
    <x v="1"/>
    <n v="2"/>
    <s v="February"/>
    <s v="2025-02"/>
  </r>
  <r>
    <s v="FZ00674"/>
    <n v="45404"/>
    <n v="45414"/>
    <x v="0"/>
    <n v="300"/>
    <n v="841.23"/>
    <n v="2.0699999999999998"/>
    <n v="247144.95999999999"/>
    <x v="2"/>
    <n v="736.02"/>
    <n v="220806"/>
    <n v="6358.64"/>
    <n v="1350.68"/>
    <n v="5824.58"/>
    <n v="234339.9"/>
    <n v="26338.959999999999"/>
    <n v="12805.06"/>
    <s v="Part-paid"/>
    <n v="115364.71"/>
    <n v="131780.25"/>
    <s v="Delivered"/>
    <x v="3"/>
    <x v="1"/>
    <x v="15"/>
    <x v="3"/>
    <n v="0.33"/>
    <n v="12805.06"/>
    <n v="5.1811940652158148E-2"/>
    <n v="0"/>
    <x v="0"/>
    <n v="4"/>
    <s v="April"/>
    <s v="2024-04"/>
  </r>
  <r>
    <s v="FZ00675"/>
    <n v="45856"/>
    <n v="45863"/>
    <x v="1"/>
    <n v="500"/>
    <n v="1287.25"/>
    <n v="0.78"/>
    <n v="638604.72"/>
    <x v="2"/>
    <n v="1068.51"/>
    <n v="534255"/>
    <n v="11035.75"/>
    <n v="1960.68"/>
    <n v="412.31"/>
    <n v="547663.74"/>
    <n v="104349.72"/>
    <n v="90940.98"/>
    <s v="Paid"/>
    <n v="638604.72"/>
    <n v="0"/>
    <s v="Delivered"/>
    <x v="0"/>
    <x v="1"/>
    <x v="19"/>
    <x v="4"/>
    <n v="2.19"/>
    <n v="90940.98"/>
    <n v="0.14240574357170427"/>
    <n v="0"/>
    <x v="1"/>
    <n v="7"/>
    <s v="July"/>
    <s v="2025-07"/>
  </r>
  <r>
    <s v="FZ00676"/>
    <n v="46016"/>
    <n v="46021"/>
    <x v="0"/>
    <n v="50"/>
    <n v="951"/>
    <n v="0.98"/>
    <n v="47084.01"/>
    <x v="3"/>
    <n v="709.56"/>
    <n v="35478"/>
    <n v="840.98"/>
    <n v="221.23"/>
    <n v="5163.16"/>
    <n v="41703.370000000003"/>
    <n v="11606.01"/>
    <n v="5380.64"/>
    <s v="Paid"/>
    <n v="47084.01"/>
    <n v="0"/>
    <s v="Delivered"/>
    <x v="2"/>
    <x v="0"/>
    <x v="8"/>
    <x v="5"/>
    <n v="0.48"/>
    <n v="5380.64"/>
    <n v="0.11427743728709598"/>
    <n v="0"/>
    <x v="1"/>
    <n v="12"/>
    <s v="December"/>
    <s v="2025-12"/>
  </r>
  <r>
    <s v="FZ00677"/>
    <n v="45975"/>
    <n v="45984"/>
    <x v="0"/>
    <n v="50"/>
    <n v="949.64"/>
    <n v="1.2"/>
    <n v="46912.22"/>
    <x v="2"/>
    <n v="720.74"/>
    <n v="36037"/>
    <n v="296.3"/>
    <n v="258.39"/>
    <n v="10371.34"/>
    <n v="46963.03"/>
    <n v="10875.22"/>
    <n v="-50.81"/>
    <s v="Paid"/>
    <n v="46912.22"/>
    <n v="0"/>
    <s v="Delivered"/>
    <x v="2"/>
    <x v="0"/>
    <x v="7"/>
    <x v="5"/>
    <n v="1.52"/>
    <n v="-50.81"/>
    <n v="-1.0830866669707807E-3"/>
    <n v="0"/>
    <x v="1"/>
    <n v="11"/>
    <s v="November"/>
    <s v="2025-11"/>
  </r>
  <r>
    <s v="FZ00678"/>
    <n v="45979"/>
    <m/>
    <x v="1"/>
    <n v="1000"/>
    <n v="1401.65"/>
    <n v="0.22"/>
    <n v="0"/>
    <x v="0"/>
    <n v="1070.8399999999999"/>
    <n v="0"/>
    <n v="0"/>
    <n v="0"/>
    <n v="0"/>
    <n v="0"/>
    <n v="0"/>
    <n v="0"/>
    <s v="Paid"/>
    <n v="0"/>
    <n v="0"/>
    <s v="Cancelled"/>
    <x v="1"/>
    <x v="1"/>
    <x v="35"/>
    <x v="4"/>
    <n v="2.19"/>
    <n v="0"/>
    <e v="#DIV/0!"/>
    <n v="0"/>
    <x v="1"/>
    <n v="11"/>
    <s v="November"/>
    <s v="2025-11"/>
  </r>
  <r>
    <s v="FZ00679"/>
    <n v="45312"/>
    <n v="45323"/>
    <x v="3"/>
    <n v="100"/>
    <n v="988.26"/>
    <n v="0.3"/>
    <n v="98529.52"/>
    <x v="1"/>
    <n v="810.59"/>
    <n v="81059"/>
    <n v="1091.83"/>
    <n v="169.39"/>
    <n v="2966.9"/>
    <n v="85287.12"/>
    <n v="17470.52"/>
    <n v="13242.4"/>
    <s v="Unpaid"/>
    <n v="0"/>
    <n v="98529.52"/>
    <s v="Collected"/>
    <x v="0"/>
    <x v="1"/>
    <x v="17"/>
    <x v="3"/>
    <n v="1.1599999999999999"/>
    <n v="13242.4"/>
    <n v="0.13440032997217483"/>
    <n v="0"/>
    <x v="0"/>
    <n v="1"/>
    <s v="January"/>
    <s v="2024-01"/>
  </r>
  <r>
    <s v="FZ00680"/>
    <n v="45956"/>
    <m/>
    <x v="3"/>
    <n v="500"/>
    <n v="978.19"/>
    <n v="0.86"/>
    <n v="484888.78"/>
    <x v="0"/>
    <n v="734.96"/>
    <n v="367480"/>
    <n v="9241.18"/>
    <n v="1254.94"/>
    <n v="10215.98"/>
    <n v="388192.1"/>
    <n v="117408.78"/>
    <n v="96696.68"/>
    <s v="Unpaid"/>
    <n v="0"/>
    <n v="484888.78"/>
    <s v="Pending"/>
    <x v="4"/>
    <x v="1"/>
    <x v="1"/>
    <x v="1"/>
    <n v="1.59"/>
    <n v="96696.68"/>
    <n v="0.19942032892573835"/>
    <n v="0"/>
    <x v="1"/>
    <n v="10"/>
    <s v="October"/>
    <s v="2025-10"/>
  </r>
  <r>
    <s v="FZ00681"/>
    <n v="45447"/>
    <n v="45457"/>
    <x v="3"/>
    <n v="300"/>
    <n v="934.56"/>
    <n v="0.71"/>
    <n v="278377.39"/>
    <x v="2"/>
    <n v="797.41"/>
    <n v="239223"/>
    <n v="7078.41"/>
    <n v="1575.64"/>
    <n v="5008.8599999999997"/>
    <n v="252885.91"/>
    <n v="39154.39"/>
    <n v="25491.48"/>
    <s v="Paid"/>
    <n v="278377.39"/>
    <n v="0"/>
    <s v="Delivered"/>
    <x v="0"/>
    <x v="0"/>
    <x v="7"/>
    <x v="5"/>
    <n v="2.29"/>
    <n v="25491.48"/>
    <n v="9.1571661046179073E-2"/>
    <n v="0"/>
    <x v="0"/>
    <n v="6"/>
    <s v="June"/>
    <s v="2024-06"/>
  </r>
  <r>
    <s v="FZ00682"/>
    <n v="45839"/>
    <n v="45841"/>
    <x v="3"/>
    <n v="250"/>
    <n v="966.7"/>
    <n v="2.21"/>
    <n v="236333.98"/>
    <x v="2"/>
    <n v="812.54"/>
    <n v="203135"/>
    <n v="3147.87"/>
    <n v="1392.37"/>
    <n v="9530.57"/>
    <n v="217205.81"/>
    <n v="33198.980000000003"/>
    <n v="19128.169999999998"/>
    <s v="Paid"/>
    <n v="236333.98"/>
    <n v="0"/>
    <s v="Delivered"/>
    <x v="4"/>
    <x v="1"/>
    <x v="13"/>
    <x v="5"/>
    <n v="0.06"/>
    <n v="19128.169999999998"/>
    <n v="8.0937028183590012E-2"/>
    <n v="0"/>
    <x v="1"/>
    <n v="7"/>
    <s v="July"/>
    <s v="2025-07"/>
  </r>
  <r>
    <s v="FZ00683"/>
    <n v="45939"/>
    <n v="45940"/>
    <x v="1"/>
    <n v="150"/>
    <n v="1403.06"/>
    <n v="1.53"/>
    <n v="207238.98"/>
    <x v="2"/>
    <n v="1030.31"/>
    <n v="154546.5"/>
    <n v="2317.6799999999998"/>
    <n v="836.89"/>
    <n v="468.28"/>
    <n v="158169.35"/>
    <n v="52692.480000000003"/>
    <n v="49069.63"/>
    <s v="Paid"/>
    <n v="207238.98"/>
    <n v="0"/>
    <s v="Collected"/>
    <x v="0"/>
    <x v="0"/>
    <x v="19"/>
    <x v="4"/>
    <n v="2.15"/>
    <n v="49069.63"/>
    <n v="0.23677799417850828"/>
    <n v="0"/>
    <x v="1"/>
    <n v="10"/>
    <s v="October"/>
    <s v="2025-10"/>
  </r>
  <r>
    <s v="FZ00684"/>
    <n v="45347"/>
    <m/>
    <x v="0"/>
    <n v="1000"/>
    <n v="889.51"/>
    <n v="3.57"/>
    <n v="857754.49"/>
    <x v="2"/>
    <n v="726.52"/>
    <n v="726520"/>
    <n v="9033.27"/>
    <n v="3164.5"/>
    <n v="176.29"/>
    <n v="738894.06"/>
    <n v="131234.49"/>
    <n v="118860.43"/>
    <s v="Paid"/>
    <n v="857754.49"/>
    <n v="0"/>
    <s v="Pending"/>
    <x v="3"/>
    <x v="2"/>
    <x v="7"/>
    <x v="5"/>
    <n v="1.59"/>
    <n v="118860.43"/>
    <n v="0.13857162088419961"/>
    <n v="0"/>
    <x v="0"/>
    <n v="2"/>
    <s v="February"/>
    <s v="2024-02"/>
  </r>
  <r>
    <s v="FZ00685"/>
    <n v="45797"/>
    <n v="45803"/>
    <x v="0"/>
    <n v="50"/>
    <n v="928.88"/>
    <n v="1.42"/>
    <n v="45784.5"/>
    <x v="0"/>
    <n v="677.47"/>
    <n v="33873.5"/>
    <n v="638.58000000000004"/>
    <n v="190.47"/>
    <n v="8620.5400000000009"/>
    <n v="43323.09"/>
    <n v="11911"/>
    <n v="2461.41"/>
    <s v="Paid"/>
    <n v="45784.5"/>
    <n v="0"/>
    <s v="Delivered"/>
    <x v="1"/>
    <x v="0"/>
    <x v="22"/>
    <x v="5"/>
    <n v="1.5"/>
    <n v="2461.41"/>
    <n v="5.3760770566458074E-2"/>
    <n v="0"/>
    <x v="1"/>
    <n v="5"/>
    <s v="May"/>
    <s v="2025-05"/>
  </r>
  <r>
    <s v="FZ00686"/>
    <n v="45319"/>
    <n v="45324"/>
    <x v="1"/>
    <n v="1000"/>
    <n v="1347.79"/>
    <n v="1.1299999999999999"/>
    <n v="1332559.97"/>
    <x v="1"/>
    <n v="975.65"/>
    <n v="975650"/>
    <n v="22214.48"/>
    <n v="5061.4799999999996"/>
    <n v="9195.86"/>
    <n v="1012121.82"/>
    <n v="356909.97"/>
    <n v="320438.15000000002"/>
    <s v="Paid"/>
    <n v="1332559.97"/>
    <n v="0"/>
    <s v="Delivered"/>
    <x v="0"/>
    <x v="3"/>
    <x v="28"/>
    <x v="4"/>
    <n v="1.49"/>
    <n v="320438.15000000002"/>
    <n v="0.24046808940238543"/>
    <n v="0"/>
    <x v="0"/>
    <n v="1"/>
    <s v="January"/>
    <s v="2024-01"/>
  </r>
  <r>
    <s v="FZ00687"/>
    <n v="45972"/>
    <n v="45976"/>
    <x v="4"/>
    <n v="250"/>
    <n v="3139.17"/>
    <n v="0.05"/>
    <n v="784400.1"/>
    <x v="1"/>
    <n v="2301.25"/>
    <n v="575312.5"/>
    <n v="5047.09"/>
    <n v="434.2"/>
    <n v="11410.21"/>
    <n v="592204"/>
    <n v="209087.6"/>
    <n v="192196.1"/>
    <s v="Paid"/>
    <n v="784400.1"/>
    <n v="0"/>
    <s v="Delivered"/>
    <x v="2"/>
    <x v="4"/>
    <x v="33"/>
    <x v="1"/>
    <n v="0.82"/>
    <n v="192196.1"/>
    <n v="0.24502304372475223"/>
    <n v="0"/>
    <x v="1"/>
    <n v="11"/>
    <s v="November"/>
    <s v="2025-11"/>
  </r>
  <r>
    <s v="FZ00688"/>
    <n v="45996"/>
    <n v="45999"/>
    <x v="2"/>
    <n v="200"/>
    <n v="739.93"/>
    <n v="1.94"/>
    <n v="145115.07"/>
    <x v="1"/>
    <n v="610.05999999999995"/>
    <n v="122012"/>
    <n v="2507.4899999999998"/>
    <n v="636.66"/>
    <n v="5039.04"/>
    <n v="130195.19"/>
    <n v="23103.07"/>
    <n v="14919.88"/>
    <s v="Part-paid"/>
    <n v="98267.87"/>
    <n v="46847.199999999997"/>
    <s v="Delivered"/>
    <x v="0"/>
    <x v="1"/>
    <x v="8"/>
    <x v="5"/>
    <n v="0.55000000000000004"/>
    <n v="14919.88"/>
    <n v="0.1028141322606949"/>
    <n v="0"/>
    <x v="1"/>
    <n v="12"/>
    <s v="December"/>
    <s v="2025-12"/>
  </r>
  <r>
    <s v="FZ00689"/>
    <n v="45651"/>
    <n v="45662"/>
    <x v="0"/>
    <n v="50"/>
    <n v="924.18"/>
    <n v="2.38"/>
    <n v="45109.23"/>
    <x v="2"/>
    <n v="669.21"/>
    <n v="33460.5"/>
    <n v="353.74"/>
    <n v="193.34"/>
    <n v="6827.91"/>
    <n v="40835.49"/>
    <n v="11648.73"/>
    <n v="4273.74"/>
    <s v="Part-paid"/>
    <n v="34403.480000000003"/>
    <n v="10705.75"/>
    <s v="Delivered"/>
    <x v="0"/>
    <x v="2"/>
    <x v="36"/>
    <x v="3"/>
    <n v="7.0000000000000007E-2"/>
    <n v="4273.74"/>
    <n v="9.4742029513693746E-2"/>
    <n v="0"/>
    <x v="0"/>
    <n v="12"/>
    <s v="December"/>
    <s v="2024-12"/>
  </r>
  <r>
    <s v="FZ00690"/>
    <n v="45543"/>
    <n v="45556"/>
    <x v="2"/>
    <n v="300"/>
    <n v="767.08"/>
    <n v="2.2200000000000002"/>
    <n v="225015.25"/>
    <x v="0"/>
    <n v="528.16999999999996"/>
    <n v="158451"/>
    <n v="4379.76"/>
    <n v="1636.34"/>
    <n v="3092.12"/>
    <n v="167559.22"/>
    <n v="66564.25"/>
    <n v="57456.03"/>
    <s v="Paid"/>
    <n v="225015.25"/>
    <n v="0"/>
    <s v="Delivered"/>
    <x v="4"/>
    <x v="2"/>
    <x v="2"/>
    <x v="2"/>
    <n v="1.35"/>
    <n v="57456.03"/>
    <n v="0.25534282676396375"/>
    <n v="0"/>
    <x v="0"/>
    <n v="9"/>
    <s v="September"/>
    <s v="2024-09"/>
  </r>
  <r>
    <s v="FZ00691"/>
    <n v="45652"/>
    <n v="45656"/>
    <x v="0"/>
    <n v="250"/>
    <n v="963.83"/>
    <n v="1.83"/>
    <n v="236547.98"/>
    <x v="2"/>
    <n v="685.49"/>
    <n v="171372.5"/>
    <n v="3438.02"/>
    <n v="1204.94"/>
    <n v="1506.74"/>
    <n v="177522.2"/>
    <n v="65175.48"/>
    <n v="59025.78"/>
    <s v="Paid"/>
    <n v="236547.98"/>
    <n v="0"/>
    <s v="Collected"/>
    <x v="5"/>
    <x v="1"/>
    <x v="16"/>
    <x v="1"/>
    <n v="0.75"/>
    <n v="59025.78"/>
    <n v="0.24952984168370407"/>
    <n v="0"/>
    <x v="0"/>
    <n v="12"/>
    <s v="December"/>
    <s v="2024-12"/>
  </r>
  <r>
    <s v="FZ00692"/>
    <n v="45645"/>
    <m/>
    <x v="0"/>
    <n v="300"/>
    <n v="987.38"/>
    <n v="1.59"/>
    <n v="291504.2"/>
    <x v="0"/>
    <n v="688.73"/>
    <n v="206619"/>
    <n v="5958.88"/>
    <n v="1094.43"/>
    <n v="8860.57"/>
    <n v="222532.88"/>
    <n v="84885.2"/>
    <n v="68971.320000000007"/>
    <s v="Paid"/>
    <n v="291504.2"/>
    <n v="0"/>
    <s v="Pending"/>
    <x v="1"/>
    <x v="1"/>
    <x v="1"/>
    <x v="1"/>
    <n v="1.78"/>
    <n v="68971.320000000007"/>
    <n v="0.23660489282830233"/>
    <n v="0"/>
    <x v="0"/>
    <n v="12"/>
    <s v="December"/>
    <s v="2024-12"/>
  </r>
  <r>
    <s v="FZ00693"/>
    <n v="45562"/>
    <n v="45573"/>
    <x v="0"/>
    <n v="200"/>
    <n v="849.98"/>
    <n v="1.5"/>
    <n v="167446.06"/>
    <x v="3"/>
    <n v="741.83"/>
    <n v="148366"/>
    <n v="1194.74"/>
    <n v="554.08000000000004"/>
    <n v="3583"/>
    <n v="153697.82"/>
    <n v="19080.060000000001"/>
    <n v="13748.24"/>
    <s v="Unpaid"/>
    <n v="0"/>
    <n v="167446.06"/>
    <s v="Delivered"/>
    <x v="2"/>
    <x v="1"/>
    <x v="35"/>
    <x v="4"/>
    <n v="1.1599999999999999"/>
    <n v="13748.24"/>
    <n v="8.2105485193261635E-2"/>
    <n v="0"/>
    <x v="0"/>
    <n v="9"/>
    <s v="September"/>
    <s v="2024-09"/>
  </r>
  <r>
    <s v="FZ00694"/>
    <n v="45428"/>
    <n v="45438"/>
    <x v="0"/>
    <n v="1200"/>
    <n v="897.9"/>
    <n v="4.76"/>
    <n v="1026191.95"/>
    <x v="1"/>
    <n v="745.77"/>
    <n v="894924"/>
    <n v="19532.02"/>
    <n v="2988.33"/>
    <n v="735.2"/>
    <n v="918179.55"/>
    <n v="131267.95000000001"/>
    <n v="108012.4"/>
    <s v="Paid"/>
    <n v="1026191.95"/>
    <n v="0"/>
    <s v="Delivered"/>
    <x v="0"/>
    <x v="2"/>
    <x v="13"/>
    <x v="5"/>
    <n v="2.4300000000000002"/>
    <n v="108012.4"/>
    <n v="0.105255551848755"/>
    <n v="0"/>
    <x v="0"/>
    <n v="5"/>
    <s v="May"/>
    <s v="2024-05"/>
  </r>
  <r>
    <s v="FZ00695"/>
    <n v="45581"/>
    <m/>
    <x v="0"/>
    <n v="1000"/>
    <n v="933.98"/>
    <n v="2.68"/>
    <n v="0"/>
    <x v="2"/>
    <n v="691.03"/>
    <n v="0"/>
    <n v="0"/>
    <n v="0"/>
    <n v="0"/>
    <n v="0"/>
    <n v="0"/>
    <n v="0"/>
    <s v="Part-paid"/>
    <n v="0"/>
    <n v="0"/>
    <s v="Cancelled"/>
    <x v="1"/>
    <x v="1"/>
    <x v="15"/>
    <x v="3"/>
    <n v="2.4500000000000002"/>
    <n v="0"/>
    <e v="#DIV/0!"/>
    <n v="0"/>
    <x v="0"/>
    <n v="10"/>
    <s v="October"/>
    <s v="2024-10"/>
  </r>
  <r>
    <s v="FZ00696"/>
    <n v="45490"/>
    <m/>
    <x v="1"/>
    <n v="100"/>
    <n v="1234.01"/>
    <n v="0.64"/>
    <n v="122611.23"/>
    <x v="0"/>
    <n v="1045.6500000000001"/>
    <n v="104565"/>
    <n v="1020.66"/>
    <n v="332.38"/>
    <n v="6672.05"/>
    <n v="112590.09"/>
    <n v="18046.23"/>
    <n v="10021.14"/>
    <s v="Part-paid"/>
    <n v="52143.72"/>
    <n v="70467.509999999995"/>
    <s v="Pending"/>
    <x v="5"/>
    <x v="3"/>
    <x v="7"/>
    <x v="5"/>
    <n v="1.27"/>
    <n v="10021.14"/>
    <n v="8.1731012730236863E-2"/>
    <n v="0"/>
    <x v="0"/>
    <n v="7"/>
    <s v="July"/>
    <s v="2024-07"/>
  </r>
  <r>
    <s v="FZ00697"/>
    <n v="45862"/>
    <n v="45866"/>
    <x v="0"/>
    <n v="300"/>
    <n v="885.57"/>
    <n v="0.25"/>
    <n v="265006.82"/>
    <x v="3"/>
    <n v="730.66"/>
    <n v="219198"/>
    <n v="3849.82"/>
    <n v="1494.41"/>
    <n v="7549.74"/>
    <n v="232091.97"/>
    <n v="45808.82"/>
    <n v="32914.85"/>
    <s v="Paid"/>
    <n v="265006.82"/>
    <n v="0"/>
    <s v="Delivered"/>
    <x v="0"/>
    <x v="1"/>
    <x v="33"/>
    <x v="1"/>
    <n v="0.2"/>
    <n v="32914.85"/>
    <n v="0.12420378464222165"/>
    <n v="0"/>
    <x v="1"/>
    <n v="7"/>
    <s v="July"/>
    <s v="2025-07"/>
  </r>
  <r>
    <s v="FZ00698"/>
    <n v="45356"/>
    <m/>
    <x v="1"/>
    <n v="250"/>
    <n v="1358.27"/>
    <n v="1.72"/>
    <n v="333726.94"/>
    <x v="1"/>
    <n v="970.41"/>
    <n v="242602.5"/>
    <n v="4916.57"/>
    <n v="916.66"/>
    <n v="89.28"/>
    <n v="248525.01"/>
    <n v="91124.44"/>
    <n v="85201.93"/>
    <s v="Paid"/>
    <n v="333726.94"/>
    <n v="0"/>
    <s v="Pending"/>
    <x v="0"/>
    <x v="3"/>
    <x v="9"/>
    <x v="1"/>
    <n v="1.78"/>
    <n v="85201.93"/>
    <n v="0.25530432155102611"/>
    <n v="0"/>
    <x v="0"/>
    <n v="3"/>
    <s v="March"/>
    <s v="2024-03"/>
  </r>
  <r>
    <s v="FZ00699"/>
    <n v="45632"/>
    <n v="45640"/>
    <x v="0"/>
    <n v="750"/>
    <n v="977.93"/>
    <n v="0.26"/>
    <n v="731540.54"/>
    <x v="1"/>
    <n v="668.18"/>
    <n v="501135"/>
    <n v="17387.419999999998"/>
    <n v="2514.19"/>
    <n v="10740.81"/>
    <n v="531777.42000000004"/>
    <n v="230405.54"/>
    <n v="199763.12"/>
    <s v="Paid"/>
    <n v="731540.54"/>
    <n v="0"/>
    <s v="Delivered"/>
    <x v="4"/>
    <x v="1"/>
    <x v="10"/>
    <x v="5"/>
    <n v="1.73"/>
    <n v="199763.12"/>
    <n v="0.27307183823332604"/>
    <n v="0"/>
    <x v="0"/>
    <n v="12"/>
    <s v="December"/>
    <s v="2024-12"/>
  </r>
  <r>
    <s v="FZ00700"/>
    <n v="45885"/>
    <n v="45891"/>
    <x v="0"/>
    <n v="300"/>
    <n v="832"/>
    <n v="0.82"/>
    <n v="247553.28"/>
    <x v="1"/>
    <n v="678.18"/>
    <n v="203454"/>
    <n v="5721.18"/>
    <n v="1455.92"/>
    <n v="8324.9500000000007"/>
    <n v="218956.05"/>
    <n v="44099.28"/>
    <n v="28597.23"/>
    <s v="Paid"/>
    <n v="247553.28"/>
    <n v="0"/>
    <s v="Collected"/>
    <x v="1"/>
    <x v="4"/>
    <x v="22"/>
    <x v="5"/>
    <n v="2.4"/>
    <n v="28597.23"/>
    <n v="0.11551949543952719"/>
    <n v="0"/>
    <x v="1"/>
    <n v="8"/>
    <s v="August"/>
    <s v="2025-08"/>
  </r>
  <r>
    <s v="FZ00701"/>
    <n v="45846"/>
    <n v="45846"/>
    <x v="3"/>
    <n v="50"/>
    <n v="905.56"/>
    <n v="2.19"/>
    <n v="44286.41"/>
    <x v="0"/>
    <n v="716.7"/>
    <n v="35835"/>
    <n v="743.55"/>
    <n v="100.74"/>
    <n v="2534.2600000000002"/>
    <n v="39213.550000000003"/>
    <n v="8451.41"/>
    <n v="5072.8599999999997"/>
    <s v="Paid"/>
    <n v="44286.41"/>
    <n v="0"/>
    <s v="Delivered"/>
    <x v="0"/>
    <x v="3"/>
    <x v="34"/>
    <x v="4"/>
    <n v="0.09"/>
    <n v="5072.8599999999997"/>
    <n v="0.11454665212194891"/>
    <n v="0"/>
    <x v="1"/>
    <n v="7"/>
    <s v="July"/>
    <s v="2025-07"/>
  </r>
  <r>
    <s v="FZ00702"/>
    <n v="45284"/>
    <n v="45298"/>
    <x v="3"/>
    <n v="100"/>
    <n v="1030.03"/>
    <n v="1.73"/>
    <n v="101221.05"/>
    <x v="1"/>
    <n v="737.03"/>
    <n v="73703"/>
    <n v="1958.84"/>
    <n v="172.17"/>
    <n v="5003.9799999999996"/>
    <n v="80837.990000000005"/>
    <n v="27518.05"/>
    <n v="20383.060000000001"/>
    <s v="Paid"/>
    <n v="101221.05"/>
    <n v="0"/>
    <s v="Delivered"/>
    <x v="4"/>
    <x v="2"/>
    <x v="3"/>
    <x v="3"/>
    <n v="2.2400000000000002"/>
    <n v="20383.060000000001"/>
    <n v="0.20137175024364992"/>
    <n v="0"/>
    <x v="2"/>
    <n v="12"/>
    <s v="December"/>
    <s v="2023-12"/>
  </r>
  <r>
    <s v="FZ00703"/>
    <n v="45578"/>
    <m/>
    <x v="0"/>
    <n v="150"/>
    <n v="948.84"/>
    <n v="0.17"/>
    <n v="142084.04999999999"/>
    <x v="0"/>
    <n v="716.94"/>
    <n v="107541"/>
    <n v="2535.1"/>
    <n v="869.54"/>
    <n v="10510.13"/>
    <n v="121455.77"/>
    <n v="34543.050000000003"/>
    <n v="20628.28"/>
    <s v="Paid"/>
    <n v="142084.04999999999"/>
    <n v="0"/>
    <s v="Pending"/>
    <x v="4"/>
    <x v="3"/>
    <x v="6"/>
    <x v="2"/>
    <n v="1.04"/>
    <n v="20628.28"/>
    <n v="0.14518364306197634"/>
    <n v="0"/>
    <x v="0"/>
    <n v="10"/>
    <s v="October"/>
    <s v="2024-10"/>
  </r>
  <r>
    <s v="FZ00704"/>
    <n v="45540"/>
    <n v="45540"/>
    <x v="3"/>
    <n v="100"/>
    <n v="958.36"/>
    <n v="2.31"/>
    <n v="93622.19"/>
    <x v="2"/>
    <n v="785.62"/>
    <n v="78562"/>
    <n v="599.08000000000004"/>
    <n v="195.16"/>
    <n v="2266.1799999999998"/>
    <n v="81622.42"/>
    <n v="15060.19"/>
    <n v="11999.77"/>
    <s v="Paid"/>
    <n v="93622.19"/>
    <n v="0"/>
    <s v="Collected"/>
    <x v="1"/>
    <x v="2"/>
    <x v="3"/>
    <x v="3"/>
    <n v="0.84"/>
    <n v="11999.77"/>
    <n v="0.12817228479701234"/>
    <n v="0"/>
    <x v="0"/>
    <n v="9"/>
    <s v="September"/>
    <s v="2024-09"/>
  </r>
  <r>
    <s v="FZ00705"/>
    <n v="45398"/>
    <n v="45408"/>
    <x v="0"/>
    <n v="100"/>
    <n v="873.6"/>
    <n v="1.32"/>
    <n v="86206.85"/>
    <x v="2"/>
    <n v="661.99"/>
    <n v="66199"/>
    <n v="1864.67"/>
    <n v="376"/>
    <n v="9667.06"/>
    <n v="78106.73"/>
    <n v="20007.849999999999"/>
    <n v="8100.12"/>
    <s v="Paid"/>
    <n v="86206.85"/>
    <n v="0"/>
    <s v="Collected"/>
    <x v="5"/>
    <x v="1"/>
    <x v="0"/>
    <x v="0"/>
    <n v="1.98"/>
    <n v="8100.12"/>
    <n v="9.3961442739179071E-2"/>
    <n v="0"/>
    <x v="0"/>
    <n v="4"/>
    <s v="April"/>
    <s v="2024-04"/>
  </r>
  <r>
    <s v="FZ00706"/>
    <n v="45568"/>
    <n v="45570"/>
    <x v="0"/>
    <n v="200"/>
    <n v="889.14"/>
    <n v="0.28000000000000003"/>
    <n v="177330.08"/>
    <x v="1"/>
    <n v="712.28"/>
    <n v="142456"/>
    <n v="2350.59"/>
    <n v="740.48"/>
    <n v="10242.11"/>
    <n v="155789.18"/>
    <n v="34874.080000000002"/>
    <n v="21540.9"/>
    <s v="Paid"/>
    <n v="177330.08"/>
    <n v="0"/>
    <s v="Delivered"/>
    <x v="5"/>
    <x v="4"/>
    <x v="28"/>
    <x v="4"/>
    <n v="2.37"/>
    <n v="21540.9"/>
    <n v="0.12147346913732855"/>
    <n v="0"/>
    <x v="0"/>
    <n v="10"/>
    <s v="October"/>
    <s v="2024-10"/>
  </r>
  <r>
    <s v="FZ00707"/>
    <n v="45348"/>
    <n v="45353"/>
    <x v="4"/>
    <n v="50"/>
    <n v="3042.6"/>
    <n v="2.25"/>
    <n v="148707.07999999999"/>
    <x v="3"/>
    <n v="2335.94"/>
    <n v="116797"/>
    <n v="301.42"/>
    <n v="133.79"/>
    <n v="1593.41"/>
    <n v="118825.62"/>
    <n v="31910.080000000002"/>
    <n v="29881.46"/>
    <s v="Part-paid"/>
    <n v="77742.41"/>
    <n v="70964.67"/>
    <s v="Delivered"/>
    <x v="3"/>
    <x v="0"/>
    <x v="17"/>
    <x v="3"/>
    <n v="0.45"/>
    <n v="29881.46"/>
    <n v="0.20094174399766307"/>
    <n v="0"/>
    <x v="0"/>
    <n v="2"/>
    <s v="February"/>
    <s v="2024-02"/>
  </r>
  <r>
    <s v="FZ00708"/>
    <n v="45366"/>
    <n v="45372"/>
    <x v="3"/>
    <n v="200"/>
    <n v="1034.58"/>
    <n v="2.42"/>
    <n v="201908.63"/>
    <x v="1"/>
    <n v="770.24"/>
    <n v="154048"/>
    <n v="1607.83"/>
    <n v="1027.1099999999999"/>
    <n v="10888.75"/>
    <n v="167571.69"/>
    <n v="47860.63"/>
    <n v="34336.94"/>
    <s v="Paid"/>
    <n v="201908.63"/>
    <n v="0"/>
    <s v="Collected"/>
    <x v="1"/>
    <x v="1"/>
    <x v="11"/>
    <x v="5"/>
    <n v="1.1399999999999999"/>
    <n v="34336.94"/>
    <n v="0.17006177497217431"/>
    <n v="0"/>
    <x v="0"/>
    <n v="3"/>
    <s v="March"/>
    <s v="2024-03"/>
  </r>
  <r>
    <s v="FZ00709"/>
    <n v="45749"/>
    <n v="45761"/>
    <x v="1"/>
    <n v="500"/>
    <n v="1302.3499999999999"/>
    <n v="0.49"/>
    <n v="647984.24"/>
    <x v="1"/>
    <n v="977.23"/>
    <n v="488615"/>
    <n v="9685.89"/>
    <n v="2221.2399999999998"/>
    <n v="2985.33"/>
    <n v="503507.46"/>
    <n v="159369.24"/>
    <n v="144476.78"/>
    <s v="Paid"/>
    <n v="647984.24"/>
    <n v="0"/>
    <s v="Collected"/>
    <x v="2"/>
    <x v="0"/>
    <x v="17"/>
    <x v="3"/>
    <n v="2.37"/>
    <n v="144476.78"/>
    <n v="0.222963416517661"/>
    <n v="0"/>
    <x v="1"/>
    <n v="4"/>
    <s v="April"/>
    <s v="2025-04"/>
  </r>
  <r>
    <s v="FZ00710"/>
    <n v="45565"/>
    <n v="45579"/>
    <x v="1"/>
    <n v="100"/>
    <n v="1398.3"/>
    <n v="1.7"/>
    <n v="137452.89000000001"/>
    <x v="1"/>
    <n v="1077.08"/>
    <n v="107708"/>
    <n v="2000.09"/>
    <n v="301.87"/>
    <n v="4492.45"/>
    <n v="114502.41"/>
    <n v="29744.89"/>
    <n v="22950.48"/>
    <s v="Unpaid"/>
    <n v="0"/>
    <n v="137452.89000000001"/>
    <s v="Collected"/>
    <x v="3"/>
    <x v="1"/>
    <x v="34"/>
    <x v="4"/>
    <n v="1.28"/>
    <n v="22950.48"/>
    <n v="0.16696978870360599"/>
    <n v="0"/>
    <x v="0"/>
    <n v="9"/>
    <s v="September"/>
    <s v="2024-09"/>
  </r>
  <r>
    <s v="FZ00711"/>
    <n v="45993"/>
    <n v="46006"/>
    <x v="3"/>
    <n v="1200"/>
    <n v="1055.19"/>
    <n v="3.69"/>
    <n v="1219504.19"/>
    <x v="2"/>
    <n v="760.34"/>
    <n v="912408"/>
    <n v="15238.69"/>
    <n v="6484.13"/>
    <n v="7108.21"/>
    <n v="941239.03"/>
    <n v="307096.19"/>
    <n v="278265.15999999997"/>
    <s v="Unpaid"/>
    <n v="0"/>
    <n v="1219504.19"/>
    <s v="Collected"/>
    <x v="0"/>
    <x v="4"/>
    <x v="34"/>
    <x v="4"/>
    <n v="0.32"/>
    <n v="278265.15999999997"/>
    <n v="0.2281789290121258"/>
    <n v="0"/>
    <x v="1"/>
    <n v="12"/>
    <s v="December"/>
    <s v="2025-12"/>
  </r>
  <r>
    <s v="FZ00712"/>
    <n v="45841"/>
    <m/>
    <x v="0"/>
    <n v="300"/>
    <n v="868.45"/>
    <n v="0.89"/>
    <n v="258216.24"/>
    <x v="1"/>
    <n v="666.9"/>
    <n v="200070"/>
    <n v="3291.45"/>
    <n v="1385.03"/>
    <n v="10549.83"/>
    <n v="215296.31"/>
    <n v="58146.239999999998"/>
    <n v="42919.93"/>
    <s v="Paid"/>
    <n v="258216.24"/>
    <n v="0"/>
    <s v="Pending"/>
    <x v="0"/>
    <x v="4"/>
    <x v="10"/>
    <x v="5"/>
    <n v="0.78"/>
    <n v="42919.93"/>
    <n v="0.16621700478637597"/>
    <n v="0"/>
    <x v="1"/>
    <n v="7"/>
    <s v="July"/>
    <s v="2025-07"/>
  </r>
  <r>
    <s v="FZ00713"/>
    <n v="45916"/>
    <n v="45923"/>
    <x v="0"/>
    <n v="150"/>
    <n v="848.37"/>
    <n v="0.85"/>
    <n v="126173.83"/>
    <x v="1"/>
    <n v="672.19"/>
    <n v="100828.5"/>
    <n v="2430.46"/>
    <n v="361.09"/>
    <n v="5202.8"/>
    <n v="108822.85"/>
    <n v="25345.33"/>
    <n v="17350.98"/>
    <s v="Part-paid"/>
    <n v="78591.520000000004"/>
    <n v="47582.31"/>
    <s v="Delivered"/>
    <x v="5"/>
    <x v="1"/>
    <x v="28"/>
    <x v="4"/>
    <n v="1.26"/>
    <n v="17350.98"/>
    <n v="0.13751647231442526"/>
    <n v="0"/>
    <x v="1"/>
    <n v="9"/>
    <s v="September"/>
    <s v="2025-09"/>
  </r>
  <r>
    <s v="FZ00714"/>
    <n v="45461"/>
    <n v="45469"/>
    <x v="0"/>
    <n v="1000"/>
    <n v="898.03"/>
    <n v="2.68"/>
    <n v="873962.8"/>
    <x v="1"/>
    <n v="677.94"/>
    <n v="677940"/>
    <n v="16884.95"/>
    <n v="4917.13"/>
    <n v="2634.01"/>
    <n v="702376.09"/>
    <n v="196022.8"/>
    <n v="171586.71"/>
    <s v="Paid"/>
    <n v="873962.8"/>
    <n v="0"/>
    <s v="Delivered"/>
    <x v="0"/>
    <x v="1"/>
    <x v="20"/>
    <x v="2"/>
    <n v="1.4"/>
    <n v="171586.71"/>
    <n v="0.19633182327668863"/>
    <n v="0"/>
    <x v="0"/>
    <n v="6"/>
    <s v="June"/>
    <s v="2024-06"/>
  </r>
  <r>
    <s v="FZ00715"/>
    <n v="45601"/>
    <n v="45610"/>
    <x v="1"/>
    <n v="200"/>
    <n v="1279.77"/>
    <n v="1.81"/>
    <n v="251321.23"/>
    <x v="2"/>
    <n v="1056.9100000000001"/>
    <n v="211382"/>
    <n v="2223.15"/>
    <n v="820.54"/>
    <n v="3582.33"/>
    <n v="218008.02"/>
    <n v="39939.230000000003"/>
    <n v="33313.21"/>
    <s v="Paid"/>
    <n v="251321.23"/>
    <n v="0"/>
    <s v="Collected"/>
    <x v="1"/>
    <x v="4"/>
    <x v="28"/>
    <x v="4"/>
    <n v="1.76"/>
    <n v="33313.21"/>
    <n v="0.13255231163718242"/>
    <n v="0"/>
    <x v="0"/>
    <n v="11"/>
    <s v="November"/>
    <s v="2024-11"/>
  </r>
  <r>
    <s v="FZ00716"/>
    <n v="45584"/>
    <n v="45598"/>
    <x v="1"/>
    <n v="750"/>
    <n v="1245.6199999999999"/>
    <n v="3.73"/>
    <n v="899368.78"/>
    <x v="2"/>
    <n v="1011.58"/>
    <n v="758685"/>
    <n v="14125.01"/>
    <n v="2247.66"/>
    <n v="3998.73"/>
    <n v="779056.4"/>
    <n v="140683.78"/>
    <n v="120312.38"/>
    <s v="Part-paid"/>
    <n v="676925.59"/>
    <n v="222443.19"/>
    <s v="Delivered"/>
    <x v="2"/>
    <x v="1"/>
    <x v="14"/>
    <x v="1"/>
    <n v="0.02"/>
    <n v="120312.38"/>
    <n v="0.13377424553251671"/>
    <n v="0"/>
    <x v="0"/>
    <n v="10"/>
    <s v="October"/>
    <s v="2024-10"/>
  </r>
  <r>
    <s v="FZ00717"/>
    <n v="45535"/>
    <n v="45541"/>
    <x v="0"/>
    <n v="200"/>
    <n v="911.23"/>
    <n v="2.48"/>
    <n v="177726.3"/>
    <x v="1"/>
    <n v="692.81"/>
    <n v="138562"/>
    <n v="3560"/>
    <n v="659.72"/>
    <n v="9253.7099999999991"/>
    <n v="152035.43"/>
    <n v="39164.300000000003"/>
    <n v="25690.87"/>
    <s v="Paid"/>
    <n v="177726.3"/>
    <n v="0"/>
    <s v="Delivered"/>
    <x v="1"/>
    <x v="1"/>
    <x v="7"/>
    <x v="5"/>
    <n v="1.05"/>
    <n v="25690.87"/>
    <n v="0.14455300087831682"/>
    <n v="0"/>
    <x v="0"/>
    <n v="8"/>
    <s v="August"/>
    <s v="2024-08"/>
  </r>
  <r>
    <s v="FZ00718"/>
    <n v="45431"/>
    <n v="45439"/>
    <x v="1"/>
    <n v="300"/>
    <n v="1262.3900000000001"/>
    <n v="2.2200000000000002"/>
    <n v="370309.48"/>
    <x v="2"/>
    <n v="999.02"/>
    <n v="299706"/>
    <n v="3909.74"/>
    <n v="1539.49"/>
    <n v="9216.07"/>
    <n v="314371.3"/>
    <n v="70603.48"/>
    <n v="55938.18"/>
    <s v="Paid"/>
    <n v="370309.48"/>
    <n v="0"/>
    <s v="Delivered"/>
    <x v="0"/>
    <x v="2"/>
    <x v="20"/>
    <x v="2"/>
    <n v="1.74"/>
    <n v="55938.18"/>
    <n v="0.15105792052636621"/>
    <n v="0"/>
    <x v="0"/>
    <n v="5"/>
    <s v="May"/>
    <s v="2024-05"/>
  </r>
  <r>
    <s v="FZ00719"/>
    <n v="45604"/>
    <n v="45611"/>
    <x v="3"/>
    <n v="300"/>
    <n v="1028.1600000000001"/>
    <n v="1.4"/>
    <n v="304129.73"/>
    <x v="1"/>
    <n v="825.99"/>
    <n v="247797"/>
    <n v="2406.8200000000002"/>
    <n v="900.71"/>
    <n v="8733.18"/>
    <n v="259837.71"/>
    <n v="56332.73"/>
    <n v="44292.02"/>
    <s v="Part-paid"/>
    <n v="103222.23"/>
    <n v="200907.5"/>
    <s v="Delivered"/>
    <x v="2"/>
    <x v="1"/>
    <x v="27"/>
    <x v="2"/>
    <n v="1.78"/>
    <n v="44292.02"/>
    <n v="0.14563528531064687"/>
    <n v="0"/>
    <x v="0"/>
    <n v="11"/>
    <s v="November"/>
    <s v="2024-11"/>
  </r>
  <r>
    <s v="FZ00720"/>
    <n v="45976"/>
    <n v="45980"/>
    <x v="1"/>
    <n v="500"/>
    <n v="1324.9"/>
    <n v="2.5"/>
    <n v="645888.75"/>
    <x v="1"/>
    <n v="990.04"/>
    <n v="495020"/>
    <n v="4119.3"/>
    <n v="1684.35"/>
    <n v="4328.43"/>
    <n v="505152.08"/>
    <n v="150868.75"/>
    <n v="140736.67000000001"/>
    <s v="Paid"/>
    <n v="645888.75"/>
    <n v="0"/>
    <s v="Collected"/>
    <x v="0"/>
    <x v="3"/>
    <x v="27"/>
    <x v="2"/>
    <n v="1.85"/>
    <n v="140736.67000000001"/>
    <n v="0.21789614697577564"/>
    <n v="0"/>
    <x v="1"/>
    <n v="11"/>
    <s v="November"/>
    <s v="2025-11"/>
  </r>
  <r>
    <s v="FZ00721"/>
    <n v="45694"/>
    <n v="45706"/>
    <x v="0"/>
    <n v="500"/>
    <n v="805.6"/>
    <n v="2.37"/>
    <n v="393253.64"/>
    <x v="1"/>
    <n v="719.74"/>
    <n v="359870"/>
    <n v="5388"/>
    <n v="1681.08"/>
    <n v="3589.99"/>
    <n v="370529.07"/>
    <n v="33383.64"/>
    <n v="22724.57"/>
    <s v="Paid"/>
    <n v="393253.64"/>
    <n v="0"/>
    <s v="Delivered"/>
    <x v="0"/>
    <x v="3"/>
    <x v="36"/>
    <x v="3"/>
    <n v="0.03"/>
    <n v="22724.57"/>
    <n v="5.7786038547538936E-2"/>
    <n v="0"/>
    <x v="1"/>
    <n v="2"/>
    <s v="February"/>
    <s v="2025-02"/>
  </r>
  <r>
    <s v="FZ00722"/>
    <n v="45865"/>
    <n v="45876"/>
    <x v="0"/>
    <n v="150"/>
    <n v="853.95"/>
    <n v="2.0499999999999998"/>
    <n v="125466.6"/>
    <x v="1"/>
    <n v="728.17"/>
    <n v="109225.5"/>
    <n v="3086.39"/>
    <n v="491.71"/>
    <n v="10218.219999999999"/>
    <n v="123021.82"/>
    <n v="16241.1"/>
    <n v="2444.7800000000002"/>
    <s v="Paid"/>
    <n v="125466.6"/>
    <n v="0"/>
    <s v="Delivered"/>
    <x v="2"/>
    <x v="1"/>
    <x v="33"/>
    <x v="1"/>
    <n v="2.0699999999999998"/>
    <n v="2444.7800000000002"/>
    <n v="1.9485504508769666E-2"/>
    <n v="0"/>
    <x v="1"/>
    <n v="7"/>
    <s v="July"/>
    <s v="2025-07"/>
  </r>
  <r>
    <s v="FZ00723"/>
    <n v="46006"/>
    <n v="46018"/>
    <x v="1"/>
    <n v="750"/>
    <n v="1443.33"/>
    <n v="2.8"/>
    <n v="1052187.57"/>
    <x v="0"/>
    <n v="1055.25"/>
    <n v="791437.5"/>
    <n v="5529.14"/>
    <n v="2341.86"/>
    <n v="10826.61"/>
    <n v="810135.11"/>
    <n v="260750.07"/>
    <n v="242052.46"/>
    <s v="Unpaid"/>
    <n v="0"/>
    <n v="1052187.57"/>
    <s v="Delivered"/>
    <x v="4"/>
    <x v="2"/>
    <x v="11"/>
    <x v="5"/>
    <n v="0.34"/>
    <n v="242052.46"/>
    <n v="0.23004687272631436"/>
    <n v="0"/>
    <x v="1"/>
    <n v="12"/>
    <s v="December"/>
    <s v="2025-12"/>
  </r>
  <r>
    <s v="FZ00724"/>
    <n v="45953"/>
    <n v="45954"/>
    <x v="3"/>
    <n v="750"/>
    <n v="1068"/>
    <n v="0.73"/>
    <n v="795152.7"/>
    <x v="1"/>
    <n v="776.21"/>
    <n v="582157.5"/>
    <n v="10147.42"/>
    <n v="3702.87"/>
    <n v="7286.21"/>
    <n v="603294"/>
    <n v="212995.20000000001"/>
    <n v="191858.7"/>
    <s v="Part-paid"/>
    <n v="468662.48"/>
    <n v="326490.21999999997"/>
    <s v="Delivered"/>
    <x v="3"/>
    <x v="2"/>
    <x v="4"/>
    <x v="1"/>
    <n v="1.69"/>
    <n v="191858.7"/>
    <n v="0.24128535311519414"/>
    <n v="0"/>
    <x v="1"/>
    <n v="10"/>
    <s v="October"/>
    <s v="2025-10"/>
  </r>
  <r>
    <s v="FZ00725"/>
    <n v="46004"/>
    <n v="46010"/>
    <x v="0"/>
    <n v="150"/>
    <n v="903.77"/>
    <n v="1.46"/>
    <n v="133586.23999999999"/>
    <x v="2"/>
    <n v="748.76"/>
    <n v="112314"/>
    <n v="2224.0100000000002"/>
    <n v="730.99"/>
    <n v="9468.4599999999991"/>
    <n v="124737.46"/>
    <n v="21272.240000000002"/>
    <n v="8848.7800000000007"/>
    <s v="Paid"/>
    <n v="133586.23999999999"/>
    <n v="0"/>
    <s v="Delivered"/>
    <x v="5"/>
    <x v="0"/>
    <x v="32"/>
    <x v="0"/>
    <n v="0.36"/>
    <n v="8848.7800000000007"/>
    <n v="6.6240205578059541E-2"/>
    <n v="0"/>
    <x v="1"/>
    <n v="12"/>
    <s v="December"/>
    <s v="2025-12"/>
  </r>
  <r>
    <s v="FZ00726"/>
    <n v="45699"/>
    <m/>
    <x v="0"/>
    <n v="750"/>
    <n v="812.82"/>
    <n v="1.34"/>
    <n v="601446.16"/>
    <x v="1"/>
    <n v="747.26"/>
    <n v="560445"/>
    <n v="9530.8799999999992"/>
    <n v="1824.68"/>
    <n v="8289.8700000000008"/>
    <n v="580090.43000000005"/>
    <n v="41001.160000000003"/>
    <n v="21355.73"/>
    <s v="Paid"/>
    <n v="601446.16"/>
    <n v="0"/>
    <s v="Pending"/>
    <x v="0"/>
    <x v="1"/>
    <x v="34"/>
    <x v="4"/>
    <n v="0.93"/>
    <n v="21355.73"/>
    <n v="3.5507301268662181E-2"/>
    <n v="0"/>
    <x v="1"/>
    <n v="2"/>
    <s v="February"/>
    <s v="2025-02"/>
  </r>
  <r>
    <s v="FZ00727"/>
    <n v="45530"/>
    <n v="45531"/>
    <x v="2"/>
    <n v="200"/>
    <n v="736.8"/>
    <n v="2.0699999999999998"/>
    <n v="144309.65"/>
    <x v="0"/>
    <n v="560.47"/>
    <n v="112094"/>
    <n v="4219.0200000000004"/>
    <n v="513.80999999999995"/>
    <n v="8591.4599999999991"/>
    <n v="125418.29"/>
    <n v="32215.65"/>
    <n v="18891.36"/>
    <s v="Paid"/>
    <n v="144309.65"/>
    <n v="0"/>
    <s v="Delivered"/>
    <x v="0"/>
    <x v="1"/>
    <x v="10"/>
    <x v="5"/>
    <n v="0.78"/>
    <n v="18891.36"/>
    <n v="0.13090850126793324"/>
    <n v="0"/>
    <x v="0"/>
    <n v="8"/>
    <s v="August"/>
    <s v="2024-08"/>
  </r>
  <r>
    <s v="FZ00728"/>
    <n v="45759"/>
    <n v="45766"/>
    <x v="1"/>
    <n v="50"/>
    <n v="1329.23"/>
    <n v="0.9"/>
    <n v="65863.350000000006"/>
    <x v="2"/>
    <n v="1118.1600000000001"/>
    <n v="55908"/>
    <n v="922.39"/>
    <n v="107.74"/>
    <n v="6480.29"/>
    <n v="63418.42"/>
    <n v="9955.35"/>
    <n v="2444.9299999999998"/>
    <s v="Paid"/>
    <n v="65863.350000000006"/>
    <n v="0"/>
    <s v="Delivered"/>
    <x v="2"/>
    <x v="1"/>
    <x v="33"/>
    <x v="1"/>
    <n v="1.52"/>
    <n v="2444.9299999999998"/>
    <n v="3.7121251803924331E-2"/>
    <n v="0"/>
    <x v="1"/>
    <n v="4"/>
    <s v="April"/>
    <s v="2025-04"/>
  </r>
  <r>
    <s v="FZ00729"/>
    <n v="45896"/>
    <n v="45908"/>
    <x v="1"/>
    <n v="1000"/>
    <n v="1299.1600000000001"/>
    <n v="3.58"/>
    <n v="1252650.07"/>
    <x v="1"/>
    <n v="1097.23"/>
    <n v="1097230"/>
    <n v="5775.39"/>
    <n v="1770.66"/>
    <n v="11276.54"/>
    <n v="1116052.5900000001"/>
    <n v="155420.07"/>
    <n v="136597.48000000001"/>
    <s v="Paid"/>
    <n v="1252650.07"/>
    <n v="0"/>
    <s v="Delivered"/>
    <x v="0"/>
    <x v="2"/>
    <x v="8"/>
    <x v="5"/>
    <n v="2.09"/>
    <n v="136597.48000000001"/>
    <n v="0.1090467986801773"/>
    <n v="0"/>
    <x v="1"/>
    <n v="8"/>
    <s v="August"/>
    <s v="2025-08"/>
  </r>
  <r>
    <s v="FZ00730"/>
    <n v="45555"/>
    <n v="45557"/>
    <x v="0"/>
    <n v="100"/>
    <n v="923.81"/>
    <n v="0"/>
    <n v="92381"/>
    <x v="0"/>
    <n v="744.75"/>
    <n v="74475"/>
    <n v="1584.99"/>
    <n v="445.74"/>
    <n v="9327.43"/>
    <n v="85833.16"/>
    <n v="17906"/>
    <n v="6547.84"/>
    <s v="Paid"/>
    <n v="92381"/>
    <n v="0"/>
    <s v="Delivered"/>
    <x v="3"/>
    <x v="2"/>
    <x v="6"/>
    <x v="2"/>
    <n v="0.85"/>
    <n v="6547.84"/>
    <n v="7.0878643876987696E-2"/>
    <n v="0"/>
    <x v="0"/>
    <n v="9"/>
    <s v="September"/>
    <s v="2024-09"/>
  </r>
  <r>
    <s v="FZ00731"/>
    <n v="45538"/>
    <m/>
    <x v="0"/>
    <n v="50"/>
    <n v="875.46"/>
    <n v="0.37"/>
    <n v="43611.040000000001"/>
    <x v="0"/>
    <n v="672.3"/>
    <n v="33615"/>
    <n v="626.70000000000005"/>
    <n v="88.19"/>
    <n v="10780.85"/>
    <n v="45110.74"/>
    <n v="9996.0400000000009"/>
    <n v="-1499.7"/>
    <s v="Paid"/>
    <n v="43611.040000000001"/>
    <n v="0"/>
    <s v="Pending"/>
    <x v="5"/>
    <x v="0"/>
    <x v="6"/>
    <x v="2"/>
    <n v="1.95"/>
    <n v="-1499.7"/>
    <n v="-3.4388081549992844E-2"/>
    <n v="0"/>
    <x v="0"/>
    <n v="9"/>
    <s v="September"/>
    <s v="2024-09"/>
  </r>
  <r>
    <s v="FZ00732"/>
    <n v="45978"/>
    <m/>
    <x v="1"/>
    <n v="100"/>
    <n v="1407.76"/>
    <n v="1.43"/>
    <n v="138762.9"/>
    <x v="2"/>
    <n v="1095.29"/>
    <n v="109529"/>
    <n v="1695.14"/>
    <n v="446.48"/>
    <n v="6314.26"/>
    <n v="117984.88"/>
    <n v="29233.9"/>
    <n v="20778.02"/>
    <s v="Paid"/>
    <n v="138762.9"/>
    <n v="0"/>
    <s v="Pending"/>
    <x v="2"/>
    <x v="1"/>
    <x v="7"/>
    <x v="5"/>
    <n v="2.29"/>
    <n v="20778.02"/>
    <n v="0.14973757394807979"/>
    <n v="0"/>
    <x v="1"/>
    <n v="11"/>
    <s v="November"/>
    <s v="2025-11"/>
  </r>
  <r>
    <s v="FZ00733"/>
    <n v="45307"/>
    <m/>
    <x v="2"/>
    <n v="250"/>
    <n v="754.17"/>
    <n v="2.0699999999999998"/>
    <n v="0"/>
    <x v="1"/>
    <n v="571.48"/>
    <n v="0"/>
    <n v="0"/>
    <n v="0"/>
    <n v="0"/>
    <n v="0"/>
    <n v="0"/>
    <n v="0"/>
    <s v="Paid"/>
    <n v="0"/>
    <n v="0"/>
    <s v="Cancelled"/>
    <x v="0"/>
    <x v="1"/>
    <x v="0"/>
    <x v="0"/>
    <n v="0.46"/>
    <n v="0"/>
    <e v="#DIV/0!"/>
    <n v="0"/>
    <x v="0"/>
    <n v="1"/>
    <s v="January"/>
    <s v="2024-01"/>
  </r>
  <r>
    <s v="FZ00734"/>
    <n v="45994"/>
    <n v="46003"/>
    <x v="3"/>
    <n v="500"/>
    <n v="1029.46"/>
    <n v="4.63"/>
    <n v="490898"/>
    <x v="2"/>
    <n v="808.93"/>
    <n v="404465"/>
    <n v="9630.0499999999993"/>
    <n v="1919.39"/>
    <n v="7395.04"/>
    <n v="423409.48"/>
    <n v="86433"/>
    <n v="67488.52"/>
    <s v="Paid"/>
    <n v="490898"/>
    <n v="0"/>
    <s v="Delivered"/>
    <x v="2"/>
    <x v="1"/>
    <x v="20"/>
    <x v="2"/>
    <n v="0.28000000000000003"/>
    <n v="67488.52"/>
    <n v="0.13747972083813748"/>
    <n v="0"/>
    <x v="1"/>
    <n v="12"/>
    <s v="December"/>
    <s v="2025-12"/>
  </r>
  <r>
    <s v="FZ00735"/>
    <n v="45451"/>
    <n v="45465"/>
    <x v="0"/>
    <n v="300"/>
    <n v="830.09"/>
    <n v="1.08"/>
    <n v="246337.51"/>
    <x v="1"/>
    <n v="648.62"/>
    <n v="194586"/>
    <n v="4295.74"/>
    <n v="1230.3699999999999"/>
    <n v="4032.64"/>
    <n v="204144.75"/>
    <n v="51751.51"/>
    <n v="42192.76"/>
    <s v="Part-paid"/>
    <n v="148916.75"/>
    <n v="97420.76"/>
    <s v="Delivered"/>
    <x v="1"/>
    <x v="2"/>
    <x v="11"/>
    <x v="5"/>
    <n v="0.8"/>
    <n v="42192.76"/>
    <n v="0.17128028938832743"/>
    <n v="0"/>
    <x v="0"/>
    <n v="6"/>
    <s v="June"/>
    <s v="2024-06"/>
  </r>
  <r>
    <s v="FZ00736"/>
    <n v="45373"/>
    <n v="45387"/>
    <x v="0"/>
    <n v="1000"/>
    <n v="948.57"/>
    <n v="2.59"/>
    <n v="924002.04"/>
    <x v="1"/>
    <n v="652.63"/>
    <n v="652630"/>
    <n v="15813.56"/>
    <n v="1765.62"/>
    <n v="5171.12"/>
    <n v="675380.3"/>
    <n v="271372.03999999998"/>
    <n v="248621.74"/>
    <s v="Paid"/>
    <n v="924002.04"/>
    <n v="0"/>
    <s v="Delivered"/>
    <x v="0"/>
    <x v="1"/>
    <x v="27"/>
    <x v="2"/>
    <n v="0.09"/>
    <n v="248621.74"/>
    <n v="0.26907055313427664"/>
    <n v="0"/>
    <x v="0"/>
    <n v="3"/>
    <s v="March"/>
    <s v="2024-03"/>
  </r>
  <r>
    <s v="FZ00737"/>
    <n v="46009"/>
    <n v="46010"/>
    <x v="3"/>
    <n v="100"/>
    <n v="982.31"/>
    <n v="2.5"/>
    <n v="95775.22"/>
    <x v="2"/>
    <n v="821.84"/>
    <n v="82184"/>
    <n v="2059.29"/>
    <n v="215.79"/>
    <n v="3517.06"/>
    <n v="87976.14"/>
    <n v="13591.22"/>
    <n v="7799.08"/>
    <s v="Part-paid"/>
    <n v="52132.98"/>
    <n v="43642.239999999998"/>
    <s v="Delivered"/>
    <x v="2"/>
    <x v="0"/>
    <x v="11"/>
    <x v="5"/>
    <n v="1.71"/>
    <n v="7799.08"/>
    <n v="8.1431084157259054E-2"/>
    <n v="0"/>
    <x v="1"/>
    <n v="12"/>
    <s v="December"/>
    <s v="2025-12"/>
  </r>
  <r>
    <s v="FZ00738"/>
    <n v="45337"/>
    <n v="45339"/>
    <x v="3"/>
    <n v="500"/>
    <n v="986.88"/>
    <n v="3.09"/>
    <n v="478192.7"/>
    <x v="0"/>
    <n v="720.99"/>
    <n v="360495"/>
    <n v="7627.14"/>
    <n v="1094.22"/>
    <n v="8482.09"/>
    <n v="377698.45"/>
    <n v="117697.7"/>
    <n v="100494.25"/>
    <s v="Paid"/>
    <n v="478192.7"/>
    <n v="0"/>
    <s v="Delivered"/>
    <x v="0"/>
    <x v="2"/>
    <x v="11"/>
    <x v="5"/>
    <n v="1.95"/>
    <n v="100494.25"/>
    <n v="0.21015429553817946"/>
    <n v="0"/>
    <x v="0"/>
    <n v="2"/>
    <s v="February"/>
    <s v="2024-02"/>
  </r>
  <r>
    <s v="FZ00739"/>
    <n v="45870"/>
    <n v="45878"/>
    <x v="0"/>
    <n v="300"/>
    <n v="817.37"/>
    <n v="0.4"/>
    <n v="244230.16"/>
    <x v="2"/>
    <n v="744.61"/>
    <n v="223383"/>
    <n v="6581.08"/>
    <n v="1118.99"/>
    <n v="4380.1400000000003"/>
    <n v="235463.21"/>
    <n v="20847.16"/>
    <n v="8766.9500000000007"/>
    <s v="Paid"/>
    <n v="244230.16"/>
    <n v="0"/>
    <s v="Delivered"/>
    <x v="1"/>
    <x v="1"/>
    <x v="21"/>
    <x v="0"/>
    <n v="0.69"/>
    <n v="8766.9500000000007"/>
    <n v="3.5896262771149968E-2"/>
    <n v="0"/>
    <x v="1"/>
    <n v="8"/>
    <s v="August"/>
    <s v="2025-08"/>
  </r>
  <r>
    <s v="FZ00740"/>
    <n v="45860"/>
    <n v="45873"/>
    <x v="2"/>
    <n v="300"/>
    <n v="723.55"/>
    <n v="1.88"/>
    <n v="212984.18"/>
    <x v="0"/>
    <n v="605.62"/>
    <n v="181686"/>
    <n v="7128.04"/>
    <n v="998.93"/>
    <n v="5828.81"/>
    <n v="195641.78"/>
    <n v="31298.18"/>
    <n v="17342.400000000001"/>
    <s v="Paid"/>
    <n v="212984.18"/>
    <n v="0"/>
    <s v="Collected"/>
    <x v="0"/>
    <x v="1"/>
    <x v="11"/>
    <x v="5"/>
    <n v="0.63"/>
    <n v="17342.400000000001"/>
    <n v="8.1425765988816637E-2"/>
    <n v="0"/>
    <x v="1"/>
    <n v="7"/>
    <s v="July"/>
    <s v="2025-07"/>
  </r>
  <r>
    <s v="FZ00741"/>
    <n v="45295"/>
    <n v="45309"/>
    <x v="0"/>
    <n v="200"/>
    <n v="820.93"/>
    <n v="1.88"/>
    <n v="161099.29999999999"/>
    <x v="2"/>
    <n v="651.71"/>
    <n v="130342"/>
    <n v="4552.67"/>
    <n v="1063.72"/>
    <n v="984.51"/>
    <n v="136942.9"/>
    <n v="30757.3"/>
    <n v="24156.400000000001"/>
    <s v="Paid"/>
    <n v="161099.29999999999"/>
    <n v="0"/>
    <s v="Collected"/>
    <x v="3"/>
    <x v="3"/>
    <x v="13"/>
    <x v="5"/>
    <n v="0.13"/>
    <n v="24156.400000000001"/>
    <n v="0.1499472685480322"/>
    <n v="0"/>
    <x v="0"/>
    <n v="1"/>
    <s v="January"/>
    <s v="2024-01"/>
  </r>
  <r>
    <s v="FZ00742"/>
    <n v="45696"/>
    <n v="45710"/>
    <x v="1"/>
    <n v="150"/>
    <n v="1227.8"/>
    <n v="1.08"/>
    <n v="182180.96"/>
    <x v="2"/>
    <n v="1044.6400000000001"/>
    <n v="156696"/>
    <n v="1791.44"/>
    <n v="580.51"/>
    <n v="4844.46"/>
    <n v="163912.41"/>
    <n v="25484.959999999999"/>
    <n v="18268.55"/>
    <s v="Paid"/>
    <n v="182180.96"/>
    <n v="0"/>
    <s v="Delivered"/>
    <x v="1"/>
    <x v="1"/>
    <x v="25"/>
    <x v="3"/>
    <n v="1.1499999999999999"/>
    <n v="18268.55"/>
    <n v="0.10027694441834098"/>
    <n v="0"/>
    <x v="1"/>
    <n v="2"/>
    <s v="February"/>
    <s v="2025-02"/>
  </r>
  <r>
    <s v="FZ00743"/>
    <n v="45943"/>
    <n v="45945"/>
    <x v="0"/>
    <n v="250"/>
    <n v="852.97"/>
    <n v="2.29"/>
    <n v="208359.25"/>
    <x v="0"/>
    <n v="688.87"/>
    <n v="172217.5"/>
    <n v="3674.52"/>
    <n v="794.17"/>
    <n v="6887.59"/>
    <n v="183573.78"/>
    <n v="36141.75"/>
    <n v="24785.47"/>
    <s v="Paid"/>
    <n v="208359.25"/>
    <n v="0"/>
    <s v="Delivered"/>
    <x v="4"/>
    <x v="1"/>
    <x v="36"/>
    <x v="3"/>
    <n v="2.0499999999999998"/>
    <n v="24785.47"/>
    <n v="0.11895545794103214"/>
    <n v="0"/>
    <x v="1"/>
    <n v="10"/>
    <s v="October"/>
    <s v="2025-10"/>
  </r>
  <r>
    <s v="FZ00744"/>
    <n v="45970"/>
    <n v="45978"/>
    <x v="1"/>
    <n v="100"/>
    <n v="1410.25"/>
    <n v="0.78"/>
    <n v="139925"/>
    <x v="2"/>
    <n v="974.09"/>
    <n v="97409"/>
    <n v="1921.73"/>
    <n v="561.39"/>
    <n v="1666.61"/>
    <n v="101558.73"/>
    <n v="42516"/>
    <n v="38366.269999999997"/>
    <s v="Paid"/>
    <n v="139925"/>
    <n v="0"/>
    <s v="Delivered"/>
    <x v="0"/>
    <x v="0"/>
    <x v="10"/>
    <x v="5"/>
    <n v="1.1499999999999999"/>
    <n v="38366.269999999997"/>
    <n v="0.27419167411113093"/>
    <n v="0"/>
    <x v="1"/>
    <n v="11"/>
    <s v="November"/>
    <s v="2025-11"/>
  </r>
  <r>
    <s v="FZ00745"/>
    <n v="45438"/>
    <n v="45451"/>
    <x v="0"/>
    <n v="150"/>
    <n v="821.29"/>
    <n v="1.1499999999999999"/>
    <n v="121776.77"/>
    <x v="1"/>
    <n v="694.98"/>
    <n v="104247"/>
    <n v="774.62"/>
    <n v="376.77"/>
    <n v="7810.53"/>
    <n v="113208.92"/>
    <n v="17529.77"/>
    <n v="8567.85"/>
    <s v="Paid"/>
    <n v="121776.77"/>
    <n v="0"/>
    <s v="Delivered"/>
    <x v="1"/>
    <x v="1"/>
    <x v="13"/>
    <x v="5"/>
    <n v="1.2"/>
    <n v="8567.85"/>
    <n v="7.0357014724565278E-2"/>
    <n v="0"/>
    <x v="0"/>
    <n v="5"/>
    <s v="May"/>
    <s v="2024-05"/>
  </r>
  <r>
    <s v="FZ00746"/>
    <n v="45562"/>
    <n v="45564"/>
    <x v="0"/>
    <n v="50"/>
    <n v="855.18"/>
    <n v="1.64"/>
    <n v="42057.75"/>
    <x v="1"/>
    <n v="728.38"/>
    <n v="36419"/>
    <n v="488.91"/>
    <n v="271.41000000000003"/>
    <n v="9494.7800000000007"/>
    <n v="46674.1"/>
    <n v="5638.75"/>
    <n v="-4616.3500000000004"/>
    <s v="Paid"/>
    <n v="42057.75"/>
    <n v="0"/>
    <s v="Collected"/>
    <x v="1"/>
    <x v="1"/>
    <x v="18"/>
    <x v="3"/>
    <n v="1.68"/>
    <n v="-4616.3500000000004"/>
    <n v="-0.10976217225124978"/>
    <n v="0"/>
    <x v="0"/>
    <n v="9"/>
    <s v="September"/>
    <s v="2024-09"/>
  </r>
  <r>
    <s v="FZ00747"/>
    <n v="45712"/>
    <m/>
    <x v="2"/>
    <n v="150"/>
    <n v="736.51"/>
    <n v="2.0099999999999998"/>
    <n v="108255.92"/>
    <x v="1"/>
    <n v="569.74"/>
    <n v="85461"/>
    <n v="2574.63"/>
    <n v="474.13"/>
    <n v="4385.6400000000003"/>
    <n v="92895.4"/>
    <n v="22794.92"/>
    <n v="15360.52"/>
    <s v="Paid"/>
    <n v="108255.92"/>
    <n v="0"/>
    <s v="Pending"/>
    <x v="0"/>
    <x v="4"/>
    <x v="33"/>
    <x v="1"/>
    <n v="2.35"/>
    <n v="15360.52"/>
    <n v="0.14189080837334347"/>
    <n v="0"/>
    <x v="1"/>
    <n v="2"/>
    <s v="February"/>
    <s v="2025-02"/>
  </r>
  <r>
    <s v="FZ00748"/>
    <n v="45724"/>
    <n v="45729"/>
    <x v="0"/>
    <n v="750"/>
    <n v="856.57"/>
    <n v="0.4"/>
    <n v="639857.79"/>
    <x v="1"/>
    <n v="730.64"/>
    <n v="547980"/>
    <n v="9351.07"/>
    <n v="2773.44"/>
    <n v="118.18"/>
    <n v="560222.68999999994"/>
    <n v="91877.79"/>
    <n v="79635.100000000006"/>
    <s v="Paid"/>
    <n v="639857.79"/>
    <n v="0"/>
    <s v="Delivered"/>
    <x v="1"/>
    <x v="1"/>
    <x v="6"/>
    <x v="2"/>
    <n v="0.75"/>
    <n v="79635.100000000006"/>
    <n v="0.12445749859511752"/>
    <n v="0"/>
    <x v="1"/>
    <n v="3"/>
    <s v="March"/>
    <s v="2025-03"/>
  </r>
  <r>
    <s v="FZ00749"/>
    <n v="45685"/>
    <n v="45693"/>
    <x v="2"/>
    <n v="200"/>
    <n v="735.45"/>
    <n v="1.53"/>
    <n v="144839.51999999999"/>
    <x v="1"/>
    <n v="598.54999999999995"/>
    <n v="119710"/>
    <n v="4168.42"/>
    <n v="379.97"/>
    <n v="5596.19"/>
    <n v="129854.58"/>
    <n v="25129.52"/>
    <n v="14984.94"/>
    <s v="Paid"/>
    <n v="144839.51999999999"/>
    <n v="0"/>
    <s v="Delivered"/>
    <x v="1"/>
    <x v="1"/>
    <x v="10"/>
    <x v="5"/>
    <n v="2.4500000000000002"/>
    <n v="14984.94"/>
    <n v="0.10345891784231266"/>
    <n v="0"/>
    <x v="1"/>
    <n v="1"/>
    <s v="January"/>
    <s v="2025-01"/>
  </r>
  <r>
    <s v="FZ00750"/>
    <n v="45649"/>
    <n v="45657"/>
    <x v="1"/>
    <n v="200"/>
    <n v="1399.42"/>
    <n v="2.0699999999999998"/>
    <n v="274090.40000000002"/>
    <x v="1"/>
    <n v="1102.0999999999999"/>
    <n v="220420"/>
    <n v="2315.0700000000002"/>
    <n v="771.61"/>
    <n v="7916.96"/>
    <n v="231423.64"/>
    <n v="53670.400000000001"/>
    <n v="42666.76"/>
    <s v="Paid"/>
    <n v="274090.40000000002"/>
    <n v="0"/>
    <s v="Delivered"/>
    <x v="0"/>
    <x v="3"/>
    <x v="18"/>
    <x v="3"/>
    <n v="1.96"/>
    <n v="42666.76"/>
    <n v="0.15566674352695314"/>
    <n v="0"/>
    <x v="0"/>
    <n v="12"/>
    <s v="December"/>
    <s v="2024-12"/>
  </r>
  <r>
    <s v="FZ00751"/>
    <n v="45411"/>
    <n v="45415"/>
    <x v="0"/>
    <n v="100"/>
    <n v="820.36"/>
    <n v="1.94"/>
    <n v="80444.5"/>
    <x v="1"/>
    <n v="718.9"/>
    <n v="71890"/>
    <n v="1173.6199999999999"/>
    <n v="473.39"/>
    <n v="2966.31"/>
    <n v="76503.320000000007"/>
    <n v="8554.5"/>
    <n v="3941.18"/>
    <s v="Unpaid"/>
    <n v="0"/>
    <n v="80444.5"/>
    <s v="Collected"/>
    <x v="4"/>
    <x v="2"/>
    <x v="8"/>
    <x v="5"/>
    <n v="1.61"/>
    <n v="3941.18"/>
    <n v="4.8992535226149707E-2"/>
    <n v="0"/>
    <x v="0"/>
    <n v="4"/>
    <s v="April"/>
    <s v="2024-04"/>
  </r>
  <r>
    <s v="FZ00752"/>
    <n v="45613"/>
    <n v="45623"/>
    <x v="4"/>
    <n v="200"/>
    <n v="3130.82"/>
    <n v="1.39"/>
    <n v="617460.31999999995"/>
    <x v="1"/>
    <n v="2190.59"/>
    <n v="438118"/>
    <n v="4484.59"/>
    <n v="350.11"/>
    <n v="4134.3100000000004"/>
    <n v="447087.01"/>
    <n v="179342.32"/>
    <n v="170373.31"/>
    <s v="Paid"/>
    <n v="617460.31999999995"/>
    <n v="0"/>
    <s v="Delivered"/>
    <x v="0"/>
    <x v="1"/>
    <x v="8"/>
    <x v="5"/>
    <n v="0.52"/>
    <n v="170373.31"/>
    <n v="0.27592592508616587"/>
    <n v="0"/>
    <x v="0"/>
    <n v="11"/>
    <s v="November"/>
    <s v="2024-11"/>
  </r>
  <r>
    <s v="FZ00753"/>
    <n v="45826"/>
    <n v="45838"/>
    <x v="0"/>
    <n v="1000"/>
    <n v="885.27"/>
    <n v="2.65"/>
    <n v="861810.34"/>
    <x v="1"/>
    <n v="708.2"/>
    <n v="708200"/>
    <n v="5276.07"/>
    <n v="5262.31"/>
    <n v="4152.8"/>
    <n v="722891.18"/>
    <n v="153610.34"/>
    <n v="138919.16"/>
    <s v="Paid"/>
    <n v="861810.34"/>
    <n v="0"/>
    <s v="Delivered"/>
    <x v="1"/>
    <x v="1"/>
    <x v="2"/>
    <x v="2"/>
    <n v="1.1599999999999999"/>
    <n v="138919.16"/>
    <n v="0.16119458487815314"/>
    <n v="0"/>
    <x v="1"/>
    <n v="6"/>
    <s v="June"/>
    <s v="2025-06"/>
  </r>
  <r>
    <s v="FZ00754"/>
    <n v="45750"/>
    <n v="45753"/>
    <x v="0"/>
    <n v="500"/>
    <n v="869.67"/>
    <n v="0.1"/>
    <n v="434400.16"/>
    <x v="2"/>
    <n v="686.45"/>
    <n v="343225"/>
    <n v="4477.4399999999996"/>
    <n v="809.48"/>
    <n v="11275.75"/>
    <n v="359787.67"/>
    <n v="91175.16"/>
    <n v="74612.490000000005"/>
    <s v="Paid"/>
    <n v="434400.16"/>
    <n v="0"/>
    <s v="Delivered"/>
    <x v="1"/>
    <x v="1"/>
    <x v="13"/>
    <x v="5"/>
    <n v="1.51"/>
    <n v="74612.490000000005"/>
    <n v="0.1717598124273251"/>
    <n v="0"/>
    <x v="1"/>
    <n v="4"/>
    <s v="April"/>
    <s v="2025-04"/>
  </r>
  <r>
    <s v="FZ00755"/>
    <n v="45907"/>
    <n v="45915"/>
    <x v="1"/>
    <n v="150"/>
    <n v="1274.48"/>
    <n v="1.31"/>
    <n v="188667.65"/>
    <x v="1"/>
    <n v="1024.77"/>
    <n v="153715.5"/>
    <n v="2444.12"/>
    <n v="395.5"/>
    <n v="4197.79"/>
    <n v="160752.91"/>
    <n v="34952.15"/>
    <n v="27914.74"/>
    <s v="Paid"/>
    <n v="188667.65"/>
    <n v="0"/>
    <s v="Delivered"/>
    <x v="3"/>
    <x v="1"/>
    <x v="1"/>
    <x v="1"/>
    <n v="0.88"/>
    <n v="27914.74"/>
    <n v="0.14795721471063006"/>
    <n v="0"/>
    <x v="1"/>
    <n v="9"/>
    <s v="September"/>
    <s v="2025-09"/>
  </r>
  <r>
    <s v="FZ00756"/>
    <n v="45862"/>
    <n v="45875"/>
    <x v="1"/>
    <n v="750"/>
    <n v="1327.4"/>
    <n v="4.46"/>
    <n v="951148.47"/>
    <x v="1"/>
    <n v="999.68"/>
    <n v="749760"/>
    <n v="6875.67"/>
    <n v="4074.44"/>
    <n v="6499.06"/>
    <n v="767209.17"/>
    <n v="201388.47"/>
    <n v="183939.3"/>
    <s v="Paid"/>
    <n v="951148.47"/>
    <n v="0"/>
    <s v="Delivered"/>
    <x v="3"/>
    <x v="0"/>
    <x v="1"/>
    <x v="1"/>
    <n v="1.74"/>
    <n v="183939.3"/>
    <n v="0.19338652776258999"/>
    <n v="0"/>
    <x v="1"/>
    <n v="7"/>
    <s v="July"/>
    <s v="2025-07"/>
  </r>
  <r>
    <s v="FZ00757"/>
    <n v="45980"/>
    <n v="45986"/>
    <x v="0"/>
    <n v="300"/>
    <n v="925.09"/>
    <n v="0.44"/>
    <n v="276305.88"/>
    <x v="1"/>
    <n v="725.6"/>
    <n v="217680"/>
    <n v="4184.0600000000004"/>
    <n v="1321.33"/>
    <n v="5089.53"/>
    <n v="228274.92"/>
    <n v="58625.88"/>
    <n v="48030.96"/>
    <s v="Part-paid"/>
    <n v="205504.64000000001"/>
    <n v="70801.240000000005"/>
    <s v="Collected"/>
    <x v="0"/>
    <x v="2"/>
    <x v="2"/>
    <x v="2"/>
    <n v="1.93"/>
    <n v="48030.96"/>
    <n v="0.17383256556103691"/>
    <n v="0"/>
    <x v="1"/>
    <n v="11"/>
    <s v="November"/>
    <s v="2025-11"/>
  </r>
  <r>
    <s v="FZ00758"/>
    <n v="45918"/>
    <n v="45922"/>
    <x v="1"/>
    <n v="50"/>
    <n v="1219.54"/>
    <n v="1.27"/>
    <n v="60202.59"/>
    <x v="0"/>
    <n v="1055.42"/>
    <n v="52771"/>
    <n v="797.8"/>
    <n v="188.07"/>
    <n v="11289.75"/>
    <n v="65046.62"/>
    <n v="7431.59"/>
    <n v="-4844.03"/>
    <s v="Paid"/>
    <n v="60202.59"/>
    <n v="0"/>
    <s v="Collected"/>
    <x v="2"/>
    <x v="0"/>
    <x v="14"/>
    <x v="1"/>
    <n v="0.88"/>
    <n v="-4844.03"/>
    <n v="-8.0462152874153758E-2"/>
    <n v="0"/>
    <x v="1"/>
    <n v="9"/>
    <s v="September"/>
    <s v="2025-09"/>
  </r>
  <r>
    <s v="FZ00759"/>
    <n v="45957"/>
    <n v="45962"/>
    <x v="0"/>
    <n v="200"/>
    <n v="944.39"/>
    <n v="1.63"/>
    <n v="185799.29"/>
    <x v="3"/>
    <n v="715.1"/>
    <n v="143020"/>
    <n v="1917.14"/>
    <n v="1043.22"/>
    <n v="1706.03"/>
    <n v="147686.39000000001"/>
    <n v="42779.29"/>
    <n v="38112.9"/>
    <s v="Unpaid"/>
    <n v="0"/>
    <n v="185799.29"/>
    <s v="Delivered"/>
    <x v="0"/>
    <x v="3"/>
    <x v="7"/>
    <x v="5"/>
    <n v="2.4700000000000002"/>
    <n v="38112.9"/>
    <n v="0.20512941680240004"/>
    <n v="0"/>
    <x v="1"/>
    <n v="10"/>
    <s v="October"/>
    <s v="2025-10"/>
  </r>
  <r>
    <s v="FZ00760"/>
    <n v="45383"/>
    <m/>
    <x v="0"/>
    <n v="100"/>
    <n v="929.84"/>
    <n v="0.94"/>
    <n v="0"/>
    <x v="1"/>
    <n v="723.07"/>
    <n v="0"/>
    <n v="0"/>
    <n v="0"/>
    <n v="0"/>
    <n v="0"/>
    <n v="0"/>
    <n v="0"/>
    <s v="Part-paid"/>
    <n v="0"/>
    <n v="0"/>
    <s v="Cancelled"/>
    <x v="2"/>
    <x v="2"/>
    <x v="4"/>
    <x v="1"/>
    <n v="2.1800000000000002"/>
    <n v="0"/>
    <e v="#DIV/0!"/>
    <n v="0"/>
    <x v="0"/>
    <n v="4"/>
    <s v="April"/>
    <s v="2024-04"/>
  </r>
  <r>
    <s v="FZ00761"/>
    <n v="46008"/>
    <m/>
    <x v="0"/>
    <n v="250"/>
    <n v="968.29"/>
    <n v="2.2000000000000002"/>
    <n v="236746.9"/>
    <x v="3"/>
    <n v="710.2"/>
    <n v="177550"/>
    <n v="1474.86"/>
    <n v="629.07000000000005"/>
    <n v="158.83000000000001"/>
    <n v="179812.76"/>
    <n v="59196.9"/>
    <n v="56934.14"/>
    <s v="Paid"/>
    <n v="236746.9"/>
    <n v="0"/>
    <s v="Pending"/>
    <x v="0"/>
    <x v="1"/>
    <x v="6"/>
    <x v="2"/>
    <n v="1.7"/>
    <n v="56934.14"/>
    <n v="0.24048526084185262"/>
    <n v="0"/>
    <x v="1"/>
    <n v="12"/>
    <s v="December"/>
    <s v="2025-12"/>
  </r>
  <r>
    <s v="FZ00762"/>
    <n v="45659"/>
    <n v="45665"/>
    <x v="1"/>
    <n v="250"/>
    <n v="1223.7"/>
    <n v="0.51"/>
    <n v="304364.78000000003"/>
    <x v="0"/>
    <n v="1073.71"/>
    <n v="268427.5"/>
    <n v="4662.1099999999997"/>
    <n v="510.13"/>
    <n v="165.91"/>
    <n v="273765.65000000002"/>
    <n v="35937.279999999999"/>
    <n v="30599.13"/>
    <s v="Part-paid"/>
    <n v="87403.72"/>
    <n v="216961.06"/>
    <s v="Delivered"/>
    <x v="1"/>
    <x v="1"/>
    <x v="7"/>
    <x v="5"/>
    <n v="2.2000000000000002"/>
    <n v="30599.13"/>
    <n v="0.10053439823096483"/>
    <n v="0"/>
    <x v="1"/>
    <n v="1"/>
    <s v="January"/>
    <s v="2025-01"/>
  </r>
  <r>
    <s v="FZ00763"/>
    <n v="45789"/>
    <n v="45802"/>
    <x v="1"/>
    <n v="200"/>
    <n v="1202.45"/>
    <n v="1.43"/>
    <n v="237050.99"/>
    <x v="2"/>
    <n v="1035.2"/>
    <n v="207040"/>
    <n v="2565.0100000000002"/>
    <n v="340.32"/>
    <n v="3939.38"/>
    <n v="213884.71"/>
    <n v="30010.99"/>
    <n v="23166.28"/>
    <s v="Unpaid"/>
    <n v="0"/>
    <n v="237050.99"/>
    <s v="Delivered"/>
    <x v="3"/>
    <x v="1"/>
    <x v="5"/>
    <x v="4"/>
    <n v="0.78"/>
    <n v="23166.28"/>
    <n v="9.772699114228546E-2"/>
    <n v="0"/>
    <x v="1"/>
    <n v="5"/>
    <s v="May"/>
    <s v="2025-05"/>
  </r>
  <r>
    <s v="FZ00764"/>
    <n v="46006"/>
    <m/>
    <x v="0"/>
    <n v="500"/>
    <n v="897.47"/>
    <n v="3.42"/>
    <n v="433388.26"/>
    <x v="0"/>
    <n v="652.54"/>
    <n v="326270"/>
    <n v="8034.73"/>
    <n v="1996.24"/>
    <n v="3321.84"/>
    <n v="339622.81"/>
    <n v="107118.26"/>
    <n v="93765.45"/>
    <s v="Paid"/>
    <n v="433388.26"/>
    <n v="0"/>
    <s v="Pending"/>
    <x v="4"/>
    <x v="2"/>
    <x v="11"/>
    <x v="5"/>
    <n v="1.7"/>
    <n v="93765.45"/>
    <n v="0.21635438394201079"/>
    <n v="0"/>
    <x v="1"/>
    <n v="12"/>
    <s v="December"/>
    <s v="2025-12"/>
  </r>
  <r>
    <s v="FZ00765"/>
    <n v="45386"/>
    <n v="45391"/>
    <x v="1"/>
    <n v="150"/>
    <n v="1394.2"/>
    <n v="1.82"/>
    <n v="205323.83"/>
    <x v="1"/>
    <n v="1081.68"/>
    <n v="162252"/>
    <n v="2497.1999999999998"/>
    <n v="758.28"/>
    <n v="3389.86"/>
    <n v="168897.34"/>
    <n v="43071.83"/>
    <n v="36426.49"/>
    <s v="Paid"/>
    <n v="205323.83"/>
    <n v="0"/>
    <s v="Delivered"/>
    <x v="5"/>
    <x v="0"/>
    <x v="10"/>
    <x v="5"/>
    <n v="2.33"/>
    <n v="36426.49"/>
    <n v="0.17740994798314447"/>
    <n v="0"/>
    <x v="0"/>
    <n v="4"/>
    <s v="April"/>
    <s v="2024-04"/>
  </r>
  <r>
    <s v="FZ00766"/>
    <n v="46008"/>
    <n v="46018"/>
    <x v="2"/>
    <n v="300"/>
    <n v="766.88"/>
    <n v="1.62"/>
    <n v="226336.96"/>
    <x v="0"/>
    <n v="551.72"/>
    <n v="165516"/>
    <n v="6587.34"/>
    <n v="1214.55"/>
    <n v="6142.59"/>
    <n v="179460.48000000001"/>
    <n v="60820.959999999999"/>
    <n v="46876.480000000003"/>
    <s v="Paid"/>
    <n v="226336.96"/>
    <n v="0"/>
    <s v="Delivered"/>
    <x v="0"/>
    <x v="1"/>
    <x v="14"/>
    <x v="1"/>
    <n v="1.2"/>
    <n v="46876.480000000003"/>
    <n v="0.2071092586911126"/>
    <n v="0"/>
    <x v="1"/>
    <n v="12"/>
    <s v="December"/>
    <s v="2025-12"/>
  </r>
  <r>
    <s v="FZ00767"/>
    <n v="45729"/>
    <n v="45729"/>
    <x v="1"/>
    <n v="150"/>
    <n v="1374.97"/>
    <n v="1.27"/>
    <n v="203626.18"/>
    <x v="0"/>
    <n v="997.05"/>
    <n v="149557.5"/>
    <n v="3459.45"/>
    <n v="410.19"/>
    <n v="11342.54"/>
    <n v="164769.68"/>
    <n v="54068.68"/>
    <n v="38856.5"/>
    <s v="Paid"/>
    <n v="203626.18"/>
    <n v="0"/>
    <s v="Delivered"/>
    <x v="0"/>
    <x v="0"/>
    <x v="28"/>
    <x v="4"/>
    <n v="2.2000000000000002"/>
    <n v="38856.5"/>
    <n v="0.19082271248225549"/>
    <n v="0"/>
    <x v="1"/>
    <n v="3"/>
    <s v="March"/>
    <s v="2025-03"/>
  </r>
  <r>
    <s v="FZ00768"/>
    <n v="45551"/>
    <m/>
    <x v="3"/>
    <n v="100"/>
    <n v="955.59"/>
    <n v="0.72"/>
    <n v="94870.98"/>
    <x v="1"/>
    <n v="754.05"/>
    <n v="75405"/>
    <n v="2038.27"/>
    <n v="289.44"/>
    <n v="6006.53"/>
    <n v="83739.240000000005"/>
    <n v="19465.98"/>
    <n v="11131.74"/>
    <s v="Part-paid"/>
    <n v="41637.620000000003"/>
    <n v="53233.36"/>
    <s v="Pending"/>
    <x v="0"/>
    <x v="3"/>
    <x v="11"/>
    <x v="5"/>
    <n v="1.71"/>
    <n v="11131.74"/>
    <n v="0.11733556457411951"/>
    <n v="0"/>
    <x v="0"/>
    <n v="9"/>
    <s v="September"/>
    <s v="2024-09"/>
  </r>
  <r>
    <s v="FZ00769"/>
    <n v="45496"/>
    <n v="45500"/>
    <x v="0"/>
    <n v="300"/>
    <n v="831.37"/>
    <n v="0.71"/>
    <n v="247640.18"/>
    <x v="2"/>
    <n v="649.52"/>
    <n v="194856"/>
    <n v="5107.47"/>
    <n v="1496.27"/>
    <n v="1308.02"/>
    <n v="202767.76"/>
    <n v="52784.18"/>
    <n v="44872.42"/>
    <s v="Paid"/>
    <n v="247640.18"/>
    <n v="0"/>
    <s v="Delivered"/>
    <x v="3"/>
    <x v="2"/>
    <x v="26"/>
    <x v="4"/>
    <n v="0.24"/>
    <n v="44872.42"/>
    <n v="0.18120007827485829"/>
    <n v="0"/>
    <x v="0"/>
    <n v="7"/>
    <s v="July"/>
    <s v="2024-07"/>
  </r>
  <r>
    <s v="FZ00770"/>
    <n v="45913"/>
    <n v="45920"/>
    <x v="0"/>
    <n v="250"/>
    <n v="941.43"/>
    <n v="0.18"/>
    <n v="234933.86"/>
    <x v="0"/>
    <n v="701.79"/>
    <n v="175447.5"/>
    <n v="3930.24"/>
    <n v="1397.49"/>
    <n v="5565.18"/>
    <n v="186340.41"/>
    <n v="59486.36"/>
    <n v="48593.45"/>
    <s v="Paid"/>
    <n v="234933.86"/>
    <n v="0"/>
    <s v="Delivered"/>
    <x v="3"/>
    <x v="0"/>
    <x v="13"/>
    <x v="5"/>
    <n v="1.85"/>
    <n v="48593.45"/>
    <n v="0.20683885243276554"/>
    <n v="0"/>
    <x v="1"/>
    <n v="9"/>
    <s v="September"/>
    <s v="2025-09"/>
  </r>
  <r>
    <s v="FZ00771"/>
    <n v="45676"/>
    <n v="45680"/>
    <x v="0"/>
    <n v="100"/>
    <n v="904.84"/>
    <n v="0.95"/>
    <n v="89624.4"/>
    <x v="2"/>
    <n v="729.79"/>
    <n v="72979"/>
    <n v="1283.8499999999999"/>
    <n v="261.51"/>
    <n v="5050.91"/>
    <n v="79575.27"/>
    <n v="16645.400000000001"/>
    <n v="10049.129999999999"/>
    <s v="Paid"/>
    <n v="89624.4"/>
    <n v="0"/>
    <s v="Delivered"/>
    <x v="0"/>
    <x v="3"/>
    <x v="25"/>
    <x v="3"/>
    <n v="1.72"/>
    <n v="10049.129999999999"/>
    <n v="0.11212493472759651"/>
    <n v="0"/>
    <x v="1"/>
    <n v="1"/>
    <s v="January"/>
    <s v="2025-01"/>
  </r>
  <r>
    <s v="FZ00772"/>
    <n v="45432"/>
    <n v="45441"/>
    <x v="0"/>
    <n v="250"/>
    <n v="917.02"/>
    <n v="1.1299999999999999"/>
    <n v="226664.42"/>
    <x v="2"/>
    <n v="693.55"/>
    <n v="173387.5"/>
    <n v="3908.64"/>
    <n v="1319.6"/>
    <n v="9046.75"/>
    <n v="187662.49"/>
    <n v="53276.92"/>
    <n v="39001.93"/>
    <s v="Paid"/>
    <n v="226664.42"/>
    <n v="0"/>
    <s v="Delivered"/>
    <x v="4"/>
    <x v="4"/>
    <x v="7"/>
    <x v="5"/>
    <n v="2.08"/>
    <n v="39001.93"/>
    <n v="0.17206904374316886"/>
    <n v="0"/>
    <x v="0"/>
    <n v="5"/>
    <s v="May"/>
    <s v="2024-05"/>
  </r>
  <r>
    <s v="FZ00773"/>
    <n v="45485"/>
    <m/>
    <x v="0"/>
    <n v="100"/>
    <n v="859.91"/>
    <n v="0.83"/>
    <n v="0"/>
    <x v="3"/>
    <n v="697.15"/>
    <n v="0"/>
    <n v="0"/>
    <n v="0"/>
    <n v="0"/>
    <n v="0"/>
    <n v="0"/>
    <n v="0"/>
    <s v="Part-paid"/>
    <n v="0"/>
    <n v="0"/>
    <s v="Cancelled"/>
    <x v="5"/>
    <x v="1"/>
    <x v="4"/>
    <x v="1"/>
    <n v="1.88"/>
    <n v="0"/>
    <e v="#DIV/0!"/>
    <n v="0"/>
    <x v="0"/>
    <n v="7"/>
    <s v="July"/>
    <s v="2024-07"/>
  </r>
  <r>
    <s v="FZ00774"/>
    <n v="45752"/>
    <n v="45762"/>
    <x v="0"/>
    <n v="300"/>
    <n v="916.99"/>
    <n v="2.37"/>
    <n v="268577.2"/>
    <x v="2"/>
    <n v="654.73"/>
    <n v="196419"/>
    <n v="2318.25"/>
    <n v="651.62"/>
    <n v="1992.59"/>
    <n v="201381.46"/>
    <n v="72158.2"/>
    <n v="67195.740000000005"/>
    <s v="Paid"/>
    <n v="268577.2"/>
    <n v="0"/>
    <s v="Delivered"/>
    <x v="5"/>
    <x v="1"/>
    <x v="23"/>
    <x v="4"/>
    <n v="2.34"/>
    <n v="67195.740000000005"/>
    <n v="0.25019152779908349"/>
    <n v="0"/>
    <x v="1"/>
    <n v="4"/>
    <s v="April"/>
    <s v="2025-04"/>
  </r>
  <r>
    <s v="FZ00775"/>
    <n v="45582"/>
    <n v="45584"/>
    <x v="0"/>
    <n v="500"/>
    <n v="921.14"/>
    <n v="3.12"/>
    <n v="446200.22"/>
    <x v="1"/>
    <n v="690.57"/>
    <n v="345285"/>
    <n v="5071.1099999999997"/>
    <n v="1265.27"/>
    <n v="3882.41"/>
    <n v="355503.79"/>
    <n v="100915.22"/>
    <n v="90696.43"/>
    <s v="Paid"/>
    <n v="446200.22"/>
    <n v="0"/>
    <s v="Delivered"/>
    <x v="1"/>
    <x v="1"/>
    <x v="13"/>
    <x v="5"/>
    <n v="0.96"/>
    <n v="90696.43"/>
    <n v="0.20326397418629691"/>
    <n v="0"/>
    <x v="0"/>
    <n v="10"/>
    <s v="October"/>
    <s v="2024-10"/>
  </r>
  <r>
    <s v="FZ00776"/>
    <n v="45897"/>
    <n v="45901"/>
    <x v="0"/>
    <n v="500"/>
    <n v="830.89"/>
    <n v="1.95"/>
    <n v="407343.82"/>
    <x v="2"/>
    <n v="651.23"/>
    <n v="325615"/>
    <n v="8951.0499999999993"/>
    <n v="1378.77"/>
    <n v="621.82000000000005"/>
    <n v="336566.64"/>
    <n v="81728.820000000007"/>
    <n v="70777.179999999993"/>
    <s v="Paid"/>
    <n v="407343.82"/>
    <n v="0"/>
    <s v="Delivered"/>
    <x v="2"/>
    <x v="0"/>
    <x v="7"/>
    <x v="5"/>
    <n v="0.91"/>
    <n v="70777.179999999993"/>
    <n v="0.17375292449508623"/>
    <n v="0"/>
    <x v="1"/>
    <n v="8"/>
    <s v="August"/>
    <s v="2025-08"/>
  </r>
  <r>
    <s v="FZ00777"/>
    <n v="45455"/>
    <n v="45467"/>
    <x v="3"/>
    <n v="200"/>
    <n v="1007.63"/>
    <n v="2.39"/>
    <n v="196709.53"/>
    <x v="2"/>
    <n v="728.18"/>
    <n v="145636"/>
    <n v="3334.03"/>
    <n v="818.12"/>
    <n v="10223.219999999999"/>
    <n v="160011.37"/>
    <n v="51073.53"/>
    <n v="36698.160000000003"/>
    <s v="Part-paid"/>
    <n v="122386.01"/>
    <n v="74323.520000000004"/>
    <s v="Delivered"/>
    <x v="0"/>
    <x v="3"/>
    <x v="22"/>
    <x v="5"/>
    <n v="1.23"/>
    <n v="36698.160000000003"/>
    <n v="0.18656015293209233"/>
    <n v="0"/>
    <x v="0"/>
    <n v="6"/>
    <s v="June"/>
    <s v="2024-06"/>
  </r>
  <r>
    <s v="FZ00778"/>
    <n v="45719"/>
    <n v="45723"/>
    <x v="0"/>
    <n v="500"/>
    <n v="904.43"/>
    <n v="3.89"/>
    <n v="434623.84"/>
    <x v="1"/>
    <n v="735.29"/>
    <n v="367645"/>
    <n v="9282.9"/>
    <n v="2172.2399999999998"/>
    <n v="11343.75"/>
    <n v="390443.89"/>
    <n v="66978.84"/>
    <n v="44179.95"/>
    <s v="Paid"/>
    <n v="434623.84"/>
    <n v="0"/>
    <s v="Delivered"/>
    <x v="1"/>
    <x v="1"/>
    <x v="30"/>
    <x v="0"/>
    <n v="0.82"/>
    <n v="44179.95"/>
    <n v="0.10165100469408211"/>
    <n v="0"/>
    <x v="1"/>
    <n v="3"/>
    <s v="March"/>
    <s v="2025-03"/>
  </r>
  <r>
    <s v="FZ00779"/>
    <n v="45489"/>
    <m/>
    <x v="0"/>
    <n v="300"/>
    <n v="791.03"/>
    <n v="0.96"/>
    <n v="235030.83"/>
    <x v="1"/>
    <n v="651.4"/>
    <n v="195420"/>
    <n v="4352.59"/>
    <n v="1131.07"/>
    <n v="3943.64"/>
    <n v="204847.3"/>
    <n v="39610.83"/>
    <n v="30183.53"/>
    <s v="Paid"/>
    <n v="235030.83"/>
    <n v="0"/>
    <s v="Pending"/>
    <x v="3"/>
    <x v="4"/>
    <x v="18"/>
    <x v="3"/>
    <n v="0.05"/>
    <n v="30183.53"/>
    <n v="0.12842370509434869"/>
    <n v="0"/>
    <x v="0"/>
    <n v="7"/>
    <s v="July"/>
    <s v="2024-07"/>
  </r>
  <r>
    <s v="FZ00780"/>
    <n v="45516"/>
    <m/>
    <x v="0"/>
    <n v="200"/>
    <n v="871.41"/>
    <n v="2.29"/>
    <n v="170290.94"/>
    <x v="2"/>
    <n v="675.53"/>
    <n v="135106"/>
    <n v="1951.27"/>
    <n v="811.44"/>
    <n v="47.15"/>
    <n v="137915.85999999999"/>
    <n v="35184.94"/>
    <n v="32375.08"/>
    <s v="Paid"/>
    <n v="170290.94"/>
    <n v="0"/>
    <s v="Pending"/>
    <x v="1"/>
    <x v="0"/>
    <x v="27"/>
    <x v="2"/>
    <n v="0.34"/>
    <n v="32375.08"/>
    <n v="0.19011627982087598"/>
    <n v="0"/>
    <x v="0"/>
    <n v="8"/>
    <s v="August"/>
    <s v="2024-08"/>
  </r>
  <r>
    <s v="FZ00781"/>
    <n v="45429"/>
    <n v="45438"/>
    <x v="2"/>
    <n v="250"/>
    <n v="765.34"/>
    <n v="0.06"/>
    <n v="191220.2"/>
    <x v="2"/>
    <n v="547.75"/>
    <n v="136937.5"/>
    <n v="2995.18"/>
    <n v="866.49"/>
    <n v="8835.57"/>
    <n v="149634.74"/>
    <n v="54282.7"/>
    <n v="41585.46"/>
    <s v="Paid"/>
    <n v="191220.2"/>
    <n v="0"/>
    <s v="Delivered"/>
    <x v="5"/>
    <x v="1"/>
    <x v="34"/>
    <x v="4"/>
    <n v="1.89"/>
    <n v="41585.46"/>
    <n v="0.21747419990147482"/>
    <n v="0"/>
    <x v="0"/>
    <n v="5"/>
    <s v="May"/>
    <s v="2024-05"/>
  </r>
  <r>
    <s v="FZ00782"/>
    <n v="45502"/>
    <n v="45507"/>
    <x v="4"/>
    <n v="150"/>
    <n v="2854.13"/>
    <n v="1.93"/>
    <n v="419856.79"/>
    <x v="2"/>
    <n v="2439.31"/>
    <n v="365896.5"/>
    <n v="1030.74"/>
    <n v="592.77"/>
    <n v="180.61"/>
    <n v="367700.62"/>
    <n v="53960.29"/>
    <n v="52156.17"/>
    <s v="Paid"/>
    <n v="419856.79"/>
    <n v="0"/>
    <s v="Delivered"/>
    <x v="3"/>
    <x v="1"/>
    <x v="19"/>
    <x v="4"/>
    <n v="0.56999999999999995"/>
    <n v="52156.17"/>
    <n v="0.12422371447178454"/>
    <n v="0"/>
    <x v="0"/>
    <n v="7"/>
    <s v="July"/>
    <s v="2024-07"/>
  </r>
  <r>
    <s v="FZ00783"/>
    <n v="45700"/>
    <n v="45705"/>
    <x v="2"/>
    <n v="150"/>
    <n v="726.53"/>
    <n v="0.67"/>
    <n v="108249.34"/>
    <x v="0"/>
    <n v="597.28"/>
    <n v="89592"/>
    <n v="2729.26"/>
    <n v="639.48"/>
    <n v="6890.96"/>
    <n v="99851.7"/>
    <n v="18657.34"/>
    <n v="8397.64"/>
    <s v="Paid"/>
    <n v="108249.34"/>
    <n v="0"/>
    <s v="Collected"/>
    <x v="1"/>
    <x v="1"/>
    <x v="17"/>
    <x v="3"/>
    <n v="1.57"/>
    <n v="8397.64"/>
    <n v="7.7576824024977883E-2"/>
    <n v="0"/>
    <x v="1"/>
    <n v="2"/>
    <s v="February"/>
    <s v="2025-02"/>
  </r>
  <r>
    <s v="FZ00784"/>
    <n v="45661"/>
    <n v="45668"/>
    <x v="0"/>
    <n v="500"/>
    <n v="892.77"/>
    <n v="1.98"/>
    <n v="437546.58"/>
    <x v="1"/>
    <n v="660.27"/>
    <n v="330135"/>
    <n v="11702.65"/>
    <n v="2296.8000000000002"/>
    <n v="3323.79"/>
    <n v="347458.24"/>
    <n v="107411.58"/>
    <n v="90088.34"/>
    <s v="Paid"/>
    <n v="437546.58"/>
    <n v="0"/>
    <s v="Delivered"/>
    <x v="1"/>
    <x v="1"/>
    <x v="1"/>
    <x v="1"/>
    <n v="0.97"/>
    <n v="90088.34"/>
    <n v="0.20589428444395563"/>
    <n v="0"/>
    <x v="1"/>
    <n v="1"/>
    <s v="January"/>
    <s v="2025-01"/>
  </r>
  <r>
    <s v="FZ00785"/>
    <n v="45649"/>
    <n v="45662"/>
    <x v="3"/>
    <n v="100"/>
    <n v="941.55"/>
    <n v="1.31"/>
    <n v="92921.57"/>
    <x v="1"/>
    <n v="762.15"/>
    <n v="76215"/>
    <n v="538.79999999999995"/>
    <n v="571.38"/>
    <n v="4163.3999999999996"/>
    <n v="81488.58"/>
    <n v="16706.57"/>
    <n v="11432.99"/>
    <s v="Paid"/>
    <n v="92921.57"/>
    <n v="0"/>
    <s v="Delivered"/>
    <x v="5"/>
    <x v="0"/>
    <x v="16"/>
    <x v="1"/>
    <n v="2.4700000000000002"/>
    <n v="11432.99"/>
    <n v="0.12303913935160586"/>
    <n v="0"/>
    <x v="0"/>
    <n v="12"/>
    <s v="December"/>
    <s v="2024-12"/>
  </r>
  <r>
    <s v="FZ00786"/>
    <n v="45972"/>
    <n v="45983"/>
    <x v="0"/>
    <n v="200"/>
    <n v="848.89"/>
    <n v="0.28999999999999998"/>
    <n v="169285.64"/>
    <x v="3"/>
    <n v="671.18"/>
    <n v="134236"/>
    <n v="1204.96"/>
    <n v="971.9"/>
    <n v="10813.67"/>
    <n v="147226.53"/>
    <n v="35049.64"/>
    <n v="22059.11"/>
    <s v="Paid"/>
    <n v="169285.64"/>
    <n v="0"/>
    <s v="Collected"/>
    <x v="1"/>
    <x v="1"/>
    <x v="30"/>
    <x v="0"/>
    <n v="0.69"/>
    <n v="22059.11"/>
    <n v="0.13030703608410021"/>
    <n v="0"/>
    <x v="1"/>
    <n v="11"/>
    <s v="November"/>
    <s v="2025-11"/>
  </r>
  <r>
    <s v="FZ00787"/>
    <n v="45937"/>
    <m/>
    <x v="0"/>
    <n v="300"/>
    <n v="949.35"/>
    <n v="0.34"/>
    <n v="283836.65999999997"/>
    <x v="2"/>
    <n v="705.69"/>
    <n v="211707"/>
    <n v="7112.07"/>
    <n v="790.05"/>
    <n v="9209.2900000000009"/>
    <n v="228818.41"/>
    <n v="72129.66"/>
    <n v="55018.25"/>
    <s v="Paid"/>
    <n v="283836.65999999997"/>
    <n v="0"/>
    <s v="Pending"/>
    <x v="0"/>
    <x v="1"/>
    <x v="8"/>
    <x v="5"/>
    <n v="1.81"/>
    <n v="55018.25"/>
    <n v="0.1938377163823729"/>
    <n v="0"/>
    <x v="1"/>
    <n v="10"/>
    <s v="October"/>
    <s v="2025-10"/>
  </r>
  <r>
    <s v="FZ00788"/>
    <n v="45586"/>
    <n v="45590"/>
    <x v="0"/>
    <n v="500"/>
    <n v="902.21"/>
    <n v="3.83"/>
    <n v="433827.68"/>
    <x v="2"/>
    <n v="709.2"/>
    <n v="354600"/>
    <n v="5645.14"/>
    <n v="1778.14"/>
    <n v="5357.7"/>
    <n v="367380.98"/>
    <n v="79227.679999999993"/>
    <n v="66446.7"/>
    <s v="Paid"/>
    <n v="433827.68"/>
    <n v="0"/>
    <s v="Collected"/>
    <x v="1"/>
    <x v="4"/>
    <x v="8"/>
    <x v="5"/>
    <n v="2.4300000000000002"/>
    <n v="66446.7"/>
    <n v="0.15316380918801678"/>
    <n v="0"/>
    <x v="0"/>
    <n v="10"/>
    <s v="October"/>
    <s v="2024-10"/>
  </r>
  <r>
    <s v="FZ00789"/>
    <n v="45693"/>
    <n v="45702"/>
    <x v="0"/>
    <n v="200"/>
    <n v="893.63"/>
    <n v="0.31"/>
    <n v="178171.95"/>
    <x v="2"/>
    <n v="684.77"/>
    <n v="136954"/>
    <n v="3867.7"/>
    <n v="529.58000000000004"/>
    <n v="4835.8599999999997"/>
    <n v="146187.14000000001"/>
    <n v="41217.949999999997"/>
    <n v="31984.81"/>
    <s v="Part-paid"/>
    <n v="87667.8"/>
    <n v="90504.15"/>
    <s v="Collected"/>
    <x v="4"/>
    <x v="0"/>
    <x v="6"/>
    <x v="2"/>
    <n v="0.25"/>
    <n v="31984.81"/>
    <n v="0.17951652883632918"/>
    <n v="0"/>
    <x v="1"/>
    <n v="2"/>
    <s v="February"/>
    <s v="2025-02"/>
  </r>
  <r>
    <s v="FZ00790"/>
    <n v="45630"/>
    <n v="45638"/>
    <x v="0"/>
    <n v="150"/>
    <n v="898.08"/>
    <n v="1.17"/>
    <n v="133135.87"/>
    <x v="3"/>
    <n v="680.59"/>
    <n v="102088.5"/>
    <n v="3128.95"/>
    <n v="338.74"/>
    <n v="5713.21"/>
    <n v="111269.4"/>
    <n v="31047.37"/>
    <n v="21866.47"/>
    <s v="Paid"/>
    <n v="133135.87"/>
    <n v="0"/>
    <s v="Delivered"/>
    <x v="0"/>
    <x v="2"/>
    <x v="21"/>
    <x v="0"/>
    <n v="2.23"/>
    <n v="21866.47"/>
    <n v="0.1642417629448773"/>
    <n v="0"/>
    <x v="0"/>
    <n v="12"/>
    <s v="December"/>
    <s v="2024-12"/>
  </r>
  <r>
    <s v="FZ00791"/>
    <n v="45462"/>
    <n v="45467"/>
    <x v="0"/>
    <n v="500"/>
    <n v="843.8"/>
    <n v="3.31"/>
    <n v="407935.11"/>
    <x v="2"/>
    <n v="695.83"/>
    <n v="347915"/>
    <n v="6834.57"/>
    <n v="2941.16"/>
    <n v="2366.67"/>
    <n v="360057.4"/>
    <n v="60020.11"/>
    <n v="47877.71"/>
    <s v="Part-paid"/>
    <n v="111565.91"/>
    <n v="296369.2"/>
    <s v="Delivered"/>
    <x v="5"/>
    <x v="1"/>
    <x v="11"/>
    <x v="5"/>
    <n v="2.09"/>
    <n v="47877.71"/>
    <n v="0.11736599480245767"/>
    <n v="0"/>
    <x v="0"/>
    <n v="6"/>
    <s v="June"/>
    <s v="2024-06"/>
  </r>
  <r>
    <s v="FZ00792"/>
    <n v="45832"/>
    <n v="45839"/>
    <x v="0"/>
    <n v="50"/>
    <n v="811.16"/>
    <n v="1.89"/>
    <n v="39791.449999999997"/>
    <x v="1"/>
    <n v="711.54"/>
    <n v="35577"/>
    <n v="1174.24"/>
    <n v="90.15"/>
    <n v="1647.08"/>
    <n v="38488.47"/>
    <n v="4214.45"/>
    <n v="1302.98"/>
    <s v="Paid"/>
    <n v="39791.449999999997"/>
    <n v="0"/>
    <s v="Delivered"/>
    <x v="3"/>
    <x v="3"/>
    <x v="11"/>
    <x v="5"/>
    <n v="1.43"/>
    <n v="1302.98"/>
    <n v="3.2745225419028461E-2"/>
    <n v="0"/>
    <x v="1"/>
    <n v="6"/>
    <s v="June"/>
    <s v="2025-06"/>
  </r>
  <r>
    <s v="FZ00793"/>
    <n v="45937"/>
    <n v="45946"/>
    <x v="3"/>
    <n v="500"/>
    <n v="1069.3900000000001"/>
    <n v="0.88"/>
    <n v="529989.68000000005"/>
    <x v="1"/>
    <n v="819.49"/>
    <n v="409745"/>
    <n v="8424.4500000000007"/>
    <n v="1252.07"/>
    <n v="5796.84"/>
    <n v="425218.36"/>
    <n v="120244.68"/>
    <n v="104771.32"/>
    <s v="Unpaid"/>
    <n v="0"/>
    <n v="529989.68000000005"/>
    <s v="Delivered"/>
    <x v="2"/>
    <x v="3"/>
    <x v="28"/>
    <x v="4"/>
    <n v="2.36"/>
    <n v="104771.32"/>
    <n v="0.19768558512309145"/>
    <n v="0"/>
    <x v="1"/>
    <n v="10"/>
    <s v="October"/>
    <s v="2025-10"/>
  </r>
  <r>
    <s v="FZ00794"/>
    <n v="45894"/>
    <n v="45898"/>
    <x v="0"/>
    <n v="500"/>
    <n v="812.71"/>
    <n v="3.75"/>
    <n v="391116.69"/>
    <x v="1"/>
    <n v="655.35"/>
    <n v="327675"/>
    <n v="5938.55"/>
    <n v="1372.29"/>
    <n v="4947.9799999999996"/>
    <n v="339933.82"/>
    <n v="63441.69"/>
    <n v="51182.87"/>
    <s v="Paid"/>
    <n v="391116.69"/>
    <n v="0"/>
    <s v="Collected"/>
    <x v="3"/>
    <x v="2"/>
    <x v="4"/>
    <x v="1"/>
    <n v="0.98"/>
    <n v="51182.87"/>
    <n v="0.13086342595096109"/>
    <n v="0"/>
    <x v="1"/>
    <n v="8"/>
    <s v="August"/>
    <s v="2025-08"/>
  </r>
  <r>
    <s v="FZ00795"/>
    <n v="45700"/>
    <n v="45705"/>
    <x v="1"/>
    <n v="250"/>
    <n v="1185.76"/>
    <n v="2.37"/>
    <n v="289414.37"/>
    <x v="0"/>
    <n v="1054.0899999999999"/>
    <n v="263522.5"/>
    <n v="3364.5"/>
    <n v="773.28"/>
    <n v="6835.78"/>
    <n v="274496.06"/>
    <n v="25891.87"/>
    <n v="14918.31"/>
    <s v="Paid"/>
    <n v="289414.37"/>
    <n v="0"/>
    <s v="Delivered"/>
    <x v="3"/>
    <x v="1"/>
    <x v="11"/>
    <x v="5"/>
    <n v="0.64"/>
    <n v="14918.31"/>
    <n v="5.1546542073912918E-2"/>
    <n v="0"/>
    <x v="1"/>
    <n v="2"/>
    <s v="February"/>
    <s v="2025-02"/>
  </r>
  <r>
    <s v="FZ00796"/>
    <n v="45402"/>
    <n v="45406"/>
    <x v="0"/>
    <n v="200"/>
    <n v="908.56"/>
    <n v="0.42"/>
    <n v="180948.81"/>
    <x v="0"/>
    <n v="667.42"/>
    <n v="133484"/>
    <n v="4290.62"/>
    <n v="702.28"/>
    <n v="9294.39"/>
    <n v="147771.29"/>
    <n v="47464.81"/>
    <n v="33177.519999999997"/>
    <s v="Paid"/>
    <n v="180948.81"/>
    <n v="0"/>
    <s v="Collected"/>
    <x v="0"/>
    <x v="0"/>
    <x v="35"/>
    <x v="4"/>
    <n v="0.15"/>
    <n v="33177.519999999997"/>
    <n v="0.1833530709596819"/>
    <n v="0"/>
    <x v="0"/>
    <n v="4"/>
    <s v="April"/>
    <s v="2024-04"/>
  </r>
  <r>
    <s v="FZ00797"/>
    <n v="45520"/>
    <n v="45521"/>
    <x v="4"/>
    <n v="250"/>
    <n v="2908"/>
    <n v="2.48"/>
    <n v="708970.4"/>
    <x v="1"/>
    <n v="2391.61"/>
    <n v="597902.5"/>
    <n v="1779.06"/>
    <n v="1165.08"/>
    <n v="10202.61"/>
    <n v="611049.25"/>
    <n v="111067.9"/>
    <n v="97921.15"/>
    <s v="Unpaid"/>
    <n v="0"/>
    <n v="708970.4"/>
    <s v="Collected"/>
    <x v="2"/>
    <x v="1"/>
    <x v="8"/>
    <x v="5"/>
    <n v="1.57"/>
    <n v="97921.15"/>
    <n v="0.13811740236263742"/>
    <n v="0"/>
    <x v="0"/>
    <n v="8"/>
    <s v="August"/>
    <s v="2024-08"/>
  </r>
  <r>
    <s v="FZ00798"/>
    <n v="45552"/>
    <n v="45564"/>
    <x v="0"/>
    <n v="500"/>
    <n v="943.58"/>
    <n v="4.71"/>
    <n v="449568.69"/>
    <x v="2"/>
    <n v="728.2"/>
    <n v="364100"/>
    <n v="11711.26"/>
    <n v="2109.5700000000002"/>
    <n v="7206.98"/>
    <n v="385127.81"/>
    <n v="85468.69"/>
    <n v="64440.88"/>
    <s v="Unpaid"/>
    <n v="0"/>
    <n v="449568.69"/>
    <s v="Delivered"/>
    <x v="0"/>
    <x v="0"/>
    <x v="21"/>
    <x v="0"/>
    <n v="1.92"/>
    <n v="64440.88"/>
    <n v="0.14333934153644018"/>
    <n v="0"/>
    <x v="0"/>
    <n v="9"/>
    <s v="September"/>
    <s v="2024-09"/>
  </r>
  <r>
    <s v="FZ00799"/>
    <n v="45430"/>
    <n v="45435"/>
    <x v="1"/>
    <n v="300"/>
    <n v="1279.93"/>
    <n v="1.21"/>
    <n v="379332.85"/>
    <x v="1"/>
    <n v="981.33"/>
    <n v="294399"/>
    <n v="5685.96"/>
    <n v="1264.53"/>
    <n v="5447.38"/>
    <n v="306796.87"/>
    <n v="84933.85"/>
    <n v="72535.98"/>
    <s v="Paid"/>
    <n v="379332.85"/>
    <n v="0"/>
    <s v="Collected"/>
    <x v="0"/>
    <x v="1"/>
    <x v="21"/>
    <x v="0"/>
    <n v="2.04"/>
    <n v="72535.98"/>
    <n v="0.19121987457716882"/>
    <n v="0"/>
    <x v="0"/>
    <n v="5"/>
    <s v="May"/>
    <s v="2024-05"/>
  </r>
  <r>
    <s v="FZ00800"/>
    <n v="45311"/>
    <n v="45324"/>
    <x v="0"/>
    <n v="100"/>
    <n v="805.55"/>
    <n v="0.05"/>
    <n v="80514.720000000001"/>
    <x v="0"/>
    <n v="702.09"/>
    <n v="70209"/>
    <n v="1564.99"/>
    <n v="560.91"/>
    <n v="241.06"/>
    <n v="72575.960000000006"/>
    <n v="10305.719999999999"/>
    <n v="7938.76"/>
    <s v="Paid"/>
    <n v="80514.720000000001"/>
    <n v="0"/>
    <s v="Collected"/>
    <x v="2"/>
    <x v="3"/>
    <x v="10"/>
    <x v="5"/>
    <n v="0.17"/>
    <n v="7938.76"/>
    <n v="9.860010691212738E-2"/>
    <n v="0"/>
    <x v="0"/>
    <n v="1"/>
    <s v="January"/>
    <s v="2024-01"/>
  </r>
  <r>
    <s v="FZ00801"/>
    <n v="45866"/>
    <n v="45872"/>
    <x v="1"/>
    <n v="250"/>
    <n v="1258.56"/>
    <n v="1.97"/>
    <n v="308441.59000000003"/>
    <x v="2"/>
    <n v="1083.42"/>
    <n v="270855"/>
    <n v="3851.51"/>
    <n v="1053.29"/>
    <n v="4906.5200000000004"/>
    <n v="280666.32"/>
    <n v="37586.589999999997"/>
    <n v="27775.27"/>
    <s v="Paid"/>
    <n v="308441.59000000003"/>
    <n v="0"/>
    <s v="Delivered"/>
    <x v="1"/>
    <x v="2"/>
    <x v="7"/>
    <x v="5"/>
    <n v="2.5"/>
    <n v="27775.27"/>
    <n v="9.0050339839059954E-2"/>
    <n v="0"/>
    <x v="1"/>
    <n v="7"/>
    <s v="July"/>
    <s v="2025-07"/>
  </r>
  <r>
    <s v="FZ00802"/>
    <n v="45881"/>
    <n v="45888"/>
    <x v="0"/>
    <n v="300"/>
    <n v="818.18"/>
    <n v="1.69"/>
    <n v="241305.83"/>
    <x v="0"/>
    <n v="695.46"/>
    <n v="208638"/>
    <n v="4312.95"/>
    <n v="460.94"/>
    <n v="1004.38"/>
    <n v="214416.27"/>
    <n v="32667.83"/>
    <n v="26889.56"/>
    <s v="Unpaid"/>
    <n v="0"/>
    <n v="241305.83"/>
    <s v="Delivered"/>
    <x v="4"/>
    <x v="1"/>
    <x v="6"/>
    <x v="2"/>
    <n v="0.33"/>
    <n v="26889.56"/>
    <n v="0.11143352814973431"/>
    <n v="0"/>
    <x v="1"/>
    <n v="8"/>
    <s v="August"/>
    <s v="2025-08"/>
  </r>
  <r>
    <s v="FZ00803"/>
    <n v="45538"/>
    <n v="45552"/>
    <x v="1"/>
    <n v="300"/>
    <n v="1329.18"/>
    <n v="0.74"/>
    <n v="395803.22"/>
    <x v="1"/>
    <n v="1071.01"/>
    <n v="321303"/>
    <n v="1693.66"/>
    <n v="1704.35"/>
    <n v="8866.25"/>
    <n v="333567.26"/>
    <n v="74500.22"/>
    <n v="62235.96"/>
    <s v="Paid"/>
    <n v="395803.22"/>
    <n v="0"/>
    <s v="Delivered"/>
    <x v="0"/>
    <x v="1"/>
    <x v="8"/>
    <x v="5"/>
    <n v="2.42"/>
    <n v="62235.96"/>
    <n v="0.15723965055160491"/>
    <n v="0"/>
    <x v="0"/>
    <n v="9"/>
    <s v="September"/>
    <s v="2024-09"/>
  </r>
  <r>
    <s v="FZ00804"/>
    <n v="45607"/>
    <n v="45621"/>
    <x v="0"/>
    <n v="500"/>
    <n v="886.81"/>
    <n v="2.59"/>
    <n v="431920.81"/>
    <x v="0"/>
    <n v="701.91"/>
    <n v="350955"/>
    <n v="5061.75"/>
    <n v="909.29"/>
    <n v="3067.67"/>
    <n v="359993.71"/>
    <n v="80965.81"/>
    <n v="71927.100000000006"/>
    <s v="Paid"/>
    <n v="431920.81"/>
    <n v="0"/>
    <s v="Delivered"/>
    <x v="0"/>
    <x v="1"/>
    <x v="32"/>
    <x v="0"/>
    <n v="0.39"/>
    <n v="71927.100000000006"/>
    <n v="0.16652844302639644"/>
    <n v="0"/>
    <x v="0"/>
    <n v="11"/>
    <s v="November"/>
    <s v="2024-11"/>
  </r>
  <r>
    <s v="FZ00805"/>
    <n v="45869"/>
    <n v="45873"/>
    <x v="1"/>
    <n v="1000"/>
    <n v="1351.9"/>
    <n v="4.29"/>
    <n v="1293903.49"/>
    <x v="3"/>
    <n v="1114.9000000000001"/>
    <n v="1114900"/>
    <n v="12950.82"/>
    <n v="3096.55"/>
    <n v="1202.58"/>
    <n v="1132149.95"/>
    <n v="179003.49"/>
    <n v="161753.54"/>
    <s v="Paid"/>
    <n v="1293903.49"/>
    <n v="0"/>
    <s v="Delivered"/>
    <x v="0"/>
    <x v="1"/>
    <x v="13"/>
    <x v="5"/>
    <n v="0.7"/>
    <n v="161753.54"/>
    <n v="0.12501205943883806"/>
    <n v="0"/>
    <x v="1"/>
    <n v="7"/>
    <s v="July"/>
    <s v="2025-07"/>
  </r>
  <r>
    <s v="FZ00806"/>
    <n v="45644"/>
    <n v="45650"/>
    <x v="0"/>
    <n v="300"/>
    <n v="865.2"/>
    <n v="0.85"/>
    <n v="257353.74"/>
    <x v="1"/>
    <n v="709.01"/>
    <n v="212703"/>
    <n v="6551.87"/>
    <n v="1343"/>
    <n v="2485.5700000000002"/>
    <n v="223083.44"/>
    <n v="44650.74"/>
    <n v="34270.300000000003"/>
    <s v="Paid"/>
    <n v="257353.74"/>
    <n v="0"/>
    <s v="Collected"/>
    <x v="3"/>
    <x v="0"/>
    <x v="30"/>
    <x v="0"/>
    <n v="0.53"/>
    <n v="34270.300000000003"/>
    <n v="0.13316418094409666"/>
    <n v="0"/>
    <x v="0"/>
    <n v="12"/>
    <s v="December"/>
    <s v="2024-12"/>
  </r>
  <r>
    <s v="FZ00807"/>
    <n v="45783"/>
    <n v="45795"/>
    <x v="0"/>
    <n v="200"/>
    <n v="843.94"/>
    <n v="2.0099999999999998"/>
    <n v="165395.35999999999"/>
    <x v="1"/>
    <n v="732.01"/>
    <n v="146402"/>
    <n v="4672.21"/>
    <n v="685.89"/>
    <n v="10996.01"/>
    <n v="162756.10999999999"/>
    <n v="18993.36"/>
    <n v="2639.25"/>
    <s v="Paid"/>
    <n v="165395.35999999999"/>
    <n v="0"/>
    <s v="Delivered"/>
    <x v="5"/>
    <x v="1"/>
    <x v="12"/>
    <x v="2"/>
    <n v="2.15"/>
    <n v="2639.25"/>
    <n v="1.5957219114248432E-2"/>
    <n v="0"/>
    <x v="1"/>
    <n v="5"/>
    <s v="May"/>
    <s v="2025-05"/>
  </r>
  <r>
    <s v="FZ00808"/>
    <n v="45620"/>
    <n v="45628"/>
    <x v="0"/>
    <n v="150"/>
    <n v="903.64"/>
    <n v="1.1599999999999999"/>
    <n v="133973.67000000001"/>
    <x v="1"/>
    <n v="667.9"/>
    <n v="100185"/>
    <n v="3318.2"/>
    <n v="338.75"/>
    <n v="10858.07"/>
    <n v="114700.02"/>
    <n v="33788.67"/>
    <n v="19273.650000000001"/>
    <s v="Paid"/>
    <n v="133973.67000000001"/>
    <n v="0"/>
    <s v="Collected"/>
    <x v="5"/>
    <x v="4"/>
    <x v="4"/>
    <x v="1"/>
    <n v="2.02"/>
    <n v="19273.650000000001"/>
    <n v="0.1438614766617948"/>
    <n v="0"/>
    <x v="0"/>
    <n v="11"/>
    <s v="November"/>
    <s v="2024-11"/>
  </r>
  <r>
    <s v="FZ00809"/>
    <n v="45497"/>
    <n v="45497"/>
    <x v="0"/>
    <n v="200"/>
    <n v="806.36"/>
    <n v="1.48"/>
    <n v="158885.17000000001"/>
    <x v="1"/>
    <n v="683.01"/>
    <n v="136602"/>
    <n v="3078.01"/>
    <n v="726.72"/>
    <n v="727.39"/>
    <n v="141134.12"/>
    <n v="22283.17"/>
    <n v="17751.05"/>
    <s v="Paid"/>
    <n v="158885.17000000001"/>
    <n v="0"/>
    <s v="Delivered"/>
    <x v="4"/>
    <x v="1"/>
    <x v="11"/>
    <x v="5"/>
    <n v="1.1399999999999999"/>
    <n v="17751.05"/>
    <n v="0.11172251003665098"/>
    <n v="0"/>
    <x v="0"/>
    <n v="7"/>
    <s v="July"/>
    <s v="2024-07"/>
  </r>
  <r>
    <s v="FZ00810"/>
    <n v="45486"/>
    <n v="45493"/>
    <x v="3"/>
    <n v="500"/>
    <n v="963.68"/>
    <n v="0.72"/>
    <n v="478370.75"/>
    <x v="2"/>
    <n v="724.44"/>
    <n v="362220"/>
    <n v="3298.35"/>
    <n v="2171.02"/>
    <n v="4616.58"/>
    <n v="372305.95"/>
    <n v="116150.75"/>
    <n v="106064.8"/>
    <s v="Unpaid"/>
    <n v="0"/>
    <n v="478370.75"/>
    <s v="Delivered"/>
    <x v="0"/>
    <x v="1"/>
    <x v="28"/>
    <x v="4"/>
    <n v="0.88"/>
    <n v="106064.8"/>
    <n v="0.22172091416542505"/>
    <n v="0"/>
    <x v="0"/>
    <n v="7"/>
    <s v="July"/>
    <s v="2024-07"/>
  </r>
  <r>
    <s v="FZ00811"/>
    <n v="45562"/>
    <n v="45569"/>
    <x v="1"/>
    <n v="250"/>
    <n v="1331.77"/>
    <n v="0.84"/>
    <n v="330145.78000000003"/>
    <x v="2"/>
    <n v="1055.81"/>
    <n v="263952.5"/>
    <n v="5258.05"/>
    <n v="846.96"/>
    <n v="10625.52"/>
    <n v="280683.03000000003"/>
    <n v="66193.279999999999"/>
    <n v="49462.75"/>
    <s v="Paid"/>
    <n v="330145.78000000003"/>
    <n v="0"/>
    <s v="Collected"/>
    <x v="3"/>
    <x v="3"/>
    <x v="2"/>
    <x v="2"/>
    <n v="2.16"/>
    <n v="49462.75"/>
    <n v="0.14982093667833646"/>
    <n v="0"/>
    <x v="0"/>
    <n v="9"/>
    <s v="September"/>
    <s v="2024-09"/>
  </r>
  <r>
    <s v="FZ00812"/>
    <n v="45975"/>
    <n v="45981"/>
    <x v="0"/>
    <n v="150"/>
    <n v="911.32"/>
    <n v="1.29"/>
    <n v="134934.6"/>
    <x v="3"/>
    <n v="700.06"/>
    <n v="105009"/>
    <n v="2761.74"/>
    <n v="619.39"/>
    <n v="3644.24"/>
    <n v="112034.37"/>
    <n v="29925.599999999999"/>
    <n v="22900.23"/>
    <s v="Paid"/>
    <n v="134934.6"/>
    <n v="0"/>
    <s v="Collected"/>
    <x v="0"/>
    <x v="0"/>
    <x v="13"/>
    <x v="5"/>
    <n v="0.17"/>
    <n v="22900.23"/>
    <n v="0.16971355011983583"/>
    <n v="0"/>
    <x v="1"/>
    <n v="11"/>
    <s v="November"/>
    <s v="2025-11"/>
  </r>
  <r>
    <s v="FZ00813"/>
    <n v="45422"/>
    <n v="45423"/>
    <x v="0"/>
    <n v="500"/>
    <n v="833.2"/>
    <n v="0.69"/>
    <n v="413725.46"/>
    <x v="1"/>
    <n v="741.34"/>
    <n v="370670"/>
    <n v="8963.24"/>
    <n v="2351.0500000000002"/>
    <n v="2877.55"/>
    <n v="384861.84"/>
    <n v="43055.46"/>
    <n v="28863.62"/>
    <s v="Part-paid"/>
    <n v="313907.71999999997"/>
    <n v="99817.74"/>
    <s v="Delivered"/>
    <x v="1"/>
    <x v="0"/>
    <x v="28"/>
    <x v="4"/>
    <n v="0.67"/>
    <n v="28863.62"/>
    <n v="6.9765152959162816E-2"/>
    <n v="0"/>
    <x v="0"/>
    <n v="5"/>
    <s v="May"/>
    <s v="2024-05"/>
  </r>
  <r>
    <s v="FZ00814"/>
    <n v="45599"/>
    <n v="45604"/>
    <x v="3"/>
    <n v="500"/>
    <n v="1053.8399999999999"/>
    <n v="4.4000000000000004"/>
    <n v="503735.52"/>
    <x v="0"/>
    <n v="734.51"/>
    <n v="367255"/>
    <n v="6713.84"/>
    <n v="2194.35"/>
    <n v="6271.37"/>
    <n v="382434.56"/>
    <n v="136480.51999999999"/>
    <n v="121300.96"/>
    <s v="Paid"/>
    <n v="503735.52"/>
    <n v="0"/>
    <s v="Delivered"/>
    <x v="1"/>
    <x v="0"/>
    <x v="15"/>
    <x v="3"/>
    <n v="1.6"/>
    <n v="121300.96"/>
    <n v="0.2408028721103487"/>
    <n v="0"/>
    <x v="0"/>
    <n v="11"/>
    <s v="November"/>
    <s v="2024-11"/>
  </r>
  <r>
    <s v="FZ00815"/>
    <n v="45512"/>
    <n v="45525"/>
    <x v="0"/>
    <n v="200"/>
    <n v="882.41"/>
    <n v="2.2000000000000002"/>
    <n v="172599.4"/>
    <x v="1"/>
    <n v="747.94"/>
    <n v="149588"/>
    <n v="1900.79"/>
    <n v="868.46"/>
    <n v="5700.57"/>
    <n v="158057.82"/>
    <n v="23011.4"/>
    <n v="14541.58"/>
    <s v="Paid"/>
    <n v="172599.4"/>
    <n v="0"/>
    <s v="Delivered"/>
    <x v="0"/>
    <x v="2"/>
    <x v="8"/>
    <x v="5"/>
    <n v="0.16"/>
    <n v="14541.58"/>
    <n v="8.4250466687601472E-2"/>
    <n v="0"/>
    <x v="0"/>
    <n v="8"/>
    <s v="August"/>
    <s v="2024-08"/>
  </r>
  <r>
    <s v="FZ00816"/>
    <n v="45554"/>
    <n v="45567"/>
    <x v="0"/>
    <n v="50"/>
    <n v="955.98"/>
    <n v="0.83"/>
    <n v="47402.27"/>
    <x v="1"/>
    <n v="649.16999999999996"/>
    <n v="32458.5"/>
    <n v="254.72"/>
    <n v="216.64"/>
    <n v="3202.32"/>
    <n v="36132.18"/>
    <n v="14943.77"/>
    <n v="11270.09"/>
    <s v="Paid"/>
    <n v="47402.27"/>
    <n v="0"/>
    <s v="Delivered"/>
    <x v="0"/>
    <x v="2"/>
    <x v="6"/>
    <x v="2"/>
    <n v="1.42"/>
    <n v="11270.09"/>
    <n v="0.23775422569425475"/>
    <n v="0"/>
    <x v="0"/>
    <n v="9"/>
    <s v="September"/>
    <s v="2024-09"/>
  </r>
  <r>
    <s v="FZ00817"/>
    <n v="45891"/>
    <n v="45899"/>
    <x v="3"/>
    <n v="150"/>
    <n v="909.35"/>
    <n v="1.84"/>
    <n v="133892.69"/>
    <x v="1"/>
    <n v="794.18"/>
    <n v="119127"/>
    <n v="2515.21"/>
    <n v="309.70999999999998"/>
    <n v="8807.61"/>
    <n v="130759.53"/>
    <n v="14765.69"/>
    <n v="3133.16"/>
    <s v="Paid"/>
    <n v="133892.69"/>
    <n v="0"/>
    <s v="Delivered"/>
    <x v="1"/>
    <x v="0"/>
    <x v="8"/>
    <x v="5"/>
    <n v="2.34"/>
    <n v="3133.16"/>
    <n v="2.3400530678709942E-2"/>
    <n v="0"/>
    <x v="1"/>
    <n v="8"/>
    <s v="August"/>
    <s v="2025-08"/>
  </r>
  <r>
    <s v="FZ00818"/>
    <n v="45683"/>
    <n v="45683"/>
    <x v="0"/>
    <n v="200"/>
    <n v="901.36"/>
    <n v="1.56"/>
    <n v="177459.76"/>
    <x v="1"/>
    <n v="684.64"/>
    <n v="136928"/>
    <n v="1969.6"/>
    <n v="531.79"/>
    <n v="8911.31"/>
    <n v="148340.70000000001"/>
    <n v="40531.760000000002"/>
    <n v="29119.06"/>
    <s v="Paid"/>
    <n v="177459.76"/>
    <n v="0"/>
    <s v="Delivered"/>
    <x v="5"/>
    <x v="0"/>
    <x v="13"/>
    <x v="5"/>
    <n v="2.14"/>
    <n v="29119.06"/>
    <n v="0.16408824175125675"/>
    <n v="0"/>
    <x v="1"/>
    <n v="1"/>
    <s v="January"/>
    <s v="2025-01"/>
  </r>
  <r>
    <s v="FZ00819"/>
    <n v="45750"/>
    <n v="45760"/>
    <x v="1"/>
    <n v="200"/>
    <n v="1235.4100000000001"/>
    <n v="0.13"/>
    <n v="246760.79"/>
    <x v="2"/>
    <n v="1026.8800000000001"/>
    <n v="205376"/>
    <n v="3196.57"/>
    <n v="1112.23"/>
    <n v="7492.65"/>
    <n v="217177.45"/>
    <n v="41384.79"/>
    <n v="29583.34"/>
    <s v="Paid"/>
    <n v="246760.79"/>
    <n v="0"/>
    <s v="Delivered"/>
    <x v="4"/>
    <x v="3"/>
    <x v="20"/>
    <x v="2"/>
    <n v="2.44"/>
    <n v="29583.34"/>
    <n v="0.11988671295792172"/>
    <n v="0"/>
    <x v="1"/>
    <n v="4"/>
    <s v="April"/>
    <s v="2025-04"/>
  </r>
  <r>
    <s v="FZ00820"/>
    <n v="45732"/>
    <n v="45732"/>
    <x v="0"/>
    <n v="100"/>
    <n v="930.19"/>
    <n v="0.95"/>
    <n v="92135.32"/>
    <x v="2"/>
    <n v="688.5"/>
    <n v="68850"/>
    <n v="1429.99"/>
    <n v="510.13"/>
    <n v="6672.9"/>
    <n v="77463.02"/>
    <n v="23285.32"/>
    <n v="14672.3"/>
    <s v="Part-paid"/>
    <n v="60298.7"/>
    <n v="31836.62"/>
    <s v="Delivered"/>
    <x v="2"/>
    <x v="0"/>
    <x v="11"/>
    <x v="5"/>
    <n v="0.12"/>
    <n v="14672.3"/>
    <n v="0.15924728974729777"/>
    <n v="0"/>
    <x v="1"/>
    <n v="3"/>
    <s v="March"/>
    <s v="2025-03"/>
  </r>
  <r>
    <s v="FZ00821"/>
    <n v="45884"/>
    <n v="45885"/>
    <x v="1"/>
    <n v="300"/>
    <n v="1342.48"/>
    <n v="1.1000000000000001"/>
    <n v="398313.82"/>
    <x v="1"/>
    <n v="1099.54"/>
    <n v="329862"/>
    <n v="7187.49"/>
    <n v="1436.18"/>
    <n v="508.63"/>
    <n v="338994.3"/>
    <n v="68451.820000000007"/>
    <n v="59319.519999999997"/>
    <s v="Paid"/>
    <n v="398313.82"/>
    <n v="0"/>
    <s v="Collected"/>
    <x v="1"/>
    <x v="0"/>
    <x v="8"/>
    <x v="5"/>
    <n v="1.05"/>
    <n v="59319.519999999997"/>
    <n v="0.14892659260479588"/>
    <n v="0"/>
    <x v="1"/>
    <n v="8"/>
    <s v="August"/>
    <s v="2025-08"/>
  </r>
  <r>
    <s v="FZ00822"/>
    <n v="45510"/>
    <m/>
    <x v="1"/>
    <n v="150"/>
    <n v="1292.17"/>
    <n v="0.22"/>
    <n v="193399.08"/>
    <x v="2"/>
    <n v="972.05"/>
    <n v="145807.5"/>
    <n v="2862.42"/>
    <n v="778.14"/>
    <n v="7993.01"/>
    <n v="157441.07"/>
    <n v="47591.58"/>
    <n v="35958.01"/>
    <s v="Paid"/>
    <n v="193399.08"/>
    <n v="0"/>
    <s v="Pending"/>
    <x v="2"/>
    <x v="1"/>
    <x v="6"/>
    <x v="2"/>
    <n v="1.2"/>
    <n v="35958.01"/>
    <n v="0.18592647907115176"/>
    <n v="0"/>
    <x v="0"/>
    <n v="8"/>
    <s v="August"/>
    <s v="2024-08"/>
  </r>
  <r>
    <s v="FZ00823"/>
    <n v="45823"/>
    <n v="45823"/>
    <x v="3"/>
    <n v="300"/>
    <n v="975.87"/>
    <n v="2.5"/>
    <n v="285441.96999999997"/>
    <x v="2"/>
    <n v="787.67"/>
    <n v="236301"/>
    <n v="1698.89"/>
    <n v="1739.4"/>
    <n v="6713.62"/>
    <n v="246452.91"/>
    <n v="49140.97"/>
    <n v="38989.06"/>
    <s v="Paid"/>
    <n v="285441.96999999997"/>
    <n v="0"/>
    <s v="Delivered"/>
    <x v="2"/>
    <x v="1"/>
    <x v="18"/>
    <x v="3"/>
    <n v="2.23"/>
    <n v="38989.06"/>
    <n v="0.13659189641943686"/>
    <n v="0"/>
    <x v="1"/>
    <n v="6"/>
    <s v="June"/>
    <s v="2025-06"/>
  </r>
  <r>
    <s v="FZ00824"/>
    <n v="45334"/>
    <n v="45338"/>
    <x v="4"/>
    <n v="250"/>
    <n v="2711.61"/>
    <n v="1.49"/>
    <n v="667801.75"/>
    <x v="2"/>
    <n v="2349.25"/>
    <n v="587312.5"/>
    <n v="2773.61"/>
    <n v="637.65"/>
    <n v="7928.9"/>
    <n v="598652.66"/>
    <n v="80489.25"/>
    <n v="69149.09"/>
    <s v="Paid"/>
    <n v="667801.75"/>
    <n v="0"/>
    <s v="Delivered"/>
    <x v="0"/>
    <x v="1"/>
    <x v="8"/>
    <x v="5"/>
    <n v="1.72"/>
    <n v="69149.09"/>
    <n v="0.10354733272262313"/>
    <n v="0"/>
    <x v="0"/>
    <n v="2"/>
    <s v="February"/>
    <s v="2024-02"/>
  </r>
  <r>
    <s v="FZ00825"/>
    <n v="45933"/>
    <n v="45943"/>
    <x v="0"/>
    <n v="150"/>
    <n v="928.53"/>
    <n v="0.96"/>
    <n v="137942.42000000001"/>
    <x v="1"/>
    <n v="738.41"/>
    <n v="110761.5"/>
    <n v="935.52"/>
    <n v="311.33999999999997"/>
    <n v="7234.71"/>
    <n v="119243.07"/>
    <n v="27180.92"/>
    <n v="18699.349999999999"/>
    <s v="Paid"/>
    <n v="137942.42000000001"/>
    <n v="0"/>
    <s v="Delivered"/>
    <x v="1"/>
    <x v="1"/>
    <x v="22"/>
    <x v="5"/>
    <n v="1.48"/>
    <n v="18699.349999999999"/>
    <n v="0.13555909777427419"/>
    <n v="0"/>
    <x v="1"/>
    <n v="10"/>
    <s v="October"/>
    <s v="2025-10"/>
  </r>
  <r>
    <s v="FZ00826"/>
    <n v="45779"/>
    <n v="45790"/>
    <x v="3"/>
    <n v="500"/>
    <n v="1017.91"/>
    <n v="0.19"/>
    <n v="507987.99"/>
    <x v="3"/>
    <n v="777.21"/>
    <n v="388605"/>
    <n v="6844.1"/>
    <n v="1381.8"/>
    <n v="4842.47"/>
    <n v="401673.37"/>
    <n v="119382.99"/>
    <n v="106314.62"/>
    <s v="Paid"/>
    <n v="507987.99"/>
    <n v="0"/>
    <s v="Delivered"/>
    <x v="0"/>
    <x v="2"/>
    <x v="7"/>
    <x v="5"/>
    <n v="0.88"/>
    <n v="106314.62"/>
    <n v="0.20928569590788948"/>
    <n v="0"/>
    <x v="1"/>
    <n v="5"/>
    <s v="May"/>
    <s v="2025-05"/>
  </r>
  <r>
    <s v="FZ00827"/>
    <n v="45479"/>
    <n v="45485"/>
    <x v="3"/>
    <n v="150"/>
    <n v="950.66"/>
    <n v="1.19"/>
    <n v="140902.07"/>
    <x v="2"/>
    <n v="742.17"/>
    <n v="111325.5"/>
    <n v="3108.77"/>
    <n v="419.36"/>
    <n v="4427.6000000000004"/>
    <n v="119281.23"/>
    <n v="29576.57"/>
    <n v="21620.84"/>
    <s v="Paid"/>
    <n v="140902.07"/>
    <n v="0"/>
    <s v="Collected"/>
    <x v="0"/>
    <x v="1"/>
    <x v="3"/>
    <x v="3"/>
    <n v="1.1499999999999999"/>
    <n v="21620.84"/>
    <n v="0.15344586491880494"/>
    <n v="0"/>
    <x v="0"/>
    <n v="7"/>
    <s v="July"/>
    <s v="2024-07"/>
  </r>
  <r>
    <s v="FZ00828"/>
    <n v="45979"/>
    <n v="45979"/>
    <x v="1"/>
    <n v="1000"/>
    <n v="1272.5"/>
    <n v="3.51"/>
    <n v="1227835.25"/>
    <x v="3"/>
    <n v="979.52"/>
    <n v="979520"/>
    <n v="18542.28"/>
    <n v="5092.25"/>
    <n v="10290.86"/>
    <n v="1013445.39"/>
    <n v="248315.25"/>
    <n v="214389.86"/>
    <s v="Part-paid"/>
    <n v="865409.9"/>
    <n v="362425.35"/>
    <s v="Delivered"/>
    <x v="3"/>
    <x v="2"/>
    <x v="6"/>
    <x v="2"/>
    <n v="2.12"/>
    <n v="214389.86"/>
    <n v="0.17460800217292996"/>
    <n v="0"/>
    <x v="1"/>
    <n v="11"/>
    <s v="November"/>
    <s v="2025-11"/>
  </r>
  <r>
    <s v="FZ00829"/>
    <n v="45752"/>
    <n v="45754"/>
    <x v="0"/>
    <n v="300"/>
    <n v="940.76"/>
    <n v="1.26"/>
    <n v="278671.93"/>
    <x v="2"/>
    <n v="723.92"/>
    <n v="217176"/>
    <n v="2138.25"/>
    <n v="1329.43"/>
    <n v="1290.02"/>
    <n v="221933.7"/>
    <n v="61495.93"/>
    <n v="56738.23"/>
    <s v="Paid"/>
    <n v="278671.93"/>
    <n v="0"/>
    <s v="Delivered"/>
    <x v="2"/>
    <x v="3"/>
    <x v="16"/>
    <x v="1"/>
    <n v="0.22"/>
    <n v="56738.23"/>
    <n v="0.20360224296720522"/>
    <n v="0"/>
    <x v="1"/>
    <n v="4"/>
    <s v="April"/>
    <s v="2025-04"/>
  </r>
  <r>
    <s v="FZ00830"/>
    <n v="45519"/>
    <n v="45523"/>
    <x v="1"/>
    <n v="50"/>
    <n v="1338.64"/>
    <n v="0.28999999999999998"/>
    <n v="66737.899999999994"/>
    <x v="1"/>
    <n v="1103.72"/>
    <n v="55186"/>
    <n v="631.13"/>
    <n v="215.82"/>
    <n v="8822.43"/>
    <n v="64855.38"/>
    <n v="11551.9"/>
    <n v="1882.52"/>
    <s v="Paid"/>
    <n v="66737.899999999994"/>
    <n v="0"/>
    <s v="Delivered"/>
    <x v="0"/>
    <x v="1"/>
    <x v="1"/>
    <x v="1"/>
    <n v="1.61"/>
    <n v="1882.52"/>
    <n v="2.8207660115166948E-2"/>
    <n v="0"/>
    <x v="0"/>
    <n v="8"/>
    <s v="August"/>
    <s v="2024-08"/>
  </r>
  <r>
    <s v="FZ00831"/>
    <n v="45559"/>
    <n v="45564"/>
    <x v="0"/>
    <n v="1200"/>
    <n v="880.06"/>
    <n v="2.06"/>
    <n v="1034316.92"/>
    <x v="1"/>
    <n v="722.38"/>
    <n v="866856"/>
    <n v="23926.22"/>
    <n v="2138.02"/>
    <n v="1347.56"/>
    <n v="894267.8"/>
    <n v="167460.92000000001"/>
    <n v="140049.12"/>
    <s v="Paid"/>
    <n v="1034316.92"/>
    <n v="0"/>
    <s v="Delivered"/>
    <x v="3"/>
    <x v="2"/>
    <x v="14"/>
    <x v="1"/>
    <n v="1.64"/>
    <n v="140049.12"/>
    <n v="0.13540252246864529"/>
    <n v="0"/>
    <x v="0"/>
    <n v="9"/>
    <s v="September"/>
    <s v="2024-09"/>
  </r>
  <r>
    <s v="FZ00832"/>
    <n v="45707"/>
    <n v="45715"/>
    <x v="0"/>
    <n v="150"/>
    <n v="900.22"/>
    <n v="1.35"/>
    <n v="133210.04999999999"/>
    <x v="0"/>
    <n v="660.66"/>
    <n v="99099"/>
    <n v="2141.11"/>
    <n v="548.88"/>
    <n v="9421.86"/>
    <n v="111210.85"/>
    <n v="34111.050000000003"/>
    <n v="21999.200000000001"/>
    <s v="Paid"/>
    <n v="133210.04999999999"/>
    <n v="0"/>
    <s v="Delivered"/>
    <x v="2"/>
    <x v="0"/>
    <x v="3"/>
    <x v="3"/>
    <n v="2.34"/>
    <n v="21999.200000000001"/>
    <n v="0.16514669876634686"/>
    <n v="0"/>
    <x v="1"/>
    <n v="2"/>
    <s v="February"/>
    <s v="2025-02"/>
  </r>
  <r>
    <s v="FZ00833"/>
    <n v="45964"/>
    <n v="45966"/>
    <x v="0"/>
    <n v="250"/>
    <n v="892.47"/>
    <n v="0.2"/>
    <n v="222671.26"/>
    <x v="1"/>
    <n v="657.88"/>
    <n v="164470"/>
    <n v="2798.66"/>
    <n v="679.46"/>
    <n v="11139.49"/>
    <n v="179087.61"/>
    <n v="58201.26"/>
    <n v="43583.65"/>
    <s v="Paid"/>
    <n v="222671.26"/>
    <n v="0"/>
    <s v="Delivered"/>
    <x v="5"/>
    <x v="2"/>
    <x v="17"/>
    <x v="3"/>
    <n v="0.16"/>
    <n v="43583.65"/>
    <n v="0.19573091740712295"/>
    <n v="0"/>
    <x v="1"/>
    <n v="11"/>
    <s v="November"/>
    <s v="2025-11"/>
  </r>
  <r>
    <s v="FZ00834"/>
    <n v="45531"/>
    <n v="45545"/>
    <x v="3"/>
    <n v="300"/>
    <n v="942.22"/>
    <n v="1.92"/>
    <n v="277238.81"/>
    <x v="1"/>
    <n v="761.87"/>
    <n v="228561"/>
    <n v="5441.42"/>
    <n v="1438.52"/>
    <n v="7150.83"/>
    <n v="242591.77"/>
    <n v="48677.81"/>
    <n v="34647.040000000001"/>
    <s v="Unpaid"/>
    <n v="0"/>
    <n v="277238.81"/>
    <s v="Delivered"/>
    <x v="1"/>
    <x v="2"/>
    <x v="24"/>
    <x v="0"/>
    <n v="0.25"/>
    <n v="34647.040000000001"/>
    <n v="0.12497182483217267"/>
    <n v="0"/>
    <x v="0"/>
    <n v="8"/>
    <s v="August"/>
    <s v="2024-08"/>
  </r>
  <r>
    <s v="FZ00835"/>
    <n v="45550"/>
    <n v="45555"/>
    <x v="2"/>
    <n v="500"/>
    <n v="699.9"/>
    <n v="2.2999999999999998"/>
    <n v="341901.15"/>
    <x v="1"/>
    <n v="550.09"/>
    <n v="275045"/>
    <n v="7757.59"/>
    <n v="2564.65"/>
    <n v="2834.13"/>
    <n v="288201.37"/>
    <n v="66856.149999999994"/>
    <n v="53699.78"/>
    <s v="Paid"/>
    <n v="341901.15"/>
    <n v="0"/>
    <s v="Delivered"/>
    <x v="3"/>
    <x v="3"/>
    <x v="14"/>
    <x v="1"/>
    <n v="0.45"/>
    <n v="53699.78"/>
    <n v="0.15706229709961489"/>
    <n v="0"/>
    <x v="0"/>
    <n v="9"/>
    <s v="September"/>
    <s v="2024-09"/>
  </r>
  <r>
    <s v="FZ00836"/>
    <n v="45831"/>
    <n v="45837"/>
    <x v="3"/>
    <n v="200"/>
    <n v="982.39"/>
    <n v="1.87"/>
    <n v="192803.86"/>
    <x v="1"/>
    <n v="737.43"/>
    <n v="147486"/>
    <n v="1242.5899999999999"/>
    <n v="1013.7"/>
    <n v="4737.3"/>
    <n v="154479.59"/>
    <n v="45317.86"/>
    <n v="38324.269999999997"/>
    <s v="Paid"/>
    <n v="192803.86"/>
    <n v="0"/>
    <s v="Delivered"/>
    <x v="0"/>
    <x v="2"/>
    <x v="10"/>
    <x v="5"/>
    <n v="0.66"/>
    <n v="38324.269999999997"/>
    <n v="0.19877335443387906"/>
    <n v="0"/>
    <x v="1"/>
    <n v="6"/>
    <s v="June"/>
    <s v="2025-06"/>
  </r>
  <r>
    <s v="FZ00837"/>
    <n v="45984"/>
    <n v="45991"/>
    <x v="0"/>
    <n v="300"/>
    <n v="921.35"/>
    <n v="1.24"/>
    <n v="272977.58"/>
    <x v="1"/>
    <n v="654.05999999999995"/>
    <n v="196218"/>
    <n v="3922.15"/>
    <n v="1715.26"/>
    <n v="7205.48"/>
    <n v="209060.89"/>
    <n v="76759.58"/>
    <n v="63916.69"/>
    <s v="Part-paid"/>
    <n v="99927.25"/>
    <n v="173050.33"/>
    <s v="Collected"/>
    <x v="4"/>
    <x v="2"/>
    <x v="24"/>
    <x v="0"/>
    <n v="0.36"/>
    <n v="63916.69"/>
    <n v="0.23414629875464496"/>
    <n v="0"/>
    <x v="1"/>
    <n v="11"/>
    <s v="November"/>
    <s v="2025-11"/>
  </r>
  <r>
    <s v="FZ00838"/>
    <n v="45852"/>
    <n v="45853"/>
    <x v="0"/>
    <n v="1000"/>
    <n v="820.01"/>
    <n v="4.62"/>
    <n v="782125.54"/>
    <x v="2"/>
    <n v="736.44"/>
    <n v="736440"/>
    <n v="16805.02"/>
    <n v="5418.3"/>
    <n v="5952.59"/>
    <n v="764615.91"/>
    <n v="45685.54"/>
    <n v="17509.63"/>
    <s v="Paid"/>
    <n v="782125.54"/>
    <n v="0"/>
    <s v="Delivered"/>
    <x v="0"/>
    <x v="1"/>
    <x v="34"/>
    <x v="4"/>
    <n v="1.56"/>
    <n v="17509.63"/>
    <n v="2.2387237220254947E-2"/>
    <n v="0"/>
    <x v="1"/>
    <n v="7"/>
    <s v="July"/>
    <s v="2025-07"/>
  </r>
  <r>
    <s v="FZ00839"/>
    <n v="45441"/>
    <m/>
    <x v="0"/>
    <n v="750"/>
    <n v="876.08"/>
    <n v="1.2"/>
    <n v="649175.28"/>
    <x v="2"/>
    <n v="667.97"/>
    <n v="500977.5"/>
    <n v="14567.58"/>
    <n v="3221.54"/>
    <n v="5809.17"/>
    <n v="524575.79"/>
    <n v="148197.78"/>
    <n v="124599.49"/>
    <s v="Paid"/>
    <n v="649175.28"/>
    <n v="0"/>
    <s v="Pending"/>
    <x v="1"/>
    <x v="1"/>
    <x v="10"/>
    <x v="5"/>
    <n v="1.95"/>
    <n v="124599.49"/>
    <n v="0.191935050268704"/>
    <n v="0"/>
    <x v="0"/>
    <n v="5"/>
    <s v="May"/>
    <s v="2024-05"/>
  </r>
  <r>
    <s v="FZ00840"/>
    <n v="45321"/>
    <n v="45322"/>
    <x v="0"/>
    <n v="500"/>
    <n v="903.33"/>
    <n v="4.8899999999999997"/>
    <n v="429578.58"/>
    <x v="1"/>
    <n v="729.04"/>
    <n v="364520"/>
    <n v="8201.91"/>
    <n v="1489.48"/>
    <n v="5201.28"/>
    <n v="379412.67"/>
    <n v="65058.58"/>
    <n v="50165.91"/>
    <s v="Part-paid"/>
    <n v="235973.51"/>
    <n v="193605.07"/>
    <s v="Delivered"/>
    <x v="2"/>
    <x v="1"/>
    <x v="17"/>
    <x v="3"/>
    <n v="1.62"/>
    <n v="50165.91"/>
    <n v="0.116779356177396"/>
    <n v="0"/>
    <x v="0"/>
    <n v="1"/>
    <s v="January"/>
    <s v="2024-01"/>
  </r>
  <r>
    <s v="FZ00841"/>
    <n v="45663"/>
    <n v="45664"/>
    <x v="0"/>
    <n v="500"/>
    <n v="894.44"/>
    <n v="0.33"/>
    <n v="445744.17"/>
    <x v="1"/>
    <n v="745.49"/>
    <n v="372745"/>
    <n v="5184.47"/>
    <n v="2523.56"/>
    <n v="1311.83"/>
    <n v="381764.86"/>
    <n v="72999.17"/>
    <n v="63979.31"/>
    <s v="Paid"/>
    <n v="445744.17"/>
    <n v="0"/>
    <s v="Collected"/>
    <x v="1"/>
    <x v="1"/>
    <x v="12"/>
    <x v="2"/>
    <n v="2.46"/>
    <n v="63979.31"/>
    <n v="0.14353370005938609"/>
    <n v="0"/>
    <x v="1"/>
    <n v="1"/>
    <s v="January"/>
    <s v="2025-01"/>
  </r>
  <r>
    <s v="FZ00842"/>
    <n v="45882"/>
    <n v="45882"/>
    <x v="3"/>
    <n v="200"/>
    <n v="1002.98"/>
    <n v="0.39"/>
    <n v="199813.68"/>
    <x v="0"/>
    <n v="760.77"/>
    <n v="152154"/>
    <n v="1108.73"/>
    <n v="1078.81"/>
    <n v="2198.4899999999998"/>
    <n v="156540.03"/>
    <n v="47659.68"/>
    <n v="43273.65"/>
    <s v="Unpaid"/>
    <n v="0"/>
    <n v="199813.68"/>
    <s v="Delivered"/>
    <x v="4"/>
    <x v="1"/>
    <x v="31"/>
    <x v="1"/>
    <n v="0.33"/>
    <n v="43273.65"/>
    <n v="0.2165700066181655"/>
    <n v="0"/>
    <x v="1"/>
    <n v="8"/>
    <s v="August"/>
    <s v="2025-08"/>
  </r>
  <r>
    <s v="FZ00843"/>
    <n v="45658"/>
    <n v="45670"/>
    <x v="2"/>
    <n v="300"/>
    <n v="708.88"/>
    <n v="0.65"/>
    <n v="211281.68"/>
    <x v="0"/>
    <n v="557.11"/>
    <n v="167133"/>
    <n v="1530.28"/>
    <n v="1370.66"/>
    <n v="620.41999999999996"/>
    <n v="170654.36"/>
    <n v="44148.68"/>
    <n v="40627.32"/>
    <s v="Paid"/>
    <n v="211281.68"/>
    <n v="0"/>
    <s v="Delivered"/>
    <x v="0"/>
    <x v="1"/>
    <x v="32"/>
    <x v="0"/>
    <n v="1.85"/>
    <n v="40627.32"/>
    <n v="0.19228983790738507"/>
    <n v="0"/>
    <x v="1"/>
    <n v="1"/>
    <s v="January"/>
    <s v="2025-01"/>
  </r>
  <r>
    <s v="FZ00844"/>
    <n v="45743"/>
    <n v="45749"/>
    <x v="1"/>
    <n v="300"/>
    <n v="1224.5"/>
    <n v="1.04"/>
    <n v="363529.56"/>
    <x v="2"/>
    <n v="1030.53"/>
    <n v="309159"/>
    <n v="4201.66"/>
    <n v="487.18"/>
    <n v="11362.13"/>
    <n v="325209.96999999997"/>
    <n v="54370.559999999998"/>
    <n v="38319.589999999997"/>
    <s v="Paid"/>
    <n v="363529.56"/>
    <n v="0"/>
    <s v="Delivered"/>
    <x v="4"/>
    <x v="2"/>
    <x v="8"/>
    <x v="5"/>
    <n v="1"/>
    <n v="38319.589999999997"/>
    <n v="0.10540983242188062"/>
    <n v="0"/>
    <x v="1"/>
    <n v="3"/>
    <s v="March"/>
    <s v="2025-03"/>
  </r>
  <r>
    <s v="FZ00845"/>
    <n v="45722"/>
    <n v="45728"/>
    <x v="1"/>
    <n v="100"/>
    <n v="1257.03"/>
    <n v="1.71"/>
    <n v="123553.48"/>
    <x v="0"/>
    <n v="1082.94"/>
    <n v="108294"/>
    <n v="504.77"/>
    <n v="582.22"/>
    <n v="4636.21"/>
    <n v="114017.2"/>
    <n v="15259.48"/>
    <n v="9536.2800000000007"/>
    <s v="Paid"/>
    <n v="123553.48"/>
    <n v="0"/>
    <s v="Delivered"/>
    <x v="0"/>
    <x v="1"/>
    <x v="23"/>
    <x v="4"/>
    <n v="2.2799999999999998"/>
    <n v="9536.2800000000007"/>
    <n v="7.7183418872540058E-2"/>
    <n v="0"/>
    <x v="1"/>
    <n v="3"/>
    <s v="March"/>
    <s v="2025-03"/>
  </r>
  <r>
    <s v="FZ00846"/>
    <n v="45318"/>
    <n v="45325"/>
    <x v="0"/>
    <n v="50"/>
    <n v="875.02"/>
    <n v="2.46"/>
    <n v="42674.73"/>
    <x v="1"/>
    <n v="649.6"/>
    <n v="32480"/>
    <n v="388.87"/>
    <n v="230.68"/>
    <n v="3646.67"/>
    <n v="36746.22"/>
    <n v="10194.73"/>
    <n v="5928.51"/>
    <s v="Paid"/>
    <n v="42674.73"/>
    <n v="0"/>
    <s v="Delivered"/>
    <x v="3"/>
    <x v="3"/>
    <x v="27"/>
    <x v="2"/>
    <n v="1.38"/>
    <n v="5928.51"/>
    <n v="0.13892319881109969"/>
    <n v="0"/>
    <x v="0"/>
    <n v="1"/>
    <s v="January"/>
    <s v="2024-01"/>
  </r>
  <r>
    <s v="FZ00847"/>
    <n v="45504"/>
    <n v="45507"/>
    <x v="0"/>
    <n v="200"/>
    <n v="891.53"/>
    <n v="1.05"/>
    <n v="176433.79"/>
    <x v="1"/>
    <n v="717.34"/>
    <n v="143468"/>
    <n v="1141.04"/>
    <n v="360.29"/>
    <n v="8322.98"/>
    <n v="153292.31"/>
    <n v="32965.79"/>
    <n v="23141.48"/>
    <s v="Paid"/>
    <n v="176433.79"/>
    <n v="0"/>
    <s v="Delivered"/>
    <x v="4"/>
    <x v="2"/>
    <x v="24"/>
    <x v="0"/>
    <n v="1.83"/>
    <n v="23141.48"/>
    <n v="0.13116240375497232"/>
    <n v="0"/>
    <x v="0"/>
    <n v="7"/>
    <s v="July"/>
    <s v="2024-07"/>
  </r>
  <r>
    <s v="FZ00848"/>
    <n v="45532"/>
    <n v="45542"/>
    <x v="2"/>
    <n v="50"/>
    <n v="729.08"/>
    <n v="1.61"/>
    <n v="35867.089999999997"/>
    <x v="1"/>
    <n v="593.70000000000005"/>
    <n v="29685"/>
    <n v="478.83"/>
    <n v="230.65"/>
    <n v="9607.5300000000007"/>
    <n v="40002.01"/>
    <n v="6182.09"/>
    <n v="-4134.92"/>
    <s v="Paid"/>
    <n v="35867.089999999997"/>
    <n v="0"/>
    <s v="Delivered"/>
    <x v="0"/>
    <x v="0"/>
    <x v="22"/>
    <x v="5"/>
    <n v="1.74"/>
    <n v="-4134.92"/>
    <n v="-0.11528451290584212"/>
    <n v="0"/>
    <x v="0"/>
    <n v="8"/>
    <s v="August"/>
    <s v="2024-08"/>
  </r>
  <r>
    <s v="FZ00849"/>
    <n v="45725"/>
    <n v="45737"/>
    <x v="1"/>
    <n v="100"/>
    <n v="1216.17"/>
    <n v="0.32"/>
    <n v="121227.83"/>
    <x v="1"/>
    <n v="1112.3800000000001"/>
    <n v="111238"/>
    <n v="824.16"/>
    <n v="595.79"/>
    <n v="2453.44"/>
    <n v="115111.39"/>
    <n v="9989.83"/>
    <n v="6116.44"/>
    <s v="Paid"/>
    <n v="121227.83"/>
    <n v="0"/>
    <s v="Collected"/>
    <x v="0"/>
    <x v="3"/>
    <x v="6"/>
    <x v="2"/>
    <n v="0.54"/>
    <n v="6116.44"/>
    <n v="5.0454091275905867E-2"/>
    <n v="0"/>
    <x v="1"/>
    <n v="3"/>
    <s v="March"/>
    <s v="2025-03"/>
  </r>
  <r>
    <s v="FZ00850"/>
    <n v="45961"/>
    <n v="45965"/>
    <x v="0"/>
    <n v="200"/>
    <n v="933.88"/>
    <n v="0.38"/>
    <n v="186066.25"/>
    <x v="1"/>
    <n v="682.03"/>
    <n v="136406"/>
    <n v="3896.46"/>
    <n v="373.38"/>
    <n v="5671.89"/>
    <n v="146347.73000000001"/>
    <n v="49660.25"/>
    <n v="39718.519999999997"/>
    <s v="Paid"/>
    <n v="186066.25"/>
    <n v="0"/>
    <s v="Delivered"/>
    <x v="2"/>
    <x v="0"/>
    <x v="15"/>
    <x v="3"/>
    <n v="0.34"/>
    <n v="39718.519999999997"/>
    <n v="0.21346439776154996"/>
    <n v="0"/>
    <x v="1"/>
    <n v="10"/>
    <s v="October"/>
    <s v="2025-10"/>
  </r>
  <r>
    <s v="FZ00851"/>
    <n v="45782"/>
    <n v="45794"/>
    <x v="0"/>
    <n v="1000"/>
    <n v="832.45"/>
    <n v="4.96"/>
    <n v="791160.48"/>
    <x v="0"/>
    <n v="699.22"/>
    <n v="699220"/>
    <n v="5387.2"/>
    <n v="2851.89"/>
    <n v="6898.72"/>
    <n v="714357.81"/>
    <n v="91940.479999999996"/>
    <n v="76802.67"/>
    <s v="Paid"/>
    <n v="791160.48"/>
    <n v="0"/>
    <s v="Delivered"/>
    <x v="4"/>
    <x v="1"/>
    <x v="12"/>
    <x v="2"/>
    <n v="0.17"/>
    <n v="76802.67"/>
    <n v="9.7075968708649346E-2"/>
    <n v="0"/>
    <x v="1"/>
    <n v="5"/>
    <s v="May"/>
    <s v="2025-05"/>
  </r>
  <r>
    <s v="FZ00852"/>
    <n v="45898"/>
    <n v="45909"/>
    <x v="0"/>
    <n v="1000"/>
    <n v="824.23"/>
    <n v="2.89"/>
    <n v="800409.75"/>
    <x v="1"/>
    <n v="707.38"/>
    <n v="707380"/>
    <n v="21065.15"/>
    <n v="3968.46"/>
    <n v="2089.8200000000002"/>
    <n v="734503.43"/>
    <n v="93029.75"/>
    <n v="65906.320000000007"/>
    <s v="Paid"/>
    <n v="800409.75"/>
    <n v="0"/>
    <s v="Delivered"/>
    <x v="0"/>
    <x v="0"/>
    <x v="25"/>
    <x v="3"/>
    <n v="1.18"/>
    <n v="65906.320000000007"/>
    <n v="8.2340726109345883E-2"/>
    <n v="0"/>
    <x v="1"/>
    <n v="8"/>
    <s v="August"/>
    <s v="2025-08"/>
  </r>
  <r>
    <s v="FZ00853"/>
    <n v="45418"/>
    <m/>
    <x v="0"/>
    <n v="50"/>
    <n v="895.12"/>
    <n v="1.19"/>
    <n v="44223.4"/>
    <x v="1"/>
    <n v="668.84"/>
    <n v="33442"/>
    <n v="1083.6300000000001"/>
    <n v="109.28"/>
    <n v="144.34"/>
    <n v="34779.25"/>
    <n v="10781.4"/>
    <n v="9444.15"/>
    <s v="Paid"/>
    <n v="44223.4"/>
    <n v="0"/>
    <s v="Pending"/>
    <x v="3"/>
    <x v="3"/>
    <x v="20"/>
    <x v="2"/>
    <n v="0.78"/>
    <n v="9444.15"/>
    <n v="0.21355549324565726"/>
    <n v="0"/>
    <x v="0"/>
    <n v="5"/>
    <s v="May"/>
    <s v="2024-05"/>
  </r>
  <r>
    <s v="FZ00854"/>
    <n v="45897"/>
    <n v="45902"/>
    <x v="1"/>
    <n v="150"/>
    <n v="1252.1500000000001"/>
    <n v="0.82"/>
    <n v="186282.36"/>
    <x v="2"/>
    <n v="981.12"/>
    <n v="147168"/>
    <n v="3230.56"/>
    <n v="284.79000000000002"/>
    <n v="289.77"/>
    <n v="150973.12"/>
    <n v="39114.36"/>
    <n v="35309.24"/>
    <s v="Paid"/>
    <n v="186282.36"/>
    <n v="0"/>
    <s v="Delivered"/>
    <x v="3"/>
    <x v="1"/>
    <x v="7"/>
    <x v="5"/>
    <n v="1.4"/>
    <n v="35309.24"/>
    <n v="0.18954687926435976"/>
    <n v="0"/>
    <x v="1"/>
    <n v="8"/>
    <s v="August"/>
    <s v="2025-08"/>
  </r>
  <r>
    <s v="FZ00855"/>
    <n v="45584"/>
    <n v="45591"/>
    <x v="0"/>
    <n v="500"/>
    <n v="875.02"/>
    <n v="1.73"/>
    <n v="429941.08"/>
    <x v="0"/>
    <n v="709.95"/>
    <n v="354975"/>
    <n v="8967.7800000000007"/>
    <n v="817.63"/>
    <n v="10552.5"/>
    <n v="375312.91"/>
    <n v="74966.080000000002"/>
    <n v="54628.17"/>
    <s v="Paid"/>
    <n v="429941.08"/>
    <n v="0"/>
    <s v="Delivered"/>
    <x v="0"/>
    <x v="1"/>
    <x v="17"/>
    <x v="3"/>
    <n v="1.1200000000000001"/>
    <n v="54628.17"/>
    <n v="0.12705966594306364"/>
    <n v="0"/>
    <x v="0"/>
    <n v="10"/>
    <s v="October"/>
    <s v="2024-10"/>
  </r>
  <r>
    <s v="FZ00856"/>
    <n v="45507"/>
    <n v="45510"/>
    <x v="3"/>
    <n v="100"/>
    <n v="915.99"/>
    <n v="2.37"/>
    <n v="89428.1"/>
    <x v="1"/>
    <n v="743.18"/>
    <n v="74318"/>
    <n v="2360.67"/>
    <n v="285.99"/>
    <n v="10329.02"/>
    <n v="87293.68"/>
    <n v="15110.1"/>
    <n v="2134.42"/>
    <s v="Unpaid"/>
    <n v="0"/>
    <n v="89428.1"/>
    <s v="Collected"/>
    <x v="4"/>
    <x v="1"/>
    <x v="7"/>
    <x v="5"/>
    <n v="0.93"/>
    <n v="2134.42"/>
    <n v="2.3867442112714011E-2"/>
    <n v="0"/>
    <x v="0"/>
    <n v="8"/>
    <s v="August"/>
    <s v="2024-08"/>
  </r>
  <r>
    <s v="FZ00857"/>
    <n v="45536"/>
    <n v="45546"/>
    <x v="0"/>
    <n v="200"/>
    <n v="835.32"/>
    <n v="1.76"/>
    <n v="164123.67000000001"/>
    <x v="2"/>
    <n v="707.91"/>
    <n v="141582"/>
    <n v="2539.31"/>
    <n v="519.88"/>
    <n v="8672.27"/>
    <n v="153313.46"/>
    <n v="22541.67"/>
    <n v="10810.21"/>
    <s v="Unpaid"/>
    <n v="0"/>
    <n v="164123.67000000001"/>
    <s v="Delivered"/>
    <x v="0"/>
    <x v="0"/>
    <x v="35"/>
    <x v="4"/>
    <n v="0.02"/>
    <n v="10810.21"/>
    <n v="6.5866245862038056E-2"/>
    <n v="0"/>
    <x v="0"/>
    <n v="9"/>
    <s v="September"/>
    <s v="2024-09"/>
  </r>
  <r>
    <s v="FZ00858"/>
    <n v="45520"/>
    <m/>
    <x v="0"/>
    <n v="750"/>
    <n v="826.34"/>
    <n v="0.13"/>
    <n v="618949.31999999995"/>
    <x v="2"/>
    <n v="652.26"/>
    <n v="489195"/>
    <n v="10179.42"/>
    <n v="1603.47"/>
    <n v="9305.92"/>
    <n v="510283.81"/>
    <n v="129754.32"/>
    <n v="108665.51"/>
    <s v="Paid"/>
    <n v="618949.31999999995"/>
    <n v="0"/>
    <s v="Pending"/>
    <x v="5"/>
    <x v="0"/>
    <x v="28"/>
    <x v="4"/>
    <n v="0.22"/>
    <n v="108665.51"/>
    <n v="0.17556447109433776"/>
    <n v="0"/>
    <x v="0"/>
    <n v="8"/>
    <s v="August"/>
    <s v="2024-08"/>
  </r>
  <r>
    <s v="FZ00859"/>
    <n v="45608"/>
    <n v="45616"/>
    <x v="0"/>
    <n v="300"/>
    <n v="870.82"/>
    <n v="1.54"/>
    <n v="257222.81"/>
    <x v="2"/>
    <n v="693.9"/>
    <n v="208170"/>
    <n v="6197.6"/>
    <n v="1738.61"/>
    <n v="4021.41"/>
    <n v="220127.62"/>
    <n v="49052.81"/>
    <n v="37095.19"/>
    <s v="Paid"/>
    <n v="257222.81"/>
    <n v="0"/>
    <s v="Delivered"/>
    <x v="5"/>
    <x v="2"/>
    <x v="22"/>
    <x v="5"/>
    <n v="2.48"/>
    <n v="37095.19"/>
    <n v="0.14421423201153896"/>
    <n v="0"/>
    <x v="0"/>
    <n v="11"/>
    <s v="November"/>
    <s v="2024-11"/>
  </r>
  <r>
    <s v="FZ00860"/>
    <n v="45576"/>
    <n v="45580"/>
    <x v="0"/>
    <n v="50"/>
    <n v="944.08"/>
    <n v="2.27"/>
    <n v="46132.47"/>
    <x v="0"/>
    <n v="660.36"/>
    <n v="33018"/>
    <n v="873.69"/>
    <n v="137.9"/>
    <n v="10816.74"/>
    <n v="44846.33"/>
    <n v="13114.47"/>
    <n v="1286.1400000000001"/>
    <s v="Paid"/>
    <n v="46132.47"/>
    <n v="0"/>
    <s v="Delivered"/>
    <x v="0"/>
    <x v="0"/>
    <x v="30"/>
    <x v="0"/>
    <n v="1.42"/>
    <n v="1286.1400000000001"/>
    <n v="2.7879278954714544E-2"/>
    <n v="0"/>
    <x v="0"/>
    <n v="10"/>
    <s v="October"/>
    <s v="2024-10"/>
  </r>
  <r>
    <s v="FZ00861"/>
    <n v="45437"/>
    <n v="45437"/>
    <x v="1"/>
    <n v="300"/>
    <n v="1211.7"/>
    <n v="1.46"/>
    <n v="358202.75"/>
    <x v="2"/>
    <n v="968.36"/>
    <n v="290508"/>
    <n v="2138.9699999999998"/>
    <n v="1314.25"/>
    <n v="7051.36"/>
    <n v="301012.58"/>
    <n v="67694.75"/>
    <n v="57190.17"/>
    <s v="Paid"/>
    <n v="358202.75"/>
    <n v="0"/>
    <s v="Delivered"/>
    <x v="1"/>
    <x v="1"/>
    <x v="0"/>
    <x v="0"/>
    <n v="0.73"/>
    <n v="57190.17"/>
    <n v="0.15965865700361037"/>
    <n v="0"/>
    <x v="0"/>
    <n v="5"/>
    <s v="May"/>
    <s v="2024-05"/>
  </r>
  <r>
    <s v="FZ00862"/>
    <n v="45552"/>
    <m/>
    <x v="0"/>
    <n v="1000"/>
    <n v="868.61"/>
    <n v="3.19"/>
    <n v="840901.34"/>
    <x v="0"/>
    <n v="684.69"/>
    <n v="684690"/>
    <n v="19785.189999999999"/>
    <n v="3795.99"/>
    <n v="9857.01"/>
    <n v="718128.19"/>
    <n v="156211.34"/>
    <n v="122773.15"/>
    <s v="Paid"/>
    <n v="840901.34"/>
    <n v="0"/>
    <s v="Pending"/>
    <x v="0"/>
    <x v="1"/>
    <x v="10"/>
    <x v="5"/>
    <n v="1.55"/>
    <n v="122773.15"/>
    <n v="0.14600184844514577"/>
    <n v="0"/>
    <x v="0"/>
    <n v="9"/>
    <s v="September"/>
    <s v="2024-09"/>
  </r>
  <r>
    <s v="FZ00863"/>
    <n v="45320"/>
    <n v="45321"/>
    <x v="1"/>
    <n v="100"/>
    <n v="1364.76"/>
    <n v="1.1000000000000001"/>
    <n v="134974.76"/>
    <x v="3"/>
    <n v="986.31"/>
    <n v="98631"/>
    <n v="1070.44"/>
    <n v="427.07"/>
    <n v="6690.05"/>
    <n v="106818.56"/>
    <n v="36343.760000000002"/>
    <n v="28156.2"/>
    <s v="Paid"/>
    <n v="134974.76"/>
    <n v="0"/>
    <s v="Delivered"/>
    <x v="5"/>
    <x v="4"/>
    <x v="2"/>
    <x v="2"/>
    <n v="1.31"/>
    <n v="28156.2"/>
    <n v="0.20860344556271113"/>
    <n v="0"/>
    <x v="0"/>
    <n v="1"/>
    <s v="January"/>
    <s v="2024-01"/>
  </r>
  <r>
    <s v="FZ00864"/>
    <n v="45674"/>
    <n v="45685"/>
    <x v="1"/>
    <n v="150"/>
    <n v="1243.25"/>
    <n v="1.59"/>
    <n v="183522.35"/>
    <x v="1"/>
    <n v="991.41"/>
    <n v="148711.5"/>
    <n v="1654.47"/>
    <n v="826.53"/>
    <n v="3956.76"/>
    <n v="155149.26"/>
    <n v="34810.85"/>
    <n v="28373.09"/>
    <s v="Paid"/>
    <n v="183522.35"/>
    <n v="0"/>
    <s v="Collected"/>
    <x v="3"/>
    <x v="1"/>
    <x v="19"/>
    <x v="4"/>
    <n v="0.43"/>
    <n v="28373.09"/>
    <n v="0.15460291348710389"/>
    <n v="0"/>
    <x v="1"/>
    <n v="1"/>
    <s v="January"/>
    <s v="2025-01"/>
  </r>
  <r>
    <s v="FZ00865"/>
    <n v="45801"/>
    <n v="45803"/>
    <x v="0"/>
    <n v="200"/>
    <n v="815.47"/>
    <n v="2.13"/>
    <n v="159620.1"/>
    <x v="2"/>
    <n v="663.02"/>
    <n v="132604"/>
    <n v="3987.98"/>
    <n v="636.16999999999996"/>
    <n v="1436.31"/>
    <n v="138664.46"/>
    <n v="27016.1"/>
    <n v="20955.64"/>
    <s v="Paid"/>
    <n v="159620.1"/>
    <n v="0"/>
    <s v="Delivered"/>
    <x v="5"/>
    <x v="4"/>
    <x v="11"/>
    <x v="5"/>
    <n v="2.13"/>
    <n v="20955.64"/>
    <n v="0.13128446856003723"/>
    <n v="0"/>
    <x v="1"/>
    <n v="5"/>
    <s v="May"/>
    <s v="2025-05"/>
  </r>
  <r>
    <s v="FZ00866"/>
    <n v="45859"/>
    <n v="45859"/>
    <x v="0"/>
    <n v="200"/>
    <n v="869.56"/>
    <n v="1.98"/>
    <n v="170468.54"/>
    <x v="1"/>
    <n v="736.58"/>
    <n v="147316"/>
    <n v="3768.42"/>
    <n v="930.52"/>
    <n v="4945.8100000000004"/>
    <n v="156960.75"/>
    <n v="23152.54"/>
    <n v="13507.79"/>
    <s v="Unpaid"/>
    <n v="0"/>
    <n v="170468.54"/>
    <s v="Collected"/>
    <x v="1"/>
    <x v="1"/>
    <x v="31"/>
    <x v="1"/>
    <n v="2.4900000000000002"/>
    <n v="13507.79"/>
    <n v="7.923919568971495E-2"/>
    <n v="0"/>
    <x v="1"/>
    <n v="7"/>
    <s v="July"/>
    <s v="2025-07"/>
  </r>
  <r>
    <s v="FZ00867"/>
    <n v="45420"/>
    <m/>
    <x v="0"/>
    <n v="300"/>
    <n v="853.61"/>
    <n v="1.52"/>
    <n v="252190.54"/>
    <x v="2"/>
    <n v="751.65"/>
    <n v="225495"/>
    <n v="5384.26"/>
    <n v="1002.91"/>
    <n v="4457.82"/>
    <n v="236339.99"/>
    <n v="26695.54"/>
    <n v="15850.55"/>
    <s v="Unpaid"/>
    <n v="0"/>
    <n v="252190.54"/>
    <s v="Pending"/>
    <x v="1"/>
    <x v="2"/>
    <x v="1"/>
    <x v="1"/>
    <n v="1.41"/>
    <n v="15850.55"/>
    <n v="6.2851485230175558E-2"/>
    <n v="0"/>
    <x v="0"/>
    <n v="5"/>
    <s v="May"/>
    <s v="2024-05"/>
  </r>
  <r>
    <s v="FZ00868"/>
    <n v="45382"/>
    <n v="45385"/>
    <x v="1"/>
    <n v="150"/>
    <n v="1387.35"/>
    <n v="0.53"/>
    <n v="206999.56"/>
    <x v="3"/>
    <n v="1070.0899999999999"/>
    <n v="160513.5"/>
    <n v="2285.96"/>
    <n v="478.21"/>
    <n v="10514.44"/>
    <n v="173792.11"/>
    <n v="46486.06"/>
    <n v="33207.449999999997"/>
    <s v="Paid"/>
    <n v="206999.56"/>
    <n v="0"/>
    <s v="Delivered"/>
    <x v="0"/>
    <x v="0"/>
    <x v="11"/>
    <x v="5"/>
    <n v="1.75"/>
    <n v="33207.449999999997"/>
    <n v="0.16042280476344972"/>
    <n v="0"/>
    <x v="0"/>
    <n v="3"/>
    <s v="March"/>
    <s v="2024-03"/>
  </r>
  <r>
    <s v="FZ00869"/>
    <n v="45435"/>
    <n v="45436"/>
    <x v="1"/>
    <n v="500"/>
    <n v="1217.02"/>
    <n v="2.84"/>
    <n v="591228.31999999995"/>
    <x v="2"/>
    <n v="996.84"/>
    <n v="498420"/>
    <n v="5313.86"/>
    <n v="2092.46"/>
    <n v="10114.48"/>
    <n v="515940.8"/>
    <n v="92808.320000000007"/>
    <n v="75287.520000000004"/>
    <s v="Paid"/>
    <n v="591228.31999999995"/>
    <n v="0"/>
    <s v="Delivered"/>
    <x v="5"/>
    <x v="1"/>
    <x v="7"/>
    <x v="5"/>
    <n v="1.38"/>
    <n v="75287.520000000004"/>
    <n v="0.12734085539068901"/>
    <n v="0"/>
    <x v="0"/>
    <n v="5"/>
    <s v="May"/>
    <s v="2024-05"/>
  </r>
  <r>
    <s v="FZ00870"/>
    <n v="45786"/>
    <n v="45799"/>
    <x v="1"/>
    <n v="300"/>
    <n v="1288.47"/>
    <n v="0.84"/>
    <n v="383294.06"/>
    <x v="0"/>
    <n v="1042.9000000000001"/>
    <n v="312870"/>
    <n v="6745.5"/>
    <n v="1087.57"/>
    <n v="2654.35"/>
    <n v="323357.42"/>
    <n v="70424.06"/>
    <n v="59936.639999999999"/>
    <s v="Part-paid"/>
    <n v="177112.43"/>
    <n v="206181.63"/>
    <s v="Delivered"/>
    <x v="5"/>
    <x v="4"/>
    <x v="27"/>
    <x v="2"/>
    <n v="0.44"/>
    <n v="59936.639999999999"/>
    <n v="0.15637247287369913"/>
    <n v="0"/>
    <x v="1"/>
    <n v="5"/>
    <s v="May"/>
    <s v="2025-05"/>
  </r>
  <r>
    <s v="FZ00871"/>
    <n v="45342"/>
    <n v="45342"/>
    <x v="0"/>
    <n v="150"/>
    <n v="883.79"/>
    <n v="1.1399999999999999"/>
    <n v="131057.22"/>
    <x v="1"/>
    <n v="711.27"/>
    <n v="106690.5"/>
    <n v="2717.07"/>
    <n v="671.15"/>
    <n v="438.86"/>
    <n v="110517.58"/>
    <n v="24366.720000000001"/>
    <n v="20539.64"/>
    <s v="Paid"/>
    <n v="131057.22"/>
    <n v="0"/>
    <s v="Collected"/>
    <x v="1"/>
    <x v="4"/>
    <x v="5"/>
    <x v="4"/>
    <n v="1.65"/>
    <n v="20539.64"/>
    <n v="0.15672268952446877"/>
    <n v="0"/>
    <x v="0"/>
    <n v="2"/>
    <s v="February"/>
    <s v="2024-02"/>
  </r>
  <r>
    <s v="FZ00872"/>
    <n v="45536"/>
    <n v="45542"/>
    <x v="1"/>
    <n v="300"/>
    <n v="1306.51"/>
    <n v="2.17"/>
    <n v="383447.62"/>
    <x v="1"/>
    <n v="1029.01"/>
    <n v="308703"/>
    <n v="6807.63"/>
    <n v="933.96"/>
    <n v="11101.63"/>
    <n v="327546.21999999997"/>
    <n v="74744.62"/>
    <n v="55901.4"/>
    <s v="Paid"/>
    <n v="383447.62"/>
    <n v="0"/>
    <s v="Collected"/>
    <x v="0"/>
    <x v="2"/>
    <x v="7"/>
    <x v="5"/>
    <n v="0.2"/>
    <n v="55901.4"/>
    <n v="0.14578627453731491"/>
    <n v="0"/>
    <x v="0"/>
    <n v="9"/>
    <s v="September"/>
    <s v="2024-09"/>
  </r>
  <r>
    <s v="FZ00873"/>
    <n v="45626"/>
    <n v="45638"/>
    <x v="0"/>
    <n v="500"/>
    <n v="928.42"/>
    <n v="0.08"/>
    <n v="463838.63"/>
    <x v="3"/>
    <n v="697.61"/>
    <n v="348805"/>
    <n v="4872.8900000000003"/>
    <n v="1180.1400000000001"/>
    <n v="8067.68"/>
    <n v="362925.71"/>
    <n v="115033.63"/>
    <n v="100912.92"/>
    <s v="Paid"/>
    <n v="463838.63"/>
    <n v="0"/>
    <s v="Delivered"/>
    <x v="0"/>
    <x v="3"/>
    <x v="5"/>
    <x v="4"/>
    <n v="0.09"/>
    <n v="100912.92"/>
    <n v="0.2175604045743236"/>
    <n v="0"/>
    <x v="0"/>
    <n v="11"/>
    <s v="November"/>
    <s v="2024-11"/>
  </r>
  <r>
    <s v="FZ00874"/>
    <n v="45385"/>
    <n v="45387"/>
    <x v="2"/>
    <n v="300"/>
    <n v="762.43"/>
    <n v="0.7"/>
    <n v="227127.9"/>
    <x v="2"/>
    <n v="591.04"/>
    <n v="177312"/>
    <n v="1935.68"/>
    <n v="1266.73"/>
    <n v="3184.16"/>
    <n v="183698.57"/>
    <n v="49815.9"/>
    <n v="43429.33"/>
    <s v="Unpaid"/>
    <n v="0"/>
    <n v="227127.9"/>
    <s v="Delivered"/>
    <x v="2"/>
    <x v="1"/>
    <x v="10"/>
    <x v="5"/>
    <n v="1.1399999999999999"/>
    <n v="43429.33"/>
    <n v="0.19121089923342752"/>
    <n v="0"/>
    <x v="0"/>
    <n v="4"/>
    <s v="April"/>
    <s v="2024-04"/>
  </r>
  <r>
    <s v="FZ00875"/>
    <n v="45946"/>
    <n v="45947"/>
    <x v="0"/>
    <n v="500"/>
    <n v="895.25"/>
    <n v="2.5099999999999998"/>
    <n v="436389.61"/>
    <x v="1"/>
    <n v="686.98"/>
    <n v="343490"/>
    <n v="6923.39"/>
    <n v="2513.87"/>
    <n v="10732.37"/>
    <n v="363659.63"/>
    <n v="92899.61"/>
    <n v="72729.98"/>
    <s v="Paid"/>
    <n v="436389.61"/>
    <n v="0"/>
    <s v="Delivered"/>
    <x v="0"/>
    <x v="1"/>
    <x v="10"/>
    <x v="5"/>
    <n v="1.05"/>
    <n v="72729.98"/>
    <n v="0.16666295056841524"/>
    <n v="0"/>
    <x v="1"/>
    <n v="10"/>
    <s v="October"/>
    <s v="2025-10"/>
  </r>
  <r>
    <s v="FZ00876"/>
    <n v="45986"/>
    <n v="45994"/>
    <x v="0"/>
    <n v="100"/>
    <n v="919.56"/>
    <n v="0.21"/>
    <n v="91762.89"/>
    <x v="2"/>
    <n v="710.56"/>
    <n v="71056"/>
    <n v="1706.67"/>
    <n v="575.52"/>
    <n v="5127.88"/>
    <n v="78466.070000000007"/>
    <n v="20706.89"/>
    <n v="13296.82"/>
    <s v="Paid"/>
    <n v="91762.89"/>
    <n v="0"/>
    <s v="Collected"/>
    <x v="5"/>
    <x v="1"/>
    <x v="34"/>
    <x v="4"/>
    <n v="1.08"/>
    <n v="13296.82"/>
    <n v="0.14490411101917125"/>
    <n v="0"/>
    <x v="1"/>
    <n v="11"/>
    <s v="November"/>
    <s v="2025-11"/>
  </r>
  <r>
    <s v="FZ00877"/>
    <n v="45418"/>
    <n v="45425"/>
    <x v="1"/>
    <n v="750"/>
    <n v="1317.69"/>
    <n v="0.2"/>
    <n v="986290.96"/>
    <x v="0"/>
    <n v="970.83"/>
    <n v="728122.5"/>
    <n v="8368.93"/>
    <n v="1356.37"/>
    <n v="5457.63"/>
    <n v="743305.43"/>
    <n v="258168.46"/>
    <n v="242985.53"/>
    <s v="Part-paid"/>
    <n v="818909.91"/>
    <n v="167381.04999999999"/>
    <s v="Collected"/>
    <x v="5"/>
    <x v="2"/>
    <x v="3"/>
    <x v="3"/>
    <n v="1.9"/>
    <n v="242985.53"/>
    <n v="0.24636292925162775"/>
    <n v="0"/>
    <x v="0"/>
    <n v="5"/>
    <s v="May"/>
    <s v="2024-05"/>
  </r>
  <r>
    <s v="FZ00878"/>
    <n v="45679"/>
    <m/>
    <x v="1"/>
    <n v="200"/>
    <n v="1319.88"/>
    <n v="1.39"/>
    <n v="0"/>
    <x v="2"/>
    <n v="972.46"/>
    <n v="0"/>
    <n v="0"/>
    <n v="0"/>
    <n v="0"/>
    <n v="0"/>
    <n v="0"/>
    <n v="0"/>
    <s v="Unpaid"/>
    <n v="0"/>
    <n v="0"/>
    <s v="Cancelled"/>
    <x v="4"/>
    <x v="1"/>
    <x v="6"/>
    <x v="2"/>
    <n v="1.63"/>
    <n v="0"/>
    <e v="#DIV/0!"/>
    <n v="0"/>
    <x v="1"/>
    <n v="1"/>
    <s v="January"/>
    <s v="2025-01"/>
  </r>
  <r>
    <s v="FZ00879"/>
    <n v="45886"/>
    <n v="45899"/>
    <x v="0"/>
    <n v="500"/>
    <n v="912.46"/>
    <n v="2.98"/>
    <n v="442634.35"/>
    <x v="2"/>
    <n v="717.25"/>
    <n v="358625"/>
    <n v="3539.75"/>
    <n v="2613.37"/>
    <n v="6609.66"/>
    <n v="371387.78"/>
    <n v="84009.35"/>
    <n v="71246.570000000007"/>
    <s v="Paid"/>
    <n v="442634.35"/>
    <n v="0"/>
    <s v="Collected"/>
    <x v="1"/>
    <x v="2"/>
    <x v="8"/>
    <x v="5"/>
    <n v="0.27"/>
    <n v="71246.570000000007"/>
    <n v="0.16096032763837695"/>
    <n v="0"/>
    <x v="1"/>
    <n v="8"/>
    <s v="August"/>
    <s v="2025-08"/>
  </r>
  <r>
    <s v="FZ00880"/>
    <n v="45298"/>
    <n v="45303"/>
    <x v="1"/>
    <n v="200"/>
    <n v="1296.69"/>
    <n v="2.4300000000000002"/>
    <n v="253036.09"/>
    <x v="1"/>
    <n v="1071.76"/>
    <n v="214352"/>
    <n v="2888.53"/>
    <n v="850.92"/>
    <n v="6200.44"/>
    <n v="224291.89"/>
    <n v="38684.089999999997"/>
    <n v="28744.2"/>
    <s v="Paid"/>
    <n v="253036.09"/>
    <n v="0"/>
    <s v="Collected"/>
    <x v="0"/>
    <x v="4"/>
    <x v="8"/>
    <x v="5"/>
    <n v="1.64"/>
    <n v="28744.2"/>
    <n v="0.11359723429175657"/>
    <n v="0"/>
    <x v="0"/>
    <n v="1"/>
    <s v="January"/>
    <s v="2024-01"/>
  </r>
  <r>
    <s v="FZ00881"/>
    <n v="45946"/>
    <n v="45953"/>
    <x v="0"/>
    <n v="300"/>
    <n v="905.49"/>
    <n v="2.21"/>
    <n v="265643.59999999998"/>
    <x v="1"/>
    <n v="729.66"/>
    <n v="218898"/>
    <n v="5627.19"/>
    <n v="1698.62"/>
    <n v="4683.43"/>
    <n v="230907.24"/>
    <n v="46745.599999999999"/>
    <n v="34736.36"/>
    <s v="Paid"/>
    <n v="265643.59999999998"/>
    <n v="0"/>
    <s v="Delivered"/>
    <x v="5"/>
    <x v="4"/>
    <x v="33"/>
    <x v="1"/>
    <n v="1.44"/>
    <n v="34736.36"/>
    <n v="0.13076302233518897"/>
    <n v="0"/>
    <x v="1"/>
    <n v="10"/>
    <s v="October"/>
    <s v="2025-10"/>
  </r>
  <r>
    <s v="FZ00882"/>
    <n v="45550"/>
    <n v="45554"/>
    <x v="0"/>
    <n v="750"/>
    <n v="844.55"/>
    <n v="4.0999999999999996"/>
    <n v="607442.59"/>
    <x v="0"/>
    <n v="711.6"/>
    <n v="533700"/>
    <n v="6641.9"/>
    <n v="3753.97"/>
    <n v="3009.63"/>
    <n v="547105.5"/>
    <n v="73742.59"/>
    <n v="60337.09"/>
    <s v="Paid"/>
    <n v="607442.59"/>
    <n v="0"/>
    <s v="Collected"/>
    <x v="2"/>
    <x v="0"/>
    <x v="8"/>
    <x v="5"/>
    <n v="0.09"/>
    <n v="60337.09"/>
    <n v="9.9329699618197667E-2"/>
    <n v="0"/>
    <x v="0"/>
    <n v="9"/>
    <s v="September"/>
    <s v="2024-09"/>
  </r>
  <r>
    <s v="FZ00883"/>
    <n v="45354"/>
    <n v="45361"/>
    <x v="3"/>
    <n v="200"/>
    <n v="971.56"/>
    <n v="1.56"/>
    <n v="191280.73"/>
    <x v="1"/>
    <n v="762.08"/>
    <n v="152416"/>
    <n v="2366.4899999999998"/>
    <n v="974.99"/>
    <n v="11136.22"/>
    <n v="166893.70000000001"/>
    <n v="38864.730000000003"/>
    <n v="24387.03"/>
    <s v="Paid"/>
    <n v="191280.73"/>
    <n v="0"/>
    <s v="Delivered"/>
    <x v="0"/>
    <x v="1"/>
    <x v="8"/>
    <x v="5"/>
    <n v="1.31"/>
    <n v="24387.03"/>
    <n v="0.12749339674728341"/>
    <n v="0"/>
    <x v="0"/>
    <n v="3"/>
    <s v="March"/>
    <s v="2024-03"/>
  </r>
  <r>
    <s v="FZ00884"/>
    <n v="45816"/>
    <n v="45819"/>
    <x v="0"/>
    <n v="1000"/>
    <n v="834.71"/>
    <n v="4.76"/>
    <n v="794977.8"/>
    <x v="0"/>
    <n v="698.03"/>
    <n v="698030"/>
    <n v="9192.06"/>
    <n v="2188.66"/>
    <n v="4789.93"/>
    <n v="714200.65"/>
    <n v="96947.8"/>
    <n v="80777.149999999994"/>
    <s v="Paid"/>
    <n v="794977.8"/>
    <n v="0"/>
    <s v="Delivered"/>
    <x v="0"/>
    <x v="1"/>
    <x v="2"/>
    <x v="2"/>
    <n v="2.2599999999999998"/>
    <n v="80777.149999999994"/>
    <n v="0.10160931537962442"/>
    <n v="0"/>
    <x v="1"/>
    <n v="6"/>
    <s v="June"/>
    <s v="2025-06"/>
  </r>
  <r>
    <s v="FZ00885"/>
    <n v="45984"/>
    <n v="45997"/>
    <x v="1"/>
    <n v="200"/>
    <n v="1296.69"/>
    <n v="1.74"/>
    <n v="254825.52"/>
    <x v="0"/>
    <n v="1000.27"/>
    <n v="200054"/>
    <n v="2420.31"/>
    <n v="904.22"/>
    <n v="1178.1099999999999"/>
    <n v="204556.64"/>
    <n v="54771.519999999997"/>
    <n v="50268.88"/>
    <s v="Paid"/>
    <n v="254825.52"/>
    <n v="0"/>
    <s v="Delivered"/>
    <x v="0"/>
    <x v="2"/>
    <x v="7"/>
    <x v="5"/>
    <n v="1.58"/>
    <n v="50268.88"/>
    <n v="0.19726784036386935"/>
    <n v="0"/>
    <x v="1"/>
    <n v="11"/>
    <s v="November"/>
    <s v="2025-11"/>
  </r>
  <r>
    <s v="FZ00886"/>
    <n v="45363"/>
    <n v="45371"/>
    <x v="3"/>
    <n v="200"/>
    <n v="965.21"/>
    <n v="1.74"/>
    <n v="189683.07"/>
    <x v="2"/>
    <n v="775.12"/>
    <n v="155024"/>
    <n v="2037.14"/>
    <n v="313.94"/>
    <n v="8441.02"/>
    <n v="165816.1"/>
    <n v="34659.07"/>
    <n v="23866.97"/>
    <s v="Paid"/>
    <n v="189683.07"/>
    <n v="0"/>
    <s v="Delivered"/>
    <x v="0"/>
    <x v="0"/>
    <x v="9"/>
    <x v="1"/>
    <n v="0.28999999999999998"/>
    <n v="23866.97"/>
    <n v="0.12582551516063084"/>
    <n v="0"/>
    <x v="0"/>
    <n v="3"/>
    <s v="March"/>
    <s v="2024-03"/>
  </r>
  <r>
    <s v="FZ00887"/>
    <n v="45463"/>
    <n v="45476"/>
    <x v="0"/>
    <n v="100"/>
    <n v="829.67"/>
    <n v="1.41"/>
    <n v="81797.17"/>
    <x v="2"/>
    <n v="681.87"/>
    <n v="68187"/>
    <n v="1372.14"/>
    <n v="153.57"/>
    <n v="7064.17"/>
    <n v="76776.88"/>
    <n v="13610.17"/>
    <n v="5020.29"/>
    <s v="Part-paid"/>
    <n v="45177.06"/>
    <n v="36620.11"/>
    <s v="Delivered"/>
    <x v="2"/>
    <x v="2"/>
    <x v="3"/>
    <x v="3"/>
    <n v="1.35"/>
    <n v="5020.29"/>
    <n v="6.1374861746439392E-2"/>
    <n v="0"/>
    <x v="0"/>
    <n v="6"/>
    <s v="June"/>
    <s v="2024-06"/>
  </r>
  <r>
    <s v="FZ00888"/>
    <n v="45829"/>
    <m/>
    <x v="0"/>
    <n v="1000"/>
    <n v="865.48"/>
    <n v="0.44"/>
    <n v="0"/>
    <x v="1"/>
    <n v="681.19"/>
    <n v="0"/>
    <n v="0"/>
    <n v="0"/>
    <n v="0"/>
    <n v="0"/>
    <n v="0"/>
    <n v="0"/>
    <s v="Paid"/>
    <n v="0"/>
    <n v="0"/>
    <s v="Cancelled"/>
    <x v="1"/>
    <x v="1"/>
    <x v="11"/>
    <x v="5"/>
    <n v="0.4"/>
    <n v="0"/>
    <e v="#DIV/0!"/>
    <n v="0"/>
    <x v="1"/>
    <n v="6"/>
    <s v="June"/>
    <s v="2025-06"/>
  </r>
  <r>
    <s v="FZ00889"/>
    <n v="45530"/>
    <n v="45535"/>
    <x v="0"/>
    <n v="500"/>
    <n v="866.14"/>
    <n v="4.1399999999999997"/>
    <n v="415140.9"/>
    <x v="1"/>
    <n v="690.54"/>
    <n v="345270"/>
    <n v="9007.92"/>
    <n v="2027.56"/>
    <n v="10014.25"/>
    <n v="366319.73"/>
    <n v="69870.899999999994"/>
    <n v="48821.17"/>
    <s v="Paid"/>
    <n v="415140.9"/>
    <n v="0"/>
    <s v="Delivered"/>
    <x v="1"/>
    <x v="1"/>
    <x v="2"/>
    <x v="2"/>
    <n v="2.25"/>
    <n v="48821.17"/>
    <n v="0.11760144567784094"/>
    <n v="0"/>
    <x v="0"/>
    <n v="8"/>
    <s v="August"/>
    <s v="2024-08"/>
  </r>
  <r>
    <s v="FZ00890"/>
    <n v="45797"/>
    <n v="45811"/>
    <x v="0"/>
    <n v="1000"/>
    <n v="909.34"/>
    <n v="2.19"/>
    <n v="889425.45"/>
    <x v="0"/>
    <n v="745.32"/>
    <n v="745320"/>
    <n v="7681.6"/>
    <n v="3347.33"/>
    <n v="7799.63"/>
    <n v="764148.56"/>
    <n v="144105.45000000001"/>
    <n v="125276.89"/>
    <s v="Paid"/>
    <n v="889425.45"/>
    <n v="0"/>
    <s v="Delivered"/>
    <x v="0"/>
    <x v="4"/>
    <x v="32"/>
    <x v="0"/>
    <n v="1.21"/>
    <n v="125276.89"/>
    <n v="0.14085147889572983"/>
    <n v="0"/>
    <x v="1"/>
    <n v="5"/>
    <s v="May"/>
    <s v="2025-05"/>
  </r>
  <r>
    <s v="FZ00891"/>
    <n v="45824"/>
    <n v="45832"/>
    <x v="3"/>
    <n v="750"/>
    <n v="1010.5"/>
    <n v="3.69"/>
    <n v="729909.41"/>
    <x v="1"/>
    <n v="793.56"/>
    <n v="595170"/>
    <n v="12785.08"/>
    <n v="3826.94"/>
    <n v="2938.94"/>
    <n v="614720.96"/>
    <n v="134739.41"/>
    <n v="115188.45"/>
    <s v="Paid"/>
    <n v="729909.41"/>
    <n v="0"/>
    <s v="Collected"/>
    <x v="1"/>
    <x v="0"/>
    <x v="24"/>
    <x v="0"/>
    <n v="0.61"/>
    <n v="115188.45"/>
    <n v="0.15781198107858344"/>
    <n v="0"/>
    <x v="1"/>
    <n v="6"/>
    <s v="June"/>
    <s v="2025-06"/>
  </r>
  <r>
    <s v="FZ00892"/>
    <n v="45714"/>
    <n v="45723"/>
    <x v="3"/>
    <n v="250"/>
    <n v="964.8"/>
    <n v="1.55"/>
    <n v="237461.4"/>
    <x v="2"/>
    <n v="783.36"/>
    <n v="195840"/>
    <n v="4951.28"/>
    <n v="1011.37"/>
    <n v="279.56"/>
    <n v="202082.21"/>
    <n v="41621.4"/>
    <n v="35379.19"/>
    <s v="Part-paid"/>
    <n v="71405.539999999994"/>
    <n v="166055.85999999999"/>
    <s v="Collected"/>
    <x v="4"/>
    <x v="0"/>
    <x v="8"/>
    <x v="5"/>
    <n v="1.94"/>
    <n v="35379.19"/>
    <n v="0.14898922519617927"/>
    <n v="0"/>
    <x v="1"/>
    <n v="2"/>
    <s v="February"/>
    <s v="2025-02"/>
  </r>
  <r>
    <s v="FZ00893"/>
    <n v="45765"/>
    <m/>
    <x v="0"/>
    <n v="200"/>
    <n v="882.74"/>
    <n v="1.76"/>
    <n v="173440.76"/>
    <x v="2"/>
    <n v="724.99"/>
    <n v="144998"/>
    <n v="1743.49"/>
    <n v="1080.31"/>
    <n v="8937.67"/>
    <n v="156759.47"/>
    <n v="28442.76"/>
    <n v="16681.29"/>
    <s v="Paid"/>
    <n v="173440.76"/>
    <n v="0"/>
    <s v="Pending"/>
    <x v="1"/>
    <x v="0"/>
    <x v="21"/>
    <x v="0"/>
    <n v="1.32"/>
    <n v="16681.29"/>
    <n v="9.6178602999663979E-2"/>
    <n v="0"/>
    <x v="1"/>
    <n v="4"/>
    <s v="April"/>
    <s v="2025-04"/>
  </r>
  <r>
    <s v="FZ00894"/>
    <n v="45470"/>
    <n v="45471"/>
    <x v="1"/>
    <n v="150"/>
    <n v="1291.07"/>
    <n v="0.77"/>
    <n v="192169.31"/>
    <x v="3"/>
    <n v="1097.1300000000001"/>
    <n v="164569.5"/>
    <n v="1164.82"/>
    <n v="673.21"/>
    <n v="4339.74"/>
    <n v="170747.27"/>
    <n v="27599.81"/>
    <n v="21422.04"/>
    <s v="Paid"/>
    <n v="192169.31"/>
    <n v="0"/>
    <s v="Delivered"/>
    <x v="4"/>
    <x v="1"/>
    <x v="11"/>
    <x v="5"/>
    <n v="2.11"/>
    <n v="21422.04"/>
    <n v="0.11147482394561338"/>
    <n v="0"/>
    <x v="0"/>
    <n v="6"/>
    <s v="June"/>
    <s v="2024-06"/>
  </r>
  <r>
    <s v="FZ00895"/>
    <n v="45779"/>
    <n v="45779"/>
    <x v="1"/>
    <n v="200"/>
    <n v="1357.02"/>
    <n v="1.32"/>
    <n v="267821.46999999997"/>
    <x v="2"/>
    <n v="1016.19"/>
    <n v="203238"/>
    <n v="4334.8"/>
    <n v="1095.75"/>
    <n v="8667.35"/>
    <n v="217335.9"/>
    <n v="64583.47"/>
    <n v="50485.57"/>
    <s v="Paid"/>
    <n v="267821.46999999997"/>
    <n v="0"/>
    <s v="Delivered"/>
    <x v="0"/>
    <x v="1"/>
    <x v="15"/>
    <x v="3"/>
    <n v="1.52"/>
    <n v="50485.57"/>
    <n v="0.1885045661201098"/>
    <n v="0"/>
    <x v="1"/>
    <n v="5"/>
    <s v="May"/>
    <s v="2025-05"/>
  </r>
  <r>
    <s v="FZ00896"/>
    <n v="45935"/>
    <n v="45945"/>
    <x v="3"/>
    <n v="50"/>
    <n v="968.24"/>
    <n v="1.67"/>
    <n v="47603.519999999997"/>
    <x v="2"/>
    <n v="791.37"/>
    <n v="39568.5"/>
    <n v="937"/>
    <n v="147.44"/>
    <n v="7733.6"/>
    <n v="48386.54"/>
    <n v="8035.02"/>
    <n v="-783.02"/>
    <s v="Paid"/>
    <n v="47603.519999999997"/>
    <n v="0"/>
    <s v="Collected"/>
    <x v="3"/>
    <x v="0"/>
    <x v="10"/>
    <x v="5"/>
    <n v="1.9"/>
    <n v="-783.02"/>
    <n v="-1.6448783619362601E-2"/>
    <n v="0"/>
    <x v="1"/>
    <n v="10"/>
    <s v="October"/>
    <s v="2025-10"/>
  </r>
  <r>
    <s v="FZ00897"/>
    <n v="45688"/>
    <n v="45688"/>
    <x v="0"/>
    <n v="300"/>
    <n v="897.43"/>
    <n v="1.66"/>
    <n v="264759.8"/>
    <x v="3"/>
    <n v="681.99"/>
    <n v="204597"/>
    <n v="4103.38"/>
    <n v="683.79"/>
    <n v="11981.9"/>
    <n v="221366.07"/>
    <n v="60162.8"/>
    <n v="43393.73"/>
    <s v="Paid"/>
    <n v="264759.8"/>
    <n v="0"/>
    <s v="Delivered"/>
    <x v="3"/>
    <x v="3"/>
    <x v="14"/>
    <x v="1"/>
    <n v="1.67"/>
    <n v="43393.73"/>
    <n v="0.16389848458867246"/>
    <n v="0"/>
    <x v="1"/>
    <n v="1"/>
    <s v="January"/>
    <s v="2025-01"/>
  </r>
  <r>
    <s v="FZ00898"/>
    <n v="45853"/>
    <n v="45855"/>
    <x v="1"/>
    <n v="200"/>
    <n v="1241.82"/>
    <n v="1.26"/>
    <n v="245234.61"/>
    <x v="3"/>
    <n v="1022.78"/>
    <n v="204556"/>
    <n v="2886.17"/>
    <n v="1024.2"/>
    <n v="1795.52"/>
    <n v="210261.89"/>
    <n v="40678.61"/>
    <n v="34972.720000000001"/>
    <s v="Paid"/>
    <n v="245234.61"/>
    <n v="0"/>
    <s v="Collected"/>
    <x v="1"/>
    <x v="4"/>
    <x v="4"/>
    <x v="1"/>
    <n v="0.19"/>
    <n v="34972.720000000001"/>
    <n v="0.14260923447958673"/>
    <n v="0"/>
    <x v="1"/>
    <n v="7"/>
    <s v="July"/>
    <s v="2025-07"/>
  </r>
  <r>
    <s v="FZ00899"/>
    <n v="45853"/>
    <n v="45861"/>
    <x v="3"/>
    <n v="500"/>
    <n v="924.17"/>
    <n v="0.92"/>
    <n v="457833.82"/>
    <x v="2"/>
    <n v="796.65"/>
    <n v="398325"/>
    <n v="7093.19"/>
    <n v="1601.1"/>
    <n v="2282.23"/>
    <n v="409301.52"/>
    <n v="59508.82"/>
    <n v="48532.3"/>
    <s v="Paid"/>
    <n v="457833.82"/>
    <n v="0"/>
    <s v="Delivered"/>
    <x v="3"/>
    <x v="2"/>
    <x v="8"/>
    <x v="5"/>
    <n v="1.29"/>
    <n v="48532.3"/>
    <n v="0.10600418291510226"/>
    <n v="0"/>
    <x v="1"/>
    <n v="7"/>
    <s v="July"/>
    <s v="2025-07"/>
  </r>
  <r>
    <s v="FZ00900"/>
    <n v="45547"/>
    <n v="45547"/>
    <x v="0"/>
    <n v="1000"/>
    <n v="899.45"/>
    <n v="1.19"/>
    <n v="888746.54"/>
    <x v="3"/>
    <n v="670"/>
    <n v="670000"/>
    <n v="8069.13"/>
    <n v="1710.24"/>
    <n v="1657.28"/>
    <n v="681436.65"/>
    <n v="218746.54"/>
    <n v="207309.89"/>
    <s v="Paid"/>
    <n v="888746.54"/>
    <n v="0"/>
    <s v="Delivered"/>
    <x v="0"/>
    <x v="2"/>
    <x v="8"/>
    <x v="5"/>
    <n v="0.86"/>
    <n v="207309.89"/>
    <n v="0.23326098124668931"/>
    <n v="0"/>
    <x v="0"/>
    <n v="9"/>
    <s v="September"/>
    <s v="2024-09"/>
  </r>
  <r>
    <s v="FZ00901"/>
    <n v="45449"/>
    <n v="45462"/>
    <x v="3"/>
    <n v="150"/>
    <n v="935.6"/>
    <n v="0.89"/>
    <n v="139090.97"/>
    <x v="0"/>
    <n v="822.12"/>
    <n v="123318"/>
    <n v="2799.9"/>
    <n v="477.95"/>
    <n v="11854.63"/>
    <n v="138450.48000000001"/>
    <n v="15772.97"/>
    <n v="640.49"/>
    <s v="Paid"/>
    <n v="139090.97"/>
    <n v="0"/>
    <s v="Delivered"/>
    <x v="3"/>
    <x v="4"/>
    <x v="7"/>
    <x v="5"/>
    <n v="2.4700000000000002"/>
    <n v="640.49"/>
    <n v="4.6048280488661482E-3"/>
    <n v="0"/>
    <x v="0"/>
    <n v="6"/>
    <s v="June"/>
    <s v="2024-06"/>
  </r>
  <r>
    <s v="FZ00902"/>
    <n v="45913"/>
    <n v="45924"/>
    <x v="1"/>
    <n v="50"/>
    <n v="1326.03"/>
    <n v="1.48"/>
    <n v="65320.24"/>
    <x v="3"/>
    <n v="1054.95"/>
    <n v="52747.5"/>
    <n v="830.01"/>
    <n v="110.21"/>
    <n v="9296.83"/>
    <n v="62984.55"/>
    <n v="12572.74"/>
    <n v="2335.69"/>
    <s v="Paid"/>
    <n v="65320.24"/>
    <n v="0"/>
    <s v="Delivered"/>
    <x v="0"/>
    <x v="3"/>
    <x v="27"/>
    <x v="2"/>
    <n v="1.45"/>
    <n v="2335.69"/>
    <n v="3.5757523242413075E-2"/>
    <n v="0"/>
    <x v="1"/>
    <n v="9"/>
    <s v="September"/>
    <s v="2025-09"/>
  </r>
  <r>
    <s v="FZ00903"/>
    <n v="45738"/>
    <m/>
    <x v="0"/>
    <n v="50"/>
    <n v="942.84"/>
    <n v="0.85"/>
    <n v="0"/>
    <x v="3"/>
    <n v="652.47"/>
    <n v="0"/>
    <n v="0"/>
    <n v="0"/>
    <n v="0"/>
    <n v="0"/>
    <n v="0"/>
    <n v="0"/>
    <s v="Paid"/>
    <n v="0"/>
    <n v="0"/>
    <s v="Cancelled"/>
    <x v="0"/>
    <x v="1"/>
    <x v="12"/>
    <x v="2"/>
    <n v="0.55000000000000004"/>
    <n v="0"/>
    <e v="#DIV/0!"/>
    <n v="0"/>
    <x v="1"/>
    <n v="3"/>
    <s v="March"/>
    <s v="2025-03"/>
  </r>
  <r>
    <s v="FZ00904"/>
    <n v="45863"/>
    <n v="45870"/>
    <x v="1"/>
    <n v="200"/>
    <n v="1239.8900000000001"/>
    <n v="0.98"/>
    <n v="245547.82"/>
    <x v="3"/>
    <n v="1034.51"/>
    <n v="206902"/>
    <n v="1888.91"/>
    <n v="310.45999999999998"/>
    <n v="652.23"/>
    <n v="209753.60000000001"/>
    <n v="38645.82"/>
    <n v="35794.22"/>
    <s v="Paid"/>
    <n v="245547.82"/>
    <n v="0"/>
    <s v="Delivered"/>
    <x v="5"/>
    <x v="3"/>
    <x v="13"/>
    <x v="5"/>
    <n v="1.63"/>
    <n v="35794.22"/>
    <n v="0.14577290891851535"/>
    <n v="0"/>
    <x v="1"/>
    <n v="7"/>
    <s v="July"/>
    <s v="2025-07"/>
  </r>
  <r>
    <s v="FZ00905"/>
    <n v="45396"/>
    <n v="45408"/>
    <x v="0"/>
    <n v="200"/>
    <n v="906.39"/>
    <n v="2.21"/>
    <n v="177271.76"/>
    <x v="3"/>
    <n v="707.31"/>
    <n v="141462"/>
    <n v="2172.2600000000002"/>
    <n v="837.75"/>
    <n v="7917.58"/>
    <n v="152389.59"/>
    <n v="35809.760000000002"/>
    <n v="24882.17"/>
    <s v="Paid"/>
    <n v="177271.76"/>
    <n v="0"/>
    <s v="Collected"/>
    <x v="0"/>
    <x v="2"/>
    <x v="17"/>
    <x v="3"/>
    <n v="1.97"/>
    <n v="24882.17"/>
    <n v="0.14036172484551401"/>
    <n v="0"/>
    <x v="0"/>
    <n v="4"/>
    <s v="April"/>
    <s v="2024-04"/>
  </r>
  <r>
    <s v="FZ00906"/>
    <n v="45819"/>
    <n v="45828"/>
    <x v="0"/>
    <n v="1200"/>
    <n v="843.96"/>
    <n v="3.27"/>
    <n v="979635.01"/>
    <x v="0"/>
    <n v="724.1"/>
    <n v="868920"/>
    <n v="21570.84"/>
    <n v="3342.14"/>
    <n v="6634.17"/>
    <n v="900467.15"/>
    <n v="110715.01"/>
    <n v="79167.86"/>
    <s v="Paid"/>
    <n v="979635.01"/>
    <n v="0"/>
    <s v="Delivered"/>
    <x v="5"/>
    <x v="0"/>
    <x v="22"/>
    <x v="5"/>
    <n v="1.43"/>
    <n v="79167.86"/>
    <n v="8.0813628741177798E-2"/>
    <n v="0"/>
    <x v="1"/>
    <n v="6"/>
    <s v="June"/>
    <s v="2025-06"/>
  </r>
  <r>
    <s v="FZ00907"/>
    <n v="45628"/>
    <n v="45641"/>
    <x v="0"/>
    <n v="200"/>
    <n v="909"/>
    <n v="1.06"/>
    <n v="179872.92"/>
    <x v="3"/>
    <n v="721.52"/>
    <n v="144304"/>
    <n v="4735.45"/>
    <n v="743.36"/>
    <n v="6677.77"/>
    <n v="156460.57999999999"/>
    <n v="35568.92"/>
    <n v="23412.34"/>
    <s v="Paid"/>
    <n v="179872.92"/>
    <n v="0"/>
    <s v="Delivered"/>
    <x v="0"/>
    <x v="0"/>
    <x v="8"/>
    <x v="5"/>
    <n v="2.14"/>
    <n v="23412.34"/>
    <n v="0.13016044883243125"/>
    <n v="0"/>
    <x v="0"/>
    <n v="12"/>
    <s v="December"/>
    <s v="2024-12"/>
  </r>
  <r>
    <s v="FZ00908"/>
    <n v="45718"/>
    <n v="45721"/>
    <x v="0"/>
    <n v="1000"/>
    <n v="892.16"/>
    <n v="2.15"/>
    <n v="872978.56"/>
    <x v="2"/>
    <n v="697.53"/>
    <n v="697530"/>
    <n v="11898.71"/>
    <n v="5954.75"/>
    <n v="1964.85"/>
    <n v="717348.31"/>
    <n v="175448.56"/>
    <n v="155630.25"/>
    <s v="Paid"/>
    <n v="872978.56"/>
    <n v="0"/>
    <s v="Collected"/>
    <x v="3"/>
    <x v="3"/>
    <x v="35"/>
    <x v="4"/>
    <n v="1.48"/>
    <n v="155630.25"/>
    <n v="0.17827499681091824"/>
    <n v="0"/>
    <x v="1"/>
    <n v="3"/>
    <s v="March"/>
    <s v="2025-03"/>
  </r>
  <r>
    <s v="FZ00909"/>
    <n v="45306"/>
    <m/>
    <x v="1"/>
    <n v="50"/>
    <n v="1366.58"/>
    <n v="7.0000000000000007E-2"/>
    <n v="0"/>
    <x v="0"/>
    <n v="1094.02"/>
    <n v="0"/>
    <n v="0"/>
    <n v="0"/>
    <n v="0"/>
    <n v="0"/>
    <n v="0"/>
    <n v="0"/>
    <s v="Part-paid"/>
    <n v="0"/>
    <n v="0"/>
    <s v="Cancelled"/>
    <x v="0"/>
    <x v="4"/>
    <x v="8"/>
    <x v="5"/>
    <n v="1.33"/>
    <n v="0"/>
    <e v="#DIV/0!"/>
    <n v="0"/>
    <x v="0"/>
    <n v="1"/>
    <s v="January"/>
    <s v="2024-01"/>
  </r>
  <r>
    <s v="FZ00910"/>
    <n v="45726"/>
    <n v="45738"/>
    <x v="3"/>
    <n v="500"/>
    <n v="1021.52"/>
    <n v="0.83"/>
    <n v="506520.69"/>
    <x v="1"/>
    <n v="815.53"/>
    <n v="407765"/>
    <n v="11731.37"/>
    <n v="1627.98"/>
    <n v="8839"/>
    <n v="429963.35"/>
    <n v="98755.69"/>
    <n v="76557.34"/>
    <s v="Paid"/>
    <n v="506520.69"/>
    <n v="0"/>
    <s v="Delivered"/>
    <x v="3"/>
    <x v="2"/>
    <x v="9"/>
    <x v="1"/>
    <n v="1.98"/>
    <n v="76557.34"/>
    <n v="0.15114355940721788"/>
    <n v="0"/>
    <x v="1"/>
    <n v="3"/>
    <s v="March"/>
    <s v="2025-03"/>
  </r>
  <r>
    <s v="FZ00911"/>
    <n v="46014"/>
    <n v="46015"/>
    <x v="1"/>
    <n v="500"/>
    <n v="1344.63"/>
    <n v="2.2599999999999998"/>
    <n v="657120.68000000005"/>
    <x v="0"/>
    <n v="1007.91"/>
    <n v="503955"/>
    <n v="11617.16"/>
    <n v="1663.08"/>
    <n v="7001.86"/>
    <n v="524237.1"/>
    <n v="153165.68"/>
    <n v="132883.57999999999"/>
    <s v="Paid"/>
    <n v="657120.68000000005"/>
    <n v="0"/>
    <s v="Delivered"/>
    <x v="0"/>
    <x v="1"/>
    <x v="14"/>
    <x v="1"/>
    <n v="1.48"/>
    <n v="132883.57999999999"/>
    <n v="0.20222096799631992"/>
    <n v="0"/>
    <x v="1"/>
    <n v="12"/>
    <s v="December"/>
    <s v="2025-12"/>
  </r>
  <r>
    <s v="FZ00912"/>
    <n v="45915"/>
    <n v="45916"/>
    <x v="0"/>
    <n v="200"/>
    <n v="876.13"/>
    <n v="1.98"/>
    <n v="171756.53"/>
    <x v="0"/>
    <n v="687.43"/>
    <n v="137486"/>
    <n v="4156.95"/>
    <n v="496.22"/>
    <n v="3750.29"/>
    <n v="145889.46"/>
    <n v="34270.53"/>
    <n v="25867.07"/>
    <s v="Paid"/>
    <n v="171756.53"/>
    <n v="0"/>
    <s v="Delivered"/>
    <x v="0"/>
    <x v="1"/>
    <x v="18"/>
    <x v="3"/>
    <n v="2.15"/>
    <n v="25867.07"/>
    <n v="0.15060312408500567"/>
    <n v="0"/>
    <x v="1"/>
    <n v="9"/>
    <s v="September"/>
    <s v="2025-09"/>
  </r>
  <r>
    <s v="FZ00913"/>
    <n v="45434"/>
    <n v="45447"/>
    <x v="3"/>
    <n v="1000"/>
    <n v="1024.6400000000001"/>
    <n v="4.32"/>
    <n v="980375.55"/>
    <x v="1"/>
    <n v="717.67"/>
    <n v="717670"/>
    <n v="11493.16"/>
    <n v="3564.62"/>
    <n v="422.4"/>
    <n v="733150.18"/>
    <n v="262705.55"/>
    <n v="247225.37"/>
    <s v="Paid"/>
    <n v="980375.55"/>
    <n v="0"/>
    <s v="Delivered"/>
    <x v="1"/>
    <x v="0"/>
    <x v="5"/>
    <x v="4"/>
    <n v="1.5"/>
    <n v="247225.37"/>
    <n v="0.25217414897790952"/>
    <n v="0"/>
    <x v="0"/>
    <n v="5"/>
    <s v="May"/>
    <s v="2024-05"/>
  </r>
  <r>
    <s v="FZ00914"/>
    <n v="45789"/>
    <n v="45790"/>
    <x v="1"/>
    <n v="50"/>
    <n v="1291.83"/>
    <n v="0.7"/>
    <n v="64139.360000000001"/>
    <x v="2"/>
    <n v="1041.73"/>
    <n v="52086.5"/>
    <n v="869.74"/>
    <n v="141.97"/>
    <n v="11196.61"/>
    <n v="64294.82"/>
    <n v="12052.86"/>
    <n v="-155.46"/>
    <s v="Paid"/>
    <n v="64139.360000000001"/>
    <n v="0"/>
    <s v="Delivered"/>
    <x v="5"/>
    <x v="0"/>
    <x v="28"/>
    <x v="4"/>
    <n v="1.66"/>
    <n v="-155.46"/>
    <n v="-2.4237847087965956E-3"/>
    <n v="0"/>
    <x v="1"/>
    <n v="5"/>
    <s v="May"/>
    <s v="2025-05"/>
  </r>
  <r>
    <s v="FZ00915"/>
    <n v="45951"/>
    <n v="45958"/>
    <x v="3"/>
    <n v="1000"/>
    <n v="945.12"/>
    <n v="3.49"/>
    <n v="912135.31"/>
    <x v="1"/>
    <n v="808.13"/>
    <n v="808130"/>
    <n v="13657.4"/>
    <n v="5824.99"/>
    <n v="2746.56"/>
    <n v="830358.95"/>
    <n v="104005.31"/>
    <n v="81776.36"/>
    <s v="Part-paid"/>
    <n v="480516.53"/>
    <n v="431618.78"/>
    <s v="Delivered"/>
    <x v="1"/>
    <x v="1"/>
    <x v="19"/>
    <x v="4"/>
    <n v="0.15"/>
    <n v="81776.36"/>
    <n v="8.9653759813332956E-2"/>
    <n v="0"/>
    <x v="1"/>
    <n v="10"/>
    <s v="October"/>
    <s v="2025-10"/>
  </r>
  <r>
    <s v="FZ00916"/>
    <n v="45318"/>
    <n v="45331"/>
    <x v="2"/>
    <n v="300"/>
    <n v="715.33"/>
    <n v="1.21"/>
    <n v="212002.35"/>
    <x v="2"/>
    <n v="545.6"/>
    <n v="163680"/>
    <n v="2087.61"/>
    <n v="1384.6"/>
    <n v="5028.71"/>
    <n v="172180.92"/>
    <n v="48322.35"/>
    <n v="39821.43"/>
    <s v="Paid"/>
    <n v="212002.35"/>
    <n v="0"/>
    <s v="Delivered"/>
    <x v="1"/>
    <x v="3"/>
    <x v="12"/>
    <x v="2"/>
    <n v="0.86"/>
    <n v="39821.43"/>
    <n v="0.18783485183065188"/>
    <n v="0"/>
    <x v="0"/>
    <n v="1"/>
    <s v="January"/>
    <s v="2024-01"/>
  </r>
  <r>
    <s v="FZ00917"/>
    <n v="45648"/>
    <n v="45650"/>
    <x v="0"/>
    <n v="50"/>
    <n v="946.07"/>
    <n v="0.34"/>
    <n v="47142.67"/>
    <x v="0"/>
    <n v="673.11"/>
    <n v="33655.5"/>
    <n v="264.04000000000002"/>
    <n v="212.49"/>
    <n v="9625.99"/>
    <n v="43758.02"/>
    <n v="13487.17"/>
    <n v="3384.65"/>
    <s v="Paid"/>
    <n v="47142.67"/>
    <n v="0"/>
    <s v="Delivered"/>
    <x v="0"/>
    <x v="1"/>
    <x v="32"/>
    <x v="0"/>
    <n v="1.71"/>
    <n v="3384.65"/>
    <n v="7.1795891068537274E-2"/>
    <n v="0"/>
    <x v="0"/>
    <n v="12"/>
    <s v="December"/>
    <s v="2024-12"/>
  </r>
  <r>
    <s v="FZ00918"/>
    <n v="45637"/>
    <n v="45647"/>
    <x v="1"/>
    <n v="50"/>
    <n v="1344.86"/>
    <n v="1.42"/>
    <n v="66288.149999999994"/>
    <x v="0"/>
    <n v="1119.8800000000001"/>
    <n v="55994"/>
    <n v="1194.8499999999999"/>
    <n v="237.95"/>
    <n v="7304.88"/>
    <n v="64731.68"/>
    <n v="10294.15"/>
    <n v="1556.47"/>
    <s v="Paid"/>
    <n v="66288.149999999994"/>
    <n v="0"/>
    <s v="Delivered"/>
    <x v="0"/>
    <x v="0"/>
    <x v="36"/>
    <x v="3"/>
    <n v="0.86"/>
    <n v="1556.47"/>
    <n v="2.3480365646046844E-2"/>
    <n v="0"/>
    <x v="0"/>
    <n v="12"/>
    <s v="December"/>
    <s v="2024-12"/>
  </r>
  <r>
    <s v="FZ00919"/>
    <n v="45397"/>
    <n v="45401"/>
    <x v="2"/>
    <n v="500"/>
    <n v="687.52"/>
    <n v="0.8"/>
    <n v="341009.91999999998"/>
    <x v="2"/>
    <n v="599.89"/>
    <n v="299945"/>
    <n v="11883"/>
    <n v="1575.64"/>
    <n v="3300.12"/>
    <n v="316703.76"/>
    <n v="41064.92"/>
    <n v="24306.16"/>
    <s v="Paid"/>
    <n v="341009.91999999998"/>
    <n v="0"/>
    <s v="Delivered"/>
    <x v="1"/>
    <x v="1"/>
    <x v="26"/>
    <x v="4"/>
    <n v="1.56"/>
    <n v="24306.16"/>
    <n v="7.1276988071197464E-2"/>
    <n v="0"/>
    <x v="0"/>
    <n v="4"/>
    <s v="April"/>
    <s v="2024-04"/>
  </r>
  <r>
    <s v="FZ00920"/>
    <n v="45660"/>
    <n v="45664"/>
    <x v="0"/>
    <n v="250"/>
    <n v="916.78"/>
    <n v="1.23"/>
    <n v="226375.9"/>
    <x v="1"/>
    <n v="749.23"/>
    <n v="187307.5"/>
    <n v="2201.5100000000002"/>
    <n v="862.63"/>
    <n v="2784.89"/>
    <n v="193156.53"/>
    <n v="39068.400000000001"/>
    <n v="33219.370000000003"/>
    <s v="Unpaid"/>
    <n v="0"/>
    <n v="226375.9"/>
    <s v="Delivered"/>
    <x v="4"/>
    <x v="1"/>
    <x v="14"/>
    <x v="1"/>
    <n v="2.33"/>
    <n v="33219.370000000003"/>
    <n v="0.14674428682558524"/>
    <n v="0"/>
    <x v="1"/>
    <n v="1"/>
    <s v="January"/>
    <s v="2025-01"/>
  </r>
  <r>
    <s v="FZ00921"/>
    <n v="45925"/>
    <n v="45925"/>
    <x v="1"/>
    <n v="750"/>
    <n v="1340.05"/>
    <n v="4.1900000000000004"/>
    <n v="962926.43"/>
    <x v="1"/>
    <n v="1050.05"/>
    <n v="787537.5"/>
    <n v="8217.76"/>
    <n v="3177.39"/>
    <n v="11757.88"/>
    <n v="810690.53"/>
    <n v="175388.93"/>
    <n v="152235.9"/>
    <s v="Paid"/>
    <n v="962926.43"/>
    <n v="0"/>
    <s v="Delivered"/>
    <x v="3"/>
    <x v="0"/>
    <x v="34"/>
    <x v="4"/>
    <n v="2.27"/>
    <n v="152235.9"/>
    <n v="0.15809712482395979"/>
    <n v="0"/>
    <x v="1"/>
    <n v="9"/>
    <s v="September"/>
    <s v="2025-09"/>
  </r>
  <r>
    <s v="FZ00922"/>
    <n v="45578"/>
    <n v="45584"/>
    <x v="2"/>
    <n v="250"/>
    <n v="785.9"/>
    <n v="1.01"/>
    <n v="194490.6"/>
    <x v="1"/>
    <n v="552.51"/>
    <n v="138127.5"/>
    <n v="5191.1899999999996"/>
    <n v="1124.8900000000001"/>
    <n v="2033.84"/>
    <n v="146477.42000000001"/>
    <n v="56363.1"/>
    <n v="48013.18"/>
    <s v="Paid"/>
    <n v="194490.6"/>
    <n v="0"/>
    <s v="Delivered"/>
    <x v="0"/>
    <x v="3"/>
    <x v="15"/>
    <x v="3"/>
    <n v="1.93"/>
    <n v="48013.18"/>
    <n v="0.24686632670165035"/>
    <n v="0"/>
    <x v="0"/>
    <n v="10"/>
    <s v="October"/>
    <s v="2024-10"/>
  </r>
  <r>
    <s v="FZ00923"/>
    <n v="45902"/>
    <n v="45904"/>
    <x v="1"/>
    <n v="100"/>
    <n v="1256.83"/>
    <n v="2.44"/>
    <n v="122616.33"/>
    <x v="0"/>
    <n v="992.61"/>
    <n v="99261"/>
    <n v="1593.12"/>
    <n v="367.4"/>
    <n v="3055.94"/>
    <n v="104277.46"/>
    <n v="23355.33"/>
    <n v="18338.87"/>
    <s v="Paid"/>
    <n v="122616.33"/>
    <n v="0"/>
    <s v="Collected"/>
    <x v="4"/>
    <x v="2"/>
    <x v="35"/>
    <x v="4"/>
    <n v="1.25"/>
    <n v="18338.87"/>
    <n v="0.14956303128628951"/>
    <n v="0"/>
    <x v="1"/>
    <n v="9"/>
    <s v="September"/>
    <s v="2025-09"/>
  </r>
  <r>
    <s v="FZ00924"/>
    <n v="45333"/>
    <n v="45338"/>
    <x v="3"/>
    <n v="250"/>
    <n v="997.81"/>
    <n v="0.39"/>
    <n v="248479.64"/>
    <x v="1"/>
    <n v="738.22"/>
    <n v="184555"/>
    <n v="5151.7700000000004"/>
    <n v="818.66"/>
    <n v="7831.08"/>
    <n v="198356.51"/>
    <n v="63924.639999999999"/>
    <n v="50123.13"/>
    <s v="Paid"/>
    <n v="248479.64"/>
    <n v="0"/>
    <s v="Delivered"/>
    <x v="0"/>
    <x v="1"/>
    <x v="10"/>
    <x v="5"/>
    <n v="2.16"/>
    <n v="50123.13"/>
    <n v="0.20171926359841794"/>
    <n v="0"/>
    <x v="0"/>
    <n v="2"/>
    <s v="February"/>
    <s v="2024-02"/>
  </r>
  <r>
    <s v="FZ00925"/>
    <n v="45423"/>
    <m/>
    <x v="0"/>
    <n v="250"/>
    <n v="835.2"/>
    <n v="1.1599999999999999"/>
    <n v="206377.92"/>
    <x v="1"/>
    <n v="719.2"/>
    <n v="179800"/>
    <n v="3914.24"/>
    <n v="457.07"/>
    <n v="10472.700000000001"/>
    <n v="194644.01"/>
    <n v="26577.919999999998"/>
    <n v="11733.91"/>
    <s v="Paid"/>
    <n v="206377.92"/>
    <n v="0"/>
    <s v="Pending"/>
    <x v="4"/>
    <x v="1"/>
    <x v="13"/>
    <x v="5"/>
    <n v="0.99"/>
    <n v="11733.91"/>
    <n v="5.6856421462140906E-2"/>
    <n v="0"/>
    <x v="0"/>
    <n v="5"/>
    <s v="May"/>
    <s v="2024-05"/>
  </r>
  <r>
    <s v="FZ00926"/>
    <n v="45408"/>
    <n v="45408"/>
    <x v="2"/>
    <n v="500"/>
    <n v="707.58"/>
    <n v="1.44"/>
    <n v="348695.42"/>
    <x v="3"/>
    <n v="593.11"/>
    <n v="296555"/>
    <n v="9323.06"/>
    <n v="2399.33"/>
    <n v="11866.44"/>
    <n v="320143.83"/>
    <n v="52140.42"/>
    <n v="28551.59"/>
    <s v="Paid"/>
    <n v="348695.42"/>
    <n v="0"/>
    <s v="Delivered"/>
    <x v="0"/>
    <x v="4"/>
    <x v="8"/>
    <x v="5"/>
    <n v="1.69"/>
    <n v="28551.59"/>
    <n v="8.1881172973249844E-2"/>
    <n v="0"/>
    <x v="0"/>
    <n v="4"/>
    <s v="April"/>
    <s v="2024-04"/>
  </r>
  <r>
    <s v="FZ00927"/>
    <n v="45615"/>
    <n v="45622"/>
    <x v="2"/>
    <n v="50"/>
    <n v="701.97"/>
    <n v="0.49"/>
    <n v="34926.519999999997"/>
    <x v="2"/>
    <n v="572.1"/>
    <n v="28605"/>
    <n v="1015.27"/>
    <n v="159.06"/>
    <n v="6186.99"/>
    <n v="35966.32"/>
    <n v="6321.52"/>
    <n v="-1039.8"/>
    <s v="Part-paid"/>
    <n v="12859.06"/>
    <n v="22067.46"/>
    <s v="Delivered"/>
    <x v="3"/>
    <x v="2"/>
    <x v="15"/>
    <x v="3"/>
    <n v="0.36"/>
    <n v="-1039.8"/>
    <n v="-2.9771073671238935E-2"/>
    <n v="0"/>
    <x v="0"/>
    <n v="11"/>
    <s v="November"/>
    <s v="2024-11"/>
  </r>
  <r>
    <s v="FZ00928"/>
    <n v="45653"/>
    <n v="45665"/>
    <x v="0"/>
    <n v="1000"/>
    <n v="935.07"/>
    <n v="2.86"/>
    <n v="908327"/>
    <x v="1"/>
    <n v="673.03"/>
    <n v="673030"/>
    <n v="6713.67"/>
    <n v="3723.89"/>
    <n v="1093.8800000000001"/>
    <n v="684561.44"/>
    <n v="235297"/>
    <n v="223765.56"/>
    <s v="Unpaid"/>
    <n v="0"/>
    <n v="908327"/>
    <s v="Collected"/>
    <x v="1"/>
    <x v="2"/>
    <x v="20"/>
    <x v="2"/>
    <n v="1.74"/>
    <n v="223765.56"/>
    <n v="0.24634912316819824"/>
    <n v="0"/>
    <x v="0"/>
    <n v="12"/>
    <s v="December"/>
    <s v="2024-12"/>
  </r>
  <r>
    <s v="FZ00929"/>
    <n v="45565"/>
    <n v="45566"/>
    <x v="0"/>
    <n v="300"/>
    <n v="914.96"/>
    <n v="2.4700000000000002"/>
    <n v="267708.15000000002"/>
    <x v="0"/>
    <n v="727.47"/>
    <n v="218241"/>
    <n v="3369.17"/>
    <n v="1778.1"/>
    <n v="1518.75"/>
    <n v="224907.02"/>
    <n v="49467.15"/>
    <n v="42801.13"/>
    <s v="Paid"/>
    <n v="267708.15000000002"/>
    <n v="0"/>
    <s v="Collected"/>
    <x v="0"/>
    <x v="1"/>
    <x v="11"/>
    <x v="5"/>
    <n v="1.82"/>
    <n v="42801.13"/>
    <n v="0.15987981688267613"/>
    <n v="0"/>
    <x v="0"/>
    <n v="9"/>
    <s v="September"/>
    <s v="2024-09"/>
  </r>
  <r>
    <s v="FZ00930"/>
    <n v="45606"/>
    <n v="45612"/>
    <x v="0"/>
    <n v="500"/>
    <n v="966.72"/>
    <n v="1.1200000000000001"/>
    <n v="477946.37"/>
    <x v="2"/>
    <n v="740.07"/>
    <n v="370035"/>
    <n v="6510.13"/>
    <n v="2523.34"/>
    <n v="6214.91"/>
    <n v="385283.38"/>
    <n v="107911.37"/>
    <n v="92662.99"/>
    <s v="Paid"/>
    <n v="477946.37"/>
    <n v="0"/>
    <s v="Delivered"/>
    <x v="5"/>
    <x v="3"/>
    <x v="23"/>
    <x v="4"/>
    <n v="2.0099999999999998"/>
    <n v="92662.99"/>
    <n v="0.19387738000813776"/>
    <n v="0"/>
    <x v="0"/>
    <n v="11"/>
    <s v="November"/>
    <s v="2024-11"/>
  </r>
  <r>
    <s v="FZ00931"/>
    <n v="45329"/>
    <n v="45338"/>
    <x v="1"/>
    <n v="200"/>
    <n v="1300.6199999999999"/>
    <n v="0.01"/>
    <n v="260097.99"/>
    <x v="2"/>
    <n v="979.76"/>
    <n v="195952"/>
    <n v="2813.99"/>
    <n v="509.09"/>
    <n v="10016.030000000001"/>
    <n v="209291.11"/>
    <n v="64145.99"/>
    <n v="50806.879999999997"/>
    <s v="Paid"/>
    <n v="260097.99"/>
    <n v="0"/>
    <s v="Delivered"/>
    <x v="4"/>
    <x v="4"/>
    <x v="5"/>
    <x v="4"/>
    <n v="1"/>
    <n v="50806.879999999997"/>
    <n v="0.19533745724063459"/>
    <n v="0"/>
    <x v="0"/>
    <n v="2"/>
    <s v="February"/>
    <s v="2024-02"/>
  </r>
  <r>
    <s v="FZ00932"/>
    <n v="45416"/>
    <n v="45416"/>
    <x v="2"/>
    <n v="300"/>
    <n v="743.13"/>
    <n v="2.2400000000000002"/>
    <n v="217945.17"/>
    <x v="3"/>
    <n v="583.41"/>
    <n v="175023"/>
    <n v="3651.05"/>
    <n v="545.11"/>
    <n v="11882.65"/>
    <n v="191101.81"/>
    <n v="42922.17"/>
    <n v="26843.360000000001"/>
    <s v="Paid"/>
    <n v="217945.17"/>
    <n v="0"/>
    <s v="Delivered"/>
    <x v="3"/>
    <x v="0"/>
    <x v="28"/>
    <x v="4"/>
    <n v="2.04"/>
    <n v="26843.360000000001"/>
    <n v="0.12316565675669711"/>
    <n v="0"/>
    <x v="0"/>
    <n v="5"/>
    <s v="May"/>
    <s v="2024-05"/>
  </r>
  <r>
    <s v="FZ00933"/>
    <n v="45883"/>
    <n v="45886"/>
    <x v="0"/>
    <n v="50"/>
    <n v="923.36"/>
    <n v="2.25"/>
    <n v="45129.22"/>
    <x v="0"/>
    <n v="684.85"/>
    <n v="34242.5"/>
    <n v="265.66000000000003"/>
    <n v="102.06"/>
    <n v="4259.55"/>
    <n v="38869.769999999997"/>
    <n v="10886.72"/>
    <n v="6259.45"/>
    <s v="Paid"/>
    <n v="45129.22"/>
    <n v="0"/>
    <s v="Collected"/>
    <x v="4"/>
    <x v="2"/>
    <x v="31"/>
    <x v="1"/>
    <n v="2.3199999999999998"/>
    <n v="6259.45"/>
    <n v="0.13870060240349821"/>
    <n v="0"/>
    <x v="1"/>
    <n v="8"/>
    <s v="August"/>
    <s v="2025-08"/>
  </r>
  <r>
    <s v="FZ00934"/>
    <n v="45427"/>
    <n v="45436"/>
    <x v="2"/>
    <n v="300"/>
    <n v="764.66"/>
    <n v="0.69"/>
    <n v="227815.15"/>
    <x v="1"/>
    <n v="584.09"/>
    <n v="175227"/>
    <n v="3740.55"/>
    <n v="1404.97"/>
    <n v="7929.48"/>
    <n v="188302"/>
    <n v="52588.15"/>
    <n v="39513.15"/>
    <s v="Paid"/>
    <n v="227815.15"/>
    <n v="0"/>
    <s v="Delivered"/>
    <x v="5"/>
    <x v="1"/>
    <x v="7"/>
    <x v="5"/>
    <n v="0.87"/>
    <n v="39513.15"/>
    <n v="0.17344390836166954"/>
    <n v="0"/>
    <x v="0"/>
    <n v="5"/>
    <s v="May"/>
    <s v="2024-05"/>
  </r>
  <r>
    <s v="FZ00935"/>
    <n v="45317"/>
    <n v="45327"/>
    <x v="2"/>
    <n v="500"/>
    <n v="718.36"/>
    <n v="0.65"/>
    <n v="356845.33"/>
    <x v="2"/>
    <n v="538.79"/>
    <n v="269395"/>
    <n v="5984.56"/>
    <n v="2892.24"/>
    <n v="4012.12"/>
    <n v="282283.92"/>
    <n v="87450.33"/>
    <n v="74561.41"/>
    <s v="Paid"/>
    <n v="356845.33"/>
    <n v="0"/>
    <s v="Delivered"/>
    <x v="0"/>
    <x v="1"/>
    <x v="13"/>
    <x v="5"/>
    <n v="1.49"/>
    <n v="74561.41"/>
    <n v="0.20894601591115119"/>
    <n v="0"/>
    <x v="0"/>
    <n v="1"/>
    <s v="January"/>
    <s v="2024-01"/>
  </r>
  <r>
    <s v="FZ00936"/>
    <n v="45556"/>
    <n v="45565"/>
    <x v="0"/>
    <n v="200"/>
    <n v="871.61"/>
    <n v="2.37"/>
    <n v="170190.57"/>
    <x v="2"/>
    <n v="732.77"/>
    <n v="146554"/>
    <n v="4573.5"/>
    <n v="307.3"/>
    <n v="7548.17"/>
    <n v="158982.97"/>
    <n v="23636.57"/>
    <n v="11207.6"/>
    <s v="Paid"/>
    <n v="170190.57"/>
    <n v="0"/>
    <s v="Delivered"/>
    <x v="5"/>
    <x v="4"/>
    <x v="23"/>
    <x v="4"/>
    <n v="0.9"/>
    <n v="11207.6"/>
    <n v="6.585323734446627E-2"/>
    <n v="0"/>
    <x v="0"/>
    <n v="9"/>
    <s v="September"/>
    <s v="2024-09"/>
  </r>
  <r>
    <s v="FZ00937"/>
    <n v="45952"/>
    <n v="45961"/>
    <x v="1"/>
    <n v="50"/>
    <n v="1306.47"/>
    <n v="0.21"/>
    <n v="65186.32"/>
    <x v="1"/>
    <n v="981.11"/>
    <n v="49055.5"/>
    <n v="283.73"/>
    <n v="281.44"/>
    <n v="4092.01"/>
    <n v="53712.68"/>
    <n v="16130.82"/>
    <n v="11473.64"/>
    <s v="Paid"/>
    <n v="65186.32"/>
    <n v="0"/>
    <s v="Collected"/>
    <x v="2"/>
    <x v="1"/>
    <x v="16"/>
    <x v="1"/>
    <n v="1.1499999999999999"/>
    <n v="11473.64"/>
    <n v="0.17601300395543112"/>
    <n v="0"/>
    <x v="1"/>
    <n v="10"/>
    <s v="October"/>
    <s v="2025-10"/>
  </r>
  <r>
    <s v="FZ00938"/>
    <n v="45664"/>
    <n v="45673"/>
    <x v="1"/>
    <n v="300"/>
    <n v="1251.45"/>
    <n v="0.65"/>
    <n v="372994.67"/>
    <x v="1"/>
    <n v="1035.8"/>
    <n v="310740"/>
    <n v="4147.6499999999996"/>
    <n v="1416.33"/>
    <n v="10071.370000000001"/>
    <n v="326375.34999999998"/>
    <n v="62254.67"/>
    <n v="46619.32"/>
    <s v="Paid"/>
    <n v="372994.67"/>
    <n v="0"/>
    <s v="Delivered"/>
    <x v="4"/>
    <x v="2"/>
    <x v="7"/>
    <x v="5"/>
    <n v="0.5"/>
    <n v="46619.32"/>
    <n v="0.12498655811891361"/>
    <n v="0"/>
    <x v="1"/>
    <n v="1"/>
    <s v="January"/>
    <s v="2025-01"/>
  </r>
  <r>
    <s v="FZ00939"/>
    <n v="45593"/>
    <n v="45604"/>
    <x v="0"/>
    <n v="1000"/>
    <n v="876.75"/>
    <n v="1.3"/>
    <n v="865352.25"/>
    <x v="2"/>
    <n v="689.07"/>
    <n v="689070"/>
    <n v="21670.91"/>
    <n v="3539.07"/>
    <n v="2128.9"/>
    <n v="716408.88"/>
    <n v="176282.25"/>
    <n v="148943.37"/>
    <s v="Part-paid"/>
    <n v="622687.63"/>
    <n v="242664.62"/>
    <s v="Delivered"/>
    <x v="0"/>
    <x v="3"/>
    <x v="5"/>
    <x v="4"/>
    <n v="2.1800000000000002"/>
    <n v="148943.37"/>
    <n v="0.17211877590888566"/>
    <n v="0"/>
    <x v="0"/>
    <n v="10"/>
    <s v="October"/>
    <s v="2024-10"/>
  </r>
  <r>
    <s v="FZ00940"/>
    <n v="45451"/>
    <n v="45455"/>
    <x v="3"/>
    <n v="250"/>
    <n v="930.27"/>
    <n v="0.72"/>
    <n v="230893.01"/>
    <x v="3"/>
    <n v="766.88"/>
    <n v="191720"/>
    <n v="3646.91"/>
    <n v="844.55"/>
    <n v="1624.73"/>
    <n v="197836.19"/>
    <n v="39173.01"/>
    <n v="33056.82"/>
    <s v="Paid"/>
    <n v="230893.01"/>
    <n v="0"/>
    <s v="Delivered"/>
    <x v="5"/>
    <x v="0"/>
    <x v="36"/>
    <x v="3"/>
    <n v="2.14"/>
    <n v="33056.82"/>
    <n v="0.14316942725983778"/>
    <n v="0"/>
    <x v="0"/>
    <n v="6"/>
    <s v="June"/>
    <s v="2024-06"/>
  </r>
  <r>
    <s v="FZ00941"/>
    <n v="45861"/>
    <n v="45874"/>
    <x v="0"/>
    <n v="200"/>
    <n v="873.97"/>
    <n v="1.39"/>
    <n v="172364.36"/>
    <x v="1"/>
    <n v="742.81"/>
    <n v="148562"/>
    <n v="3324.2"/>
    <n v="422.61"/>
    <n v="5949.07"/>
    <n v="158257.88"/>
    <n v="23802.36"/>
    <n v="14106.48"/>
    <s v="Paid"/>
    <n v="172364.36"/>
    <n v="0"/>
    <s v="Delivered"/>
    <x v="1"/>
    <x v="2"/>
    <x v="19"/>
    <x v="4"/>
    <n v="2.38"/>
    <n v="14106.48"/>
    <n v="8.1841048810786646E-2"/>
    <n v="0"/>
    <x v="1"/>
    <n v="7"/>
    <s v="July"/>
    <s v="2025-07"/>
  </r>
  <r>
    <s v="FZ00942"/>
    <n v="45928"/>
    <n v="45930"/>
    <x v="3"/>
    <n v="300"/>
    <n v="1053"/>
    <n v="0.87"/>
    <n v="313151.67"/>
    <x v="2"/>
    <n v="800.45"/>
    <n v="240135"/>
    <n v="3080.27"/>
    <n v="787.15"/>
    <n v="7432.92"/>
    <n v="251435.34"/>
    <n v="73016.67"/>
    <n v="61716.33"/>
    <s v="Part-paid"/>
    <n v="222782.24"/>
    <n v="90369.43"/>
    <s v="Collected"/>
    <x v="0"/>
    <x v="1"/>
    <x v="8"/>
    <x v="5"/>
    <n v="1.03"/>
    <n v="61716.33"/>
    <n v="0.19708127374827669"/>
    <n v="0"/>
    <x v="1"/>
    <n v="9"/>
    <s v="September"/>
    <s v="2025-09"/>
  </r>
  <r>
    <s v="FZ00943"/>
    <n v="45893"/>
    <n v="45893"/>
    <x v="2"/>
    <n v="300"/>
    <n v="707.61"/>
    <n v="1.05"/>
    <n v="210054.03"/>
    <x v="1"/>
    <n v="600.83000000000004"/>
    <n v="180249"/>
    <n v="3945.1"/>
    <n v="574.73"/>
    <n v="11727.76"/>
    <n v="196496.59"/>
    <n v="29805.03"/>
    <n v="13557.44"/>
    <s v="Paid"/>
    <n v="210054.03"/>
    <n v="0"/>
    <s v="Delivered"/>
    <x v="3"/>
    <x v="1"/>
    <x v="6"/>
    <x v="2"/>
    <n v="1.2"/>
    <n v="13557.44"/>
    <n v="6.4542632198011152E-2"/>
    <n v="0"/>
    <x v="1"/>
    <n v="8"/>
    <s v="August"/>
    <s v="2025-08"/>
  </r>
  <r>
    <s v="FZ00944"/>
    <n v="45730"/>
    <n v="45730"/>
    <x v="0"/>
    <n v="1000"/>
    <n v="884.57"/>
    <n v="4.72"/>
    <n v="842818.3"/>
    <x v="3"/>
    <n v="683.97"/>
    <n v="683970"/>
    <n v="18853.03"/>
    <n v="2053.0300000000002"/>
    <n v="6739.23"/>
    <n v="711615.29"/>
    <n v="158848.29999999999"/>
    <n v="131203.01"/>
    <s v="Part-paid"/>
    <n v="527507.75"/>
    <n v="315310.55"/>
    <s v="Delivered"/>
    <x v="3"/>
    <x v="0"/>
    <x v="12"/>
    <x v="2"/>
    <n v="0.25"/>
    <n v="131203.01"/>
    <n v="0.155671762229178"/>
    <n v="0"/>
    <x v="1"/>
    <n v="3"/>
    <s v="March"/>
    <s v="2025-03"/>
  </r>
  <r>
    <s v="FZ00945"/>
    <n v="45394"/>
    <n v="45394"/>
    <x v="1"/>
    <n v="200"/>
    <n v="1385.68"/>
    <n v="1.1100000000000001"/>
    <n v="274059.78999999998"/>
    <x v="0"/>
    <n v="1000.9"/>
    <n v="200180"/>
    <n v="2304.81"/>
    <n v="827.15"/>
    <n v="4369.03"/>
    <n v="207680.99"/>
    <n v="73879.789999999994"/>
    <n v="66378.8"/>
    <s v="Part-paid"/>
    <n v="205966.27"/>
    <n v="68093.52"/>
    <s v="Delivered"/>
    <x v="4"/>
    <x v="1"/>
    <x v="22"/>
    <x v="5"/>
    <n v="7.0000000000000007E-2"/>
    <n v="66378.8"/>
    <n v="0.24220554208262368"/>
    <n v="0"/>
    <x v="0"/>
    <n v="4"/>
    <s v="April"/>
    <s v="2024-04"/>
  </r>
  <r>
    <s v="FZ00946"/>
    <n v="45803"/>
    <n v="45816"/>
    <x v="0"/>
    <n v="1000"/>
    <n v="892.57"/>
    <n v="3.36"/>
    <n v="862579.65"/>
    <x v="2"/>
    <n v="704.79"/>
    <n v="704790"/>
    <n v="18935.490000000002"/>
    <n v="2284.63"/>
    <n v="10753.52"/>
    <n v="736763.64"/>
    <n v="157789.65"/>
    <n v="125816.01"/>
    <s v="Paid"/>
    <n v="862579.65"/>
    <n v="0"/>
    <s v="Delivered"/>
    <x v="1"/>
    <x v="0"/>
    <x v="21"/>
    <x v="0"/>
    <n v="1"/>
    <n v="125816.01"/>
    <n v="0.14586016491346623"/>
    <n v="0"/>
    <x v="1"/>
    <n v="5"/>
    <s v="May"/>
    <s v="2025-05"/>
  </r>
  <r>
    <s v="FZ00947"/>
    <n v="45452"/>
    <n v="45458"/>
    <x v="0"/>
    <n v="100"/>
    <n v="865.26"/>
    <n v="1.08"/>
    <n v="85591.52"/>
    <x v="0"/>
    <n v="738.77"/>
    <n v="73877"/>
    <n v="1002.35"/>
    <n v="392.69"/>
    <n v="6286.86"/>
    <n v="81558.899999999994"/>
    <n v="11714.52"/>
    <n v="4032.62"/>
    <s v="Paid"/>
    <n v="85591.52"/>
    <n v="0"/>
    <s v="Delivered"/>
    <x v="3"/>
    <x v="0"/>
    <x v="7"/>
    <x v="5"/>
    <n v="1.1399999999999999"/>
    <n v="4032.62"/>
    <n v="4.7114714167945604E-2"/>
    <n v="0"/>
    <x v="0"/>
    <n v="6"/>
    <s v="June"/>
    <s v="2024-06"/>
  </r>
  <r>
    <s v="FZ00948"/>
    <n v="45307"/>
    <n v="45308"/>
    <x v="0"/>
    <n v="300"/>
    <n v="907.47"/>
    <n v="0.5"/>
    <n v="270879.8"/>
    <x v="1"/>
    <n v="656.32"/>
    <n v="196896"/>
    <n v="3113.38"/>
    <n v="669.76"/>
    <n v="1471.41"/>
    <n v="202150.55"/>
    <n v="73983.8"/>
    <n v="68729.25"/>
    <s v="Part-paid"/>
    <n v="85279.66"/>
    <n v="185600.14"/>
    <s v="Delivered"/>
    <x v="0"/>
    <x v="0"/>
    <x v="25"/>
    <x v="3"/>
    <n v="0.46"/>
    <n v="68729.25"/>
    <n v="0.25372600688571095"/>
    <n v="0"/>
    <x v="0"/>
    <n v="1"/>
    <s v="January"/>
    <s v="2024-01"/>
  </r>
  <r>
    <s v="FZ00949"/>
    <n v="45296"/>
    <n v="45301"/>
    <x v="0"/>
    <n v="300"/>
    <n v="854.96"/>
    <n v="2.2400000000000002"/>
    <n v="250742.67"/>
    <x v="2"/>
    <n v="666.65"/>
    <n v="199995"/>
    <n v="3463.29"/>
    <n v="996.49"/>
    <n v="5468.6"/>
    <n v="209923.38"/>
    <n v="50747.67"/>
    <n v="40819.29"/>
    <s v="Paid"/>
    <n v="250742.67"/>
    <n v="0"/>
    <s v="Delivered"/>
    <x v="1"/>
    <x v="1"/>
    <x v="7"/>
    <x v="5"/>
    <n v="1.62"/>
    <n v="40819.29"/>
    <n v="0.162793552449609"/>
    <n v="0"/>
    <x v="0"/>
    <n v="1"/>
    <s v="January"/>
    <s v="2024-01"/>
  </r>
  <r>
    <s v="FZ00950"/>
    <n v="45754"/>
    <n v="45766"/>
    <x v="0"/>
    <n v="250"/>
    <n v="888.15"/>
    <n v="0.65"/>
    <n v="220594.26"/>
    <x v="1"/>
    <n v="727.93"/>
    <n v="181982.5"/>
    <n v="4736.5200000000004"/>
    <n v="685.48"/>
    <n v="9484.7199999999993"/>
    <n v="196889.22"/>
    <n v="38611.760000000002"/>
    <n v="23705.040000000001"/>
    <s v="Paid"/>
    <n v="220594.26"/>
    <n v="0"/>
    <s v="Collected"/>
    <x v="0"/>
    <x v="1"/>
    <x v="16"/>
    <x v="1"/>
    <n v="0.57999999999999996"/>
    <n v="23705.040000000001"/>
    <n v="0.10745991305485464"/>
    <n v="0"/>
    <x v="1"/>
    <n v="4"/>
    <s v="April"/>
    <s v="2025-04"/>
  </r>
  <r>
    <s v="FZ00951"/>
    <n v="45965"/>
    <n v="45976"/>
    <x v="0"/>
    <n v="500"/>
    <n v="898.43"/>
    <n v="1.8"/>
    <n v="441129.13"/>
    <x v="1"/>
    <n v="739.85"/>
    <n v="369925"/>
    <n v="6379.87"/>
    <n v="1923.2"/>
    <n v="5172.07"/>
    <n v="383400.14"/>
    <n v="71204.13"/>
    <n v="57728.99"/>
    <s v="Paid"/>
    <n v="441129.13"/>
    <n v="0"/>
    <s v="Delivered"/>
    <x v="0"/>
    <x v="3"/>
    <x v="26"/>
    <x v="4"/>
    <n v="1.57"/>
    <n v="57728.99"/>
    <n v="0.13086641999815338"/>
    <n v="0"/>
    <x v="1"/>
    <n v="11"/>
    <s v="November"/>
    <s v="2025-11"/>
  </r>
  <r>
    <s v="FZ00952"/>
    <n v="45699"/>
    <n v="45704"/>
    <x v="1"/>
    <n v="500"/>
    <n v="1219.22"/>
    <n v="4.33"/>
    <n v="583213.89"/>
    <x v="0"/>
    <n v="1075.3"/>
    <n v="537650"/>
    <n v="10963.97"/>
    <n v="2853.91"/>
    <n v="6523.14"/>
    <n v="557991.02"/>
    <n v="45563.89"/>
    <n v="25222.87"/>
    <s v="Paid"/>
    <n v="583213.89"/>
    <n v="0"/>
    <s v="Delivered"/>
    <x v="3"/>
    <x v="1"/>
    <x v="12"/>
    <x v="2"/>
    <n v="0.46"/>
    <n v="25222.87"/>
    <n v="4.324806118729442E-2"/>
    <n v="0"/>
    <x v="1"/>
    <n v="2"/>
    <s v="February"/>
    <s v="2025-02"/>
  </r>
  <r>
    <s v="FZ00953"/>
    <n v="45488"/>
    <n v="45492"/>
    <x v="0"/>
    <n v="50"/>
    <n v="844.27"/>
    <n v="1.02"/>
    <n v="41782.92"/>
    <x v="1"/>
    <n v="745.3"/>
    <n v="37265"/>
    <n v="1105.71"/>
    <n v="142.33000000000001"/>
    <n v="1693.72"/>
    <n v="40206.76"/>
    <n v="4517.92"/>
    <n v="1576.16"/>
    <s v="Unpaid"/>
    <n v="0"/>
    <n v="41782.92"/>
    <s v="Delivered"/>
    <x v="1"/>
    <x v="2"/>
    <x v="13"/>
    <x v="5"/>
    <n v="1.54"/>
    <n v="1576.16"/>
    <n v="3.7722590953432653E-2"/>
    <n v="0"/>
    <x v="0"/>
    <n v="7"/>
    <s v="July"/>
    <s v="2024-07"/>
  </r>
  <r>
    <s v="FZ00954"/>
    <n v="45369"/>
    <n v="45380"/>
    <x v="0"/>
    <n v="50"/>
    <n v="877.12"/>
    <n v="0.98"/>
    <n v="43426.21"/>
    <x v="1"/>
    <n v="742.66"/>
    <n v="37133"/>
    <n v="486.66"/>
    <n v="128.46"/>
    <n v="3296.27"/>
    <n v="41044.39"/>
    <n v="6293.21"/>
    <n v="2381.8200000000002"/>
    <s v="Paid"/>
    <n v="43426.21"/>
    <n v="0"/>
    <s v="Delivered"/>
    <x v="1"/>
    <x v="0"/>
    <x v="34"/>
    <x v="4"/>
    <n v="1.7"/>
    <n v="2381.8200000000002"/>
    <n v="5.4847521807682507E-2"/>
    <n v="0"/>
    <x v="0"/>
    <n v="3"/>
    <s v="March"/>
    <s v="2024-03"/>
  </r>
  <r>
    <s v="FZ00955"/>
    <n v="45292"/>
    <n v="45293"/>
    <x v="0"/>
    <n v="300"/>
    <n v="878.6"/>
    <n v="1.79"/>
    <n v="258861.92"/>
    <x v="2"/>
    <n v="692.77"/>
    <n v="207831"/>
    <n v="3660.5"/>
    <n v="1360.61"/>
    <n v="5282.43"/>
    <n v="218134.54"/>
    <n v="51030.92"/>
    <n v="40727.379999999997"/>
    <s v="Part-paid"/>
    <n v="112739.45"/>
    <n v="146122.47"/>
    <s v="Delivered"/>
    <x v="4"/>
    <x v="2"/>
    <x v="25"/>
    <x v="3"/>
    <n v="0.11"/>
    <n v="40727.379999999997"/>
    <n v="0.15733244967046522"/>
    <n v="0"/>
    <x v="0"/>
    <n v="1"/>
    <s v="January"/>
    <s v="2024-01"/>
  </r>
  <r>
    <s v="FZ00956"/>
    <n v="45324"/>
    <n v="45325"/>
    <x v="1"/>
    <n v="200"/>
    <n v="1264.08"/>
    <n v="0.52"/>
    <n v="251501.36"/>
    <x v="1"/>
    <n v="1085.57"/>
    <n v="217114"/>
    <n v="2186.7600000000002"/>
    <n v="772.16"/>
    <n v="4307.16"/>
    <n v="224380.08"/>
    <n v="34387.360000000001"/>
    <n v="27121.279999999999"/>
    <s v="Paid"/>
    <n v="251501.36"/>
    <n v="0"/>
    <s v="Delivered"/>
    <x v="4"/>
    <x v="0"/>
    <x v="6"/>
    <x v="2"/>
    <n v="0.01"/>
    <n v="27121.279999999999"/>
    <n v="0.10783750831407035"/>
    <n v="0"/>
    <x v="0"/>
    <n v="2"/>
    <s v="February"/>
    <s v="2024-02"/>
  </r>
  <r>
    <s v="FZ00957"/>
    <n v="45650"/>
    <n v="45664"/>
    <x v="0"/>
    <n v="50"/>
    <n v="839.41"/>
    <n v="0.54"/>
    <n v="41743.86"/>
    <x v="3"/>
    <n v="649.87"/>
    <n v="32493.5"/>
    <n v="536.51"/>
    <n v="87.46"/>
    <n v="11591.88"/>
    <n v="44709.35"/>
    <n v="9250.36"/>
    <n v="-2965.49"/>
    <s v="Unpaid"/>
    <n v="0"/>
    <n v="41743.86"/>
    <s v="Delivered"/>
    <x v="3"/>
    <x v="1"/>
    <x v="24"/>
    <x v="0"/>
    <n v="1.47"/>
    <n v="-2965.49"/>
    <n v="-7.1040148179876028E-2"/>
    <n v="0"/>
    <x v="0"/>
    <n v="12"/>
    <s v="December"/>
    <s v="2024-12"/>
  </r>
  <r>
    <s v="FZ00958"/>
    <n v="45364"/>
    <n v="45366"/>
    <x v="0"/>
    <n v="150"/>
    <n v="927.06"/>
    <n v="2.16"/>
    <n v="136055.32999999999"/>
    <x v="3"/>
    <n v="702.06"/>
    <n v="105309"/>
    <n v="2870.22"/>
    <n v="549.66"/>
    <n v="7720.58"/>
    <n v="116449.46"/>
    <n v="30746.33"/>
    <n v="19605.87"/>
    <s v="Part-paid"/>
    <n v="67943.86"/>
    <n v="68111.47"/>
    <s v="Delivered"/>
    <x v="4"/>
    <x v="1"/>
    <x v="29"/>
    <x v="0"/>
    <n v="1.1399999999999999"/>
    <n v="19605.87"/>
    <n v="0.14410218254588042"/>
    <n v="0"/>
    <x v="0"/>
    <n v="3"/>
    <s v="March"/>
    <s v="2024-03"/>
  </r>
  <r>
    <s v="FZ00959"/>
    <n v="45420"/>
    <n v="45426"/>
    <x v="0"/>
    <n v="150"/>
    <n v="818.48"/>
    <n v="0.34"/>
    <n v="122354.58"/>
    <x v="1"/>
    <n v="700.07"/>
    <n v="105010.5"/>
    <n v="2371.85"/>
    <n v="411.87"/>
    <n v="8034.41"/>
    <n v="115828.63"/>
    <n v="17344.080000000002"/>
    <n v="6525.95"/>
    <s v="Paid"/>
    <n v="122354.58"/>
    <n v="0"/>
    <s v="Delivered"/>
    <x v="4"/>
    <x v="1"/>
    <x v="4"/>
    <x v="1"/>
    <n v="0.98"/>
    <n v="6525.95"/>
    <n v="5.3336376946412627E-2"/>
    <n v="0"/>
    <x v="0"/>
    <n v="5"/>
    <s v="May"/>
    <s v="2024-05"/>
  </r>
  <r>
    <s v="FZ00960"/>
    <n v="45454"/>
    <n v="45467"/>
    <x v="0"/>
    <n v="1200"/>
    <n v="845.52"/>
    <n v="2.68"/>
    <n v="987432.08"/>
    <x v="2"/>
    <n v="709.26"/>
    <n v="851112"/>
    <n v="14278.26"/>
    <n v="5385.84"/>
    <n v="10564.16"/>
    <n v="881340.26"/>
    <n v="136320.07999999999"/>
    <n v="106091.82"/>
    <s v="Part-paid"/>
    <n v="597333.89"/>
    <n v="390098.19"/>
    <s v="Delivered"/>
    <x v="3"/>
    <x v="2"/>
    <x v="12"/>
    <x v="2"/>
    <n v="0.6"/>
    <n v="106091.82"/>
    <n v="0.10744214427386237"/>
    <n v="0"/>
    <x v="0"/>
    <n v="6"/>
    <s v="June"/>
    <s v="2024-06"/>
  </r>
  <r>
    <s v="FZ00961"/>
    <n v="45856"/>
    <n v="45860"/>
    <x v="1"/>
    <n v="500"/>
    <n v="1215.3699999999999"/>
    <n v="3.13"/>
    <n v="588664.46"/>
    <x v="0"/>
    <n v="1062.21"/>
    <n v="531105"/>
    <n v="2592.8000000000002"/>
    <n v="1576.96"/>
    <n v="5211.18"/>
    <n v="540485.93999999994"/>
    <n v="57559.46"/>
    <n v="48178.52"/>
    <s v="Paid"/>
    <n v="588664.46"/>
    <n v="0"/>
    <s v="Delivered"/>
    <x v="0"/>
    <x v="0"/>
    <x v="16"/>
    <x v="1"/>
    <n v="2.3199999999999998"/>
    <n v="48178.52"/>
    <n v="8.1843772256949235E-2"/>
    <n v="0"/>
    <x v="1"/>
    <n v="7"/>
    <s v="July"/>
    <s v="2025-07"/>
  </r>
  <r>
    <s v="FZ00962"/>
    <n v="45915"/>
    <m/>
    <x v="0"/>
    <n v="100"/>
    <n v="843.44"/>
    <n v="1.74"/>
    <n v="82876.41"/>
    <x v="1"/>
    <n v="652.48"/>
    <n v="65248"/>
    <n v="2032.99"/>
    <n v="532.73"/>
    <n v="1522.78"/>
    <n v="69336.5"/>
    <n v="17628.41"/>
    <n v="13539.91"/>
    <s v="Paid"/>
    <n v="82876.41"/>
    <n v="0"/>
    <s v="Pending"/>
    <x v="4"/>
    <x v="1"/>
    <x v="22"/>
    <x v="5"/>
    <n v="1.02"/>
    <n v="13539.91"/>
    <n v="0.16337471664132169"/>
    <n v="0"/>
    <x v="1"/>
    <n v="9"/>
    <s v="September"/>
    <s v="2025-09"/>
  </r>
  <r>
    <s v="FZ00963"/>
    <n v="45705"/>
    <n v="45708"/>
    <x v="3"/>
    <n v="100"/>
    <n v="980.17"/>
    <n v="0.93"/>
    <n v="97105.44"/>
    <x v="0"/>
    <n v="747.07"/>
    <n v="74707"/>
    <n v="2042.88"/>
    <n v="418.11"/>
    <n v="11031.07"/>
    <n v="88199.06"/>
    <n v="22398.44"/>
    <n v="8906.3799999999992"/>
    <s v="Part-paid"/>
    <n v="72624.350000000006"/>
    <n v="24481.09"/>
    <s v="Delivered"/>
    <x v="3"/>
    <x v="1"/>
    <x v="3"/>
    <x v="3"/>
    <n v="0.99"/>
    <n v="8906.3799999999992"/>
    <n v="9.1718651395843523E-2"/>
    <n v="0"/>
    <x v="1"/>
    <n v="2"/>
    <s v="February"/>
    <s v="2025-02"/>
  </r>
  <r>
    <s v="FZ00964"/>
    <n v="45914"/>
    <n v="45914"/>
    <x v="1"/>
    <n v="100"/>
    <n v="1335.5"/>
    <n v="0.66"/>
    <n v="132668.57"/>
    <x v="0"/>
    <n v="1016.36"/>
    <n v="101636"/>
    <n v="1844.99"/>
    <n v="300.08"/>
    <n v="10951.76"/>
    <n v="114732.83"/>
    <n v="31032.57"/>
    <n v="17935.740000000002"/>
    <s v="Paid"/>
    <n v="132668.57"/>
    <n v="0"/>
    <s v="Delivered"/>
    <x v="4"/>
    <x v="0"/>
    <x v="8"/>
    <x v="5"/>
    <n v="2.37"/>
    <n v="17935.740000000002"/>
    <n v="0.13519208053572901"/>
    <n v="0"/>
    <x v="1"/>
    <n v="9"/>
    <s v="September"/>
    <s v="2025-09"/>
  </r>
  <r>
    <s v="FZ00965"/>
    <n v="45884"/>
    <n v="45892"/>
    <x v="0"/>
    <n v="50"/>
    <n v="892.82"/>
    <n v="1.19"/>
    <n v="44109.77"/>
    <x v="1"/>
    <n v="718.28"/>
    <n v="35914"/>
    <n v="535.02"/>
    <n v="286.49"/>
    <n v="1527.76"/>
    <n v="38263.269999999997"/>
    <n v="8195.77"/>
    <n v="5846.5"/>
    <s v="Paid"/>
    <n v="44109.77"/>
    <n v="0"/>
    <s v="Delivered"/>
    <x v="0"/>
    <x v="0"/>
    <x v="1"/>
    <x v="1"/>
    <n v="1.26"/>
    <n v="5846.5"/>
    <n v="0.13254433201533358"/>
    <n v="0"/>
    <x v="1"/>
    <n v="8"/>
    <s v="August"/>
    <s v="2025-08"/>
  </r>
  <r>
    <s v="FZ00966"/>
    <n v="45391"/>
    <n v="45402"/>
    <x v="1"/>
    <n v="750"/>
    <n v="1371.54"/>
    <n v="2.16"/>
    <n v="1006436.05"/>
    <x v="0"/>
    <n v="1049.5999999999999"/>
    <n v="787200"/>
    <n v="10973.09"/>
    <n v="4336.9799999999996"/>
    <n v="5621.34"/>
    <n v="808131.41"/>
    <n v="219236.05"/>
    <n v="198304.64000000001"/>
    <s v="Paid"/>
    <n v="1006436.05"/>
    <n v="0"/>
    <s v="Delivered"/>
    <x v="2"/>
    <x v="0"/>
    <x v="26"/>
    <x v="4"/>
    <n v="2.08"/>
    <n v="198304.64000000001"/>
    <n v="0.19703650321349281"/>
    <n v="0"/>
    <x v="0"/>
    <n v="4"/>
    <s v="April"/>
    <s v="2024-04"/>
  </r>
  <r>
    <s v="FZ00967"/>
    <n v="45910"/>
    <n v="45922"/>
    <x v="0"/>
    <n v="150"/>
    <n v="835.98"/>
    <n v="0.76"/>
    <n v="124443.98"/>
    <x v="0"/>
    <n v="724.93"/>
    <n v="108739.5"/>
    <n v="2857.9"/>
    <n v="539.28"/>
    <n v="6684.79"/>
    <n v="118821.47"/>
    <n v="15704.48"/>
    <n v="5622.51"/>
    <s v="Paid"/>
    <n v="124443.98"/>
    <n v="0"/>
    <s v="Delivered"/>
    <x v="3"/>
    <x v="0"/>
    <x v="17"/>
    <x v="3"/>
    <n v="0.37"/>
    <n v="5622.51"/>
    <n v="4.5181052550713988E-2"/>
    <n v="0"/>
    <x v="1"/>
    <n v="9"/>
    <s v="September"/>
    <s v="2025-09"/>
  </r>
  <r>
    <s v="FZ00968"/>
    <n v="45357"/>
    <n v="45366"/>
    <x v="0"/>
    <n v="150"/>
    <n v="857.89"/>
    <n v="2.0699999999999998"/>
    <n v="126019.75"/>
    <x v="0"/>
    <n v="736"/>
    <n v="110400"/>
    <n v="2420.2800000000002"/>
    <n v="436.73"/>
    <n v="1747.79"/>
    <n v="115004.8"/>
    <n v="15619.75"/>
    <n v="11014.95"/>
    <s v="Unpaid"/>
    <n v="0"/>
    <n v="126019.75"/>
    <s v="Collected"/>
    <x v="5"/>
    <x v="1"/>
    <x v="10"/>
    <x v="5"/>
    <n v="0.22"/>
    <n v="11014.95"/>
    <n v="8.7406537467341436E-2"/>
    <n v="0"/>
    <x v="0"/>
    <n v="3"/>
    <s v="March"/>
    <s v="2024-03"/>
  </r>
  <r>
    <s v="FZ00969"/>
    <n v="45943"/>
    <n v="45944"/>
    <x v="0"/>
    <n v="1000"/>
    <n v="869.86"/>
    <n v="3.38"/>
    <n v="840458.73"/>
    <x v="0"/>
    <n v="717.78"/>
    <n v="717780"/>
    <n v="9825.2099999999991"/>
    <n v="1890.03"/>
    <n v="2477.71"/>
    <n v="731972.95"/>
    <n v="122678.73"/>
    <n v="108485.78"/>
    <s v="Paid"/>
    <n v="840458.73"/>
    <n v="0"/>
    <s v="Delivered"/>
    <x v="1"/>
    <x v="2"/>
    <x v="3"/>
    <x v="3"/>
    <n v="2.06"/>
    <n v="108485.78"/>
    <n v="0.1290792469964587"/>
    <n v="0"/>
    <x v="1"/>
    <n v="10"/>
    <s v="October"/>
    <s v="2025-10"/>
  </r>
  <r>
    <s v="FZ00970"/>
    <n v="45594"/>
    <n v="45598"/>
    <x v="0"/>
    <n v="750"/>
    <n v="954.35"/>
    <n v="1.1399999999999999"/>
    <n v="707602.81"/>
    <x v="1"/>
    <n v="746.4"/>
    <n v="559800"/>
    <n v="9596.14"/>
    <n v="1805.56"/>
    <n v="9716.4"/>
    <n v="580918.1"/>
    <n v="147802.81"/>
    <n v="126684.71"/>
    <s v="Paid"/>
    <n v="707602.81"/>
    <n v="0"/>
    <s v="Collected"/>
    <x v="0"/>
    <x v="1"/>
    <x v="7"/>
    <x v="5"/>
    <n v="1.74"/>
    <n v="126684.71"/>
    <n v="0.17903364459505183"/>
    <n v="0"/>
    <x v="0"/>
    <n v="10"/>
    <s v="October"/>
    <s v="2024-10"/>
  </r>
  <r>
    <s v="FZ00971"/>
    <n v="45317"/>
    <n v="45320"/>
    <x v="0"/>
    <n v="100"/>
    <n v="836.71"/>
    <n v="2.2799999999999998"/>
    <n v="81763.3"/>
    <x v="1"/>
    <n v="678.85"/>
    <n v="67885"/>
    <n v="1347.7"/>
    <n v="558.04999999999995"/>
    <n v="10804.56"/>
    <n v="80595.31"/>
    <n v="13878.3"/>
    <n v="1167.99"/>
    <s v="Part-paid"/>
    <n v="20614.36"/>
    <n v="61148.94"/>
    <s v="Collected"/>
    <x v="1"/>
    <x v="1"/>
    <x v="8"/>
    <x v="5"/>
    <n v="0.31"/>
    <n v="1167.99"/>
    <n v="1.4285015404221698E-2"/>
    <n v="0"/>
    <x v="0"/>
    <n v="1"/>
    <s v="January"/>
    <s v="2024-01"/>
  </r>
  <r>
    <s v="FZ00972"/>
    <n v="45670"/>
    <n v="45683"/>
    <x v="1"/>
    <n v="50"/>
    <n v="1238.6600000000001"/>
    <n v="0.54"/>
    <n v="61598.559999999998"/>
    <x v="1"/>
    <n v="1075.23"/>
    <n v="53761.5"/>
    <n v="900.68"/>
    <n v="180.97"/>
    <n v="4187.3500000000004"/>
    <n v="59030.5"/>
    <n v="7837.06"/>
    <n v="2568.06"/>
    <s v="Paid"/>
    <n v="61598.559999999998"/>
    <n v="0"/>
    <s v="Delivered"/>
    <x v="2"/>
    <x v="4"/>
    <x v="14"/>
    <x v="1"/>
    <n v="0.44"/>
    <n v="2568.06"/>
    <n v="4.1690260291799029E-2"/>
    <n v="0"/>
    <x v="1"/>
    <n v="1"/>
    <s v="January"/>
    <s v="2025-01"/>
  </r>
  <r>
    <s v="FZ00973"/>
    <n v="45541"/>
    <n v="45543"/>
    <x v="0"/>
    <n v="300"/>
    <n v="927.91"/>
    <n v="2.4900000000000002"/>
    <n v="271441.51"/>
    <x v="3"/>
    <n v="720.04"/>
    <n v="216012"/>
    <n v="4036.5"/>
    <n v="1048.25"/>
    <n v="2761.19"/>
    <n v="223857.94"/>
    <n v="55429.51"/>
    <n v="47583.57"/>
    <s v="Paid"/>
    <n v="271441.51"/>
    <n v="0"/>
    <s v="Delivered"/>
    <x v="1"/>
    <x v="1"/>
    <x v="28"/>
    <x v="4"/>
    <n v="0.27"/>
    <n v="47583.57"/>
    <n v="0.17529953322172426"/>
    <n v="0"/>
    <x v="0"/>
    <n v="9"/>
    <s v="September"/>
    <s v="2024-09"/>
  </r>
  <r>
    <s v="FZ00974"/>
    <n v="45609"/>
    <n v="45609"/>
    <x v="0"/>
    <n v="100"/>
    <n v="959.1"/>
    <n v="1.38"/>
    <n v="94586.44"/>
    <x v="3"/>
    <n v="732.68"/>
    <n v="73268"/>
    <n v="563.85"/>
    <n v="423.46"/>
    <n v="2073.4499999999998"/>
    <n v="76328.759999999995"/>
    <n v="21318.44"/>
    <n v="18257.68"/>
    <s v="Paid"/>
    <n v="94586.44"/>
    <n v="0"/>
    <s v="Delivered"/>
    <x v="0"/>
    <x v="3"/>
    <x v="23"/>
    <x v="4"/>
    <n v="0.38"/>
    <n v="18257.68"/>
    <n v="0.19302639997868615"/>
    <n v="0"/>
    <x v="0"/>
    <n v="11"/>
    <s v="November"/>
    <s v="2024-11"/>
  </r>
  <r>
    <s v="FZ00975"/>
    <n v="45686"/>
    <n v="45687"/>
    <x v="0"/>
    <n v="150"/>
    <n v="894.79"/>
    <n v="0.19"/>
    <n v="133963.48000000001"/>
    <x v="2"/>
    <n v="652.33000000000004"/>
    <n v="97849.5"/>
    <n v="2853.55"/>
    <n v="795.17"/>
    <n v="9095.89"/>
    <n v="110594.11"/>
    <n v="36113.980000000003"/>
    <n v="23369.37"/>
    <s v="Part-paid"/>
    <n v="111643.04"/>
    <n v="22320.44"/>
    <s v="Delivered"/>
    <x v="0"/>
    <x v="3"/>
    <x v="13"/>
    <x v="5"/>
    <n v="0.59"/>
    <n v="23369.37"/>
    <n v="0.17444582657900495"/>
    <n v="0"/>
    <x v="1"/>
    <n v="1"/>
    <s v="January"/>
    <s v="2025-01"/>
  </r>
  <r>
    <s v="FZ00976"/>
    <n v="45847"/>
    <n v="45859"/>
    <x v="0"/>
    <n v="300"/>
    <n v="896.12"/>
    <n v="1.28"/>
    <n v="265394.90000000002"/>
    <x v="2"/>
    <n v="685.54"/>
    <n v="205662"/>
    <n v="1781.99"/>
    <n v="1535.02"/>
    <n v="3037.72"/>
    <n v="212016.73"/>
    <n v="59732.9"/>
    <n v="53378.17"/>
    <s v="Part-paid"/>
    <n v="175393.07"/>
    <n v="90001.83"/>
    <s v="Delivered"/>
    <x v="1"/>
    <x v="1"/>
    <x v="12"/>
    <x v="2"/>
    <n v="0.25"/>
    <n v="53378.17"/>
    <n v="0.20112733892022791"/>
    <n v="0"/>
    <x v="1"/>
    <n v="7"/>
    <s v="July"/>
    <s v="2025-07"/>
  </r>
  <r>
    <s v="FZ00977"/>
    <n v="45704"/>
    <n v="45713"/>
    <x v="4"/>
    <n v="1000"/>
    <n v="2647.45"/>
    <n v="0.56000000000000005"/>
    <n v="2632624.2799999998"/>
    <x v="1"/>
    <n v="2367.2600000000002"/>
    <n v="2367260"/>
    <n v="7813.36"/>
    <n v="3749.24"/>
    <n v="5795.71"/>
    <n v="2384618.31"/>
    <n v="265364.28000000003"/>
    <n v="248005.97"/>
    <s v="Paid"/>
    <n v="2632624.2799999998"/>
    <n v="0"/>
    <s v="Collected"/>
    <x v="3"/>
    <x v="0"/>
    <x v="31"/>
    <x v="1"/>
    <n v="1.73"/>
    <n v="248005.97"/>
    <n v="9.4204847947387316E-2"/>
    <n v="0"/>
    <x v="1"/>
    <n v="2"/>
    <s v="February"/>
    <s v="2025-02"/>
  </r>
  <r>
    <s v="FZ00978"/>
    <n v="45690"/>
    <n v="45694"/>
    <x v="0"/>
    <n v="150"/>
    <n v="859.68"/>
    <n v="2.44"/>
    <n v="125805.57"/>
    <x v="3"/>
    <n v="731.41"/>
    <n v="109711.5"/>
    <n v="1813.71"/>
    <n v="396.98"/>
    <n v="9612.64"/>
    <n v="121534.83"/>
    <n v="16094.07"/>
    <n v="4270.74"/>
    <s v="Paid"/>
    <n v="125805.57"/>
    <n v="0"/>
    <s v="Delivered"/>
    <x v="0"/>
    <x v="0"/>
    <x v="7"/>
    <x v="5"/>
    <n v="0.71"/>
    <n v="4270.74"/>
    <n v="3.3947145583458661E-2"/>
    <n v="0"/>
    <x v="1"/>
    <n v="2"/>
    <s v="February"/>
    <s v="2025-02"/>
  </r>
  <r>
    <s v="FZ00979"/>
    <n v="45693"/>
    <n v="45701"/>
    <x v="2"/>
    <n v="200"/>
    <n v="685.99"/>
    <n v="0.67"/>
    <n v="136278.76999999999"/>
    <x v="1"/>
    <n v="578.16"/>
    <n v="115632"/>
    <n v="2799.21"/>
    <n v="1000.42"/>
    <n v="11448.05"/>
    <n v="130879.67999999999"/>
    <n v="20646.77"/>
    <n v="5399.09"/>
    <s v="Paid"/>
    <n v="136278.76999999999"/>
    <n v="0"/>
    <s v="Delivered"/>
    <x v="0"/>
    <x v="1"/>
    <x v="23"/>
    <x v="4"/>
    <n v="2.15"/>
    <n v="5399.09"/>
    <n v="3.9617983050478082E-2"/>
    <n v="0"/>
    <x v="1"/>
    <n v="2"/>
    <s v="February"/>
    <s v="2025-02"/>
  </r>
  <r>
    <s v="FZ00980"/>
    <n v="45870"/>
    <n v="45880"/>
    <x v="1"/>
    <n v="750"/>
    <n v="1343.35"/>
    <n v="3.91"/>
    <n v="968118.76"/>
    <x v="0"/>
    <n v="1007.58"/>
    <n v="755685"/>
    <n v="6935.4"/>
    <n v="2258.62"/>
    <n v="7035.8"/>
    <n v="771914.82"/>
    <n v="212433.76"/>
    <n v="196203.94"/>
    <s v="Paid"/>
    <n v="968118.76"/>
    <n v="0"/>
    <s v="Delivered"/>
    <x v="5"/>
    <x v="3"/>
    <x v="8"/>
    <x v="5"/>
    <n v="0.31"/>
    <n v="196203.94"/>
    <n v="0.20266515649381694"/>
    <n v="0"/>
    <x v="1"/>
    <n v="8"/>
    <s v="August"/>
    <s v="2025-08"/>
  </r>
  <r>
    <s v="FZ00981"/>
    <n v="45899"/>
    <n v="45901"/>
    <x v="3"/>
    <n v="200"/>
    <n v="936.4"/>
    <n v="1.01"/>
    <n v="185388.47"/>
    <x v="1"/>
    <n v="811.64"/>
    <n v="162328"/>
    <n v="3581.61"/>
    <n v="447.86"/>
    <n v="944.9"/>
    <n v="167302.37"/>
    <n v="23060.47"/>
    <n v="18086.099999999999"/>
    <s v="Unpaid"/>
    <n v="0"/>
    <n v="185388.47"/>
    <s v="Delivered"/>
    <x v="0"/>
    <x v="4"/>
    <x v="7"/>
    <x v="5"/>
    <n v="2.4"/>
    <n v="18086.099999999999"/>
    <n v="9.7557847044101489E-2"/>
    <n v="0"/>
    <x v="1"/>
    <n v="8"/>
    <s v="August"/>
    <s v="2025-08"/>
  </r>
  <r>
    <s v="FZ00982"/>
    <n v="45641"/>
    <n v="45649"/>
    <x v="2"/>
    <n v="100"/>
    <n v="789.36"/>
    <n v="1.18"/>
    <n v="78004.56"/>
    <x v="2"/>
    <n v="576.96"/>
    <n v="57696"/>
    <n v="2366.9"/>
    <n v="175.47"/>
    <n v="11600.89"/>
    <n v="71839.259999999995"/>
    <n v="20308.560000000001"/>
    <n v="6165.3"/>
    <s v="Paid"/>
    <n v="78004.56"/>
    <n v="0"/>
    <s v="Delivered"/>
    <x v="4"/>
    <x v="1"/>
    <x v="1"/>
    <x v="1"/>
    <n v="1.95"/>
    <n v="6165.3"/>
    <n v="7.9037687027527628E-2"/>
    <n v="0"/>
    <x v="0"/>
    <n v="12"/>
    <s v="December"/>
    <s v="2024-12"/>
  </r>
  <r>
    <s v="FZ00983"/>
    <n v="45304"/>
    <n v="45314"/>
    <x v="1"/>
    <n v="300"/>
    <n v="1275.73"/>
    <n v="1.76"/>
    <n v="375983.15"/>
    <x v="1"/>
    <n v="1090.05"/>
    <n v="327015"/>
    <n v="4838.17"/>
    <n v="1191.99"/>
    <n v="153.63999999999999"/>
    <n v="333198.8"/>
    <n v="48968.15"/>
    <n v="42784.35"/>
    <s v="Paid"/>
    <n v="375983.15"/>
    <n v="0"/>
    <s v="Collected"/>
    <x v="3"/>
    <x v="1"/>
    <x v="12"/>
    <x v="2"/>
    <n v="1.46"/>
    <n v="42784.35"/>
    <n v="0.11379326440559902"/>
    <n v="0"/>
    <x v="0"/>
    <n v="1"/>
    <s v="January"/>
    <s v="2024-01"/>
  </r>
  <r>
    <s v="FZ00984"/>
    <n v="45640"/>
    <n v="45649"/>
    <x v="1"/>
    <n v="300"/>
    <n v="1355.84"/>
    <n v="1.02"/>
    <n v="402603.13"/>
    <x v="1"/>
    <n v="1062.58"/>
    <n v="318774"/>
    <n v="3822.36"/>
    <n v="1229.3800000000001"/>
    <n v="2257.87"/>
    <n v="326083.61"/>
    <n v="83829.13"/>
    <n v="76519.520000000004"/>
    <s v="Unpaid"/>
    <n v="0"/>
    <n v="402603.13"/>
    <s v="Delivered"/>
    <x v="1"/>
    <x v="0"/>
    <x v="28"/>
    <x v="4"/>
    <n v="1.78"/>
    <n v="76519.520000000004"/>
    <n v="0.19006191034828765"/>
    <n v="0"/>
    <x v="0"/>
    <n v="12"/>
    <s v="December"/>
    <s v="2024-12"/>
  </r>
  <r>
    <s v="FZ00985"/>
    <n v="45979"/>
    <m/>
    <x v="0"/>
    <n v="50"/>
    <n v="952.6"/>
    <n v="0.73"/>
    <n v="47282.3"/>
    <x v="3"/>
    <n v="697.59"/>
    <n v="34879.5"/>
    <n v="272.05"/>
    <n v="124.14"/>
    <n v="7512.1"/>
    <n v="42787.79"/>
    <n v="12402.8"/>
    <n v="4494.51"/>
    <s v="Paid"/>
    <n v="47282.3"/>
    <n v="0"/>
    <s v="Pending"/>
    <x v="2"/>
    <x v="0"/>
    <x v="26"/>
    <x v="4"/>
    <n v="0.32"/>
    <n v="4494.51"/>
    <n v="9.5056924049802996E-2"/>
    <n v="0"/>
    <x v="1"/>
    <n v="11"/>
    <s v="November"/>
    <s v="2025-11"/>
  </r>
  <r>
    <s v="FZ00986"/>
    <n v="45309"/>
    <m/>
    <x v="0"/>
    <n v="200"/>
    <n v="845.49"/>
    <n v="1.71"/>
    <n v="166206.42000000001"/>
    <x v="3"/>
    <n v="735.78"/>
    <n v="147156"/>
    <n v="1668.14"/>
    <n v="872.15"/>
    <n v="11656.41"/>
    <n v="161352.70000000001"/>
    <n v="19050.419999999998"/>
    <n v="4853.72"/>
    <s v="Part-paid"/>
    <n v="70281.73"/>
    <n v="95924.69"/>
    <s v="Pending"/>
    <x v="3"/>
    <x v="1"/>
    <x v="10"/>
    <x v="5"/>
    <n v="1.79"/>
    <n v="4853.72"/>
    <n v="2.9202963399368086E-2"/>
    <n v="0"/>
    <x v="0"/>
    <n v="1"/>
    <s v="January"/>
    <s v="2024-01"/>
  </r>
  <r>
    <s v="FZ00987"/>
    <n v="45570"/>
    <n v="45582"/>
    <x v="0"/>
    <n v="50"/>
    <n v="942.82"/>
    <n v="1.92"/>
    <n v="46235.89"/>
    <x v="3"/>
    <n v="684.12"/>
    <n v="34206"/>
    <n v="449.65"/>
    <n v="256.06"/>
    <n v="5403.93"/>
    <n v="40315.64"/>
    <n v="12029.89"/>
    <n v="5920.25"/>
    <s v="Paid"/>
    <n v="46235.89"/>
    <n v="0"/>
    <s v="Collected"/>
    <x v="0"/>
    <x v="1"/>
    <x v="13"/>
    <x v="5"/>
    <n v="0.05"/>
    <n v="5920.25"/>
    <n v="0.12804446935054131"/>
    <n v="0"/>
    <x v="0"/>
    <n v="10"/>
    <s v="October"/>
    <s v="2024-10"/>
  </r>
  <r>
    <s v="FZ00988"/>
    <n v="45826"/>
    <n v="45830"/>
    <x v="2"/>
    <n v="750"/>
    <n v="744.81"/>
    <n v="4.87"/>
    <n v="531403.31000000006"/>
    <x v="3"/>
    <n v="571.07000000000005"/>
    <n v="428302.5"/>
    <n v="5086.8"/>
    <n v="2046.12"/>
    <n v="3556.61"/>
    <n v="438992.03"/>
    <n v="103100.81"/>
    <n v="92411.28"/>
    <s v="Part-paid"/>
    <n v="370563.63"/>
    <n v="160839.67999999999"/>
    <s v="Delivered"/>
    <x v="1"/>
    <x v="3"/>
    <x v="16"/>
    <x v="1"/>
    <n v="2.0499999999999998"/>
    <n v="92411.28"/>
    <n v="0.1739004598973988"/>
    <n v="0"/>
    <x v="1"/>
    <n v="6"/>
    <s v="June"/>
    <s v="2025-06"/>
  </r>
  <r>
    <s v="FZ00989"/>
    <n v="45369"/>
    <n v="45370"/>
    <x v="2"/>
    <n v="300"/>
    <n v="744.93"/>
    <n v="1.74"/>
    <n v="219590.47"/>
    <x v="2"/>
    <n v="577.28"/>
    <n v="173184"/>
    <n v="4605.3599999999997"/>
    <n v="1163.99"/>
    <n v="6682.77"/>
    <n v="185636.12"/>
    <n v="46406.47"/>
    <n v="33954.35"/>
    <s v="Paid"/>
    <n v="219590.47"/>
    <n v="0"/>
    <s v="Delivered"/>
    <x v="0"/>
    <x v="1"/>
    <x v="12"/>
    <x v="2"/>
    <n v="1.07"/>
    <n v="33954.35"/>
    <n v="0.15462579045438538"/>
    <n v="0"/>
    <x v="0"/>
    <n v="3"/>
    <s v="March"/>
    <s v="2024-03"/>
  </r>
  <r>
    <s v="FZ00990"/>
    <n v="45572"/>
    <n v="45586"/>
    <x v="0"/>
    <n v="200"/>
    <n v="953.74"/>
    <n v="1.59"/>
    <n v="187715.11"/>
    <x v="1"/>
    <n v="733.96"/>
    <n v="146792"/>
    <n v="4730.8500000000004"/>
    <n v="1011.04"/>
    <n v="7511.01"/>
    <n v="160044.9"/>
    <n v="40923.11"/>
    <n v="27670.21"/>
    <s v="Paid"/>
    <n v="187715.11"/>
    <n v="0"/>
    <s v="Delivered"/>
    <x v="2"/>
    <x v="2"/>
    <x v="11"/>
    <x v="5"/>
    <n v="0.8"/>
    <n v="27670.21"/>
    <n v="0.14740534206330008"/>
    <n v="0"/>
    <x v="0"/>
    <n v="10"/>
    <s v="October"/>
    <s v="2024-10"/>
  </r>
  <r>
    <s v="FZ00991"/>
    <n v="45372"/>
    <n v="45375"/>
    <x v="0"/>
    <n v="1000"/>
    <n v="829.9"/>
    <n v="3.74"/>
    <n v="798861.74"/>
    <x v="1"/>
    <n v="681.31"/>
    <n v="681310"/>
    <n v="18140.439999999999"/>
    <n v="1834.7"/>
    <n v="1874.75"/>
    <n v="703159.89"/>
    <n v="117551.74"/>
    <n v="95701.85"/>
    <s v="Part-paid"/>
    <n v="552289.02"/>
    <n v="246572.72"/>
    <s v="Delivered"/>
    <x v="2"/>
    <x v="0"/>
    <x v="20"/>
    <x v="2"/>
    <n v="2.2000000000000002"/>
    <n v="95701.85"/>
    <n v="0.11979776375321217"/>
    <n v="0"/>
    <x v="0"/>
    <n v="3"/>
    <s v="March"/>
    <s v="2024-03"/>
  </r>
  <r>
    <s v="FZ00992"/>
    <n v="45663"/>
    <n v="45675"/>
    <x v="0"/>
    <n v="150"/>
    <n v="846.89"/>
    <n v="1.44"/>
    <n v="125204.22"/>
    <x v="1"/>
    <n v="723.82"/>
    <n v="108573"/>
    <n v="1979.95"/>
    <n v="403.74"/>
    <n v="9167.85"/>
    <n v="120124.54"/>
    <n v="16631.22"/>
    <n v="5079.68"/>
    <s v="Part-paid"/>
    <n v="43456.3"/>
    <n v="81747.92"/>
    <s v="Delivered"/>
    <x v="0"/>
    <x v="0"/>
    <x v="8"/>
    <x v="5"/>
    <n v="0.31"/>
    <n v="5079.68"/>
    <n v="4.0571156467409809E-2"/>
    <n v="0"/>
    <x v="1"/>
    <n v="1"/>
    <s v="January"/>
    <s v="2025-01"/>
  </r>
  <r>
    <s v="FZ00993"/>
    <n v="45327"/>
    <n v="45330"/>
    <x v="3"/>
    <n v="200"/>
    <n v="904.86"/>
    <n v="0.72"/>
    <n v="179669"/>
    <x v="2"/>
    <n v="802.9"/>
    <n v="160580"/>
    <n v="1360.45"/>
    <n v="800.55"/>
    <n v="2379.37"/>
    <n v="165120.37"/>
    <n v="19089"/>
    <n v="14548.63"/>
    <s v="Paid"/>
    <n v="179669"/>
    <n v="0"/>
    <s v="Delivered"/>
    <x v="5"/>
    <x v="1"/>
    <x v="20"/>
    <x v="2"/>
    <n v="1.51"/>
    <n v="14548.63"/>
    <n v="8.0974625561449104E-2"/>
    <n v="0"/>
    <x v="0"/>
    <n v="2"/>
    <s v="February"/>
    <s v="2024-02"/>
  </r>
  <r>
    <s v="FZ00994"/>
    <n v="45435"/>
    <n v="45447"/>
    <x v="0"/>
    <n v="50"/>
    <n v="815.17"/>
    <n v="0.74"/>
    <n v="40456.89"/>
    <x v="1"/>
    <n v="674.71"/>
    <n v="33735.5"/>
    <n v="371.86"/>
    <n v="139.43"/>
    <n v="7761.7"/>
    <n v="42008.49"/>
    <n v="6721.39"/>
    <n v="-1551.6"/>
    <s v="Unpaid"/>
    <n v="0"/>
    <n v="40456.89"/>
    <s v="Delivered"/>
    <x v="4"/>
    <x v="0"/>
    <x v="3"/>
    <x v="3"/>
    <n v="0.3"/>
    <n v="-1551.6"/>
    <n v="-3.8351934614845581E-2"/>
    <n v="0"/>
    <x v="0"/>
    <n v="5"/>
    <s v="May"/>
    <s v="2024-05"/>
  </r>
  <r>
    <s v="FZ00995"/>
    <n v="45855"/>
    <n v="45860"/>
    <x v="3"/>
    <n v="300"/>
    <n v="907.6"/>
    <n v="1.35"/>
    <n v="268604.21999999997"/>
    <x v="0"/>
    <n v="724.29"/>
    <n v="217287"/>
    <n v="5080.6099999999997"/>
    <n v="1417.94"/>
    <n v="7146.18"/>
    <n v="230931.73"/>
    <n v="51317.22"/>
    <n v="37672.49"/>
    <s v="Paid"/>
    <n v="268604.21999999997"/>
    <n v="0"/>
    <s v="Delivered"/>
    <x v="0"/>
    <x v="0"/>
    <x v="17"/>
    <x v="3"/>
    <n v="0.64"/>
    <n v="37672.49"/>
    <n v="0.14025278530620255"/>
    <n v="0"/>
    <x v="1"/>
    <n v="7"/>
    <s v="July"/>
    <s v="2025-07"/>
  </r>
  <r>
    <s v="FZ00996"/>
    <n v="45785"/>
    <n v="45793"/>
    <x v="3"/>
    <n v="300"/>
    <n v="998.53"/>
    <n v="2.0499999999999998"/>
    <n v="293418.03999999998"/>
    <x v="1"/>
    <n v="750.77"/>
    <n v="225231"/>
    <n v="5555.35"/>
    <n v="1616.22"/>
    <n v="3680.14"/>
    <n v="236082.71"/>
    <n v="68187.039999999994"/>
    <n v="57335.33"/>
    <s v="Paid"/>
    <n v="293418.03999999998"/>
    <n v="0"/>
    <s v="Delivered"/>
    <x v="3"/>
    <x v="4"/>
    <x v="1"/>
    <x v="1"/>
    <n v="2.2000000000000002"/>
    <n v="57335.33"/>
    <n v="0.19540492465971079"/>
    <n v="0"/>
    <x v="1"/>
    <n v="5"/>
    <s v="May"/>
    <s v="2025-05"/>
  </r>
  <r>
    <s v="FZ00997"/>
    <n v="45498"/>
    <n v="45507"/>
    <x v="0"/>
    <n v="100"/>
    <n v="873.54"/>
    <n v="1.41"/>
    <n v="86122.31"/>
    <x v="2"/>
    <n v="704.21"/>
    <n v="70421"/>
    <n v="2392.0700000000002"/>
    <n v="359.24"/>
    <n v="2366.31"/>
    <n v="75538.62"/>
    <n v="15701.31"/>
    <n v="10583.69"/>
    <s v="Part-paid"/>
    <n v="38064.43"/>
    <n v="48057.88"/>
    <s v="Delivered"/>
    <x v="2"/>
    <x v="1"/>
    <x v="7"/>
    <x v="5"/>
    <n v="1.58"/>
    <n v="10583.69"/>
    <n v="0.12289138551903683"/>
    <n v="0"/>
    <x v="0"/>
    <n v="7"/>
    <s v="July"/>
    <s v="2024-07"/>
  </r>
  <r>
    <s v="FZ00998"/>
    <n v="45878"/>
    <n v="45889"/>
    <x v="0"/>
    <n v="250"/>
    <n v="900.95"/>
    <n v="1.32"/>
    <n v="222264.36"/>
    <x v="1"/>
    <n v="718.72"/>
    <n v="179680"/>
    <n v="2563.94"/>
    <n v="476.78"/>
    <n v="8468.81"/>
    <n v="191189.53"/>
    <n v="42584.36"/>
    <n v="31074.83"/>
    <s v="Paid"/>
    <n v="222264.36"/>
    <n v="0"/>
    <s v="Delivered"/>
    <x v="3"/>
    <x v="1"/>
    <x v="33"/>
    <x v="1"/>
    <n v="0.84"/>
    <n v="31074.83"/>
    <n v="0.13981022418528999"/>
    <n v="0"/>
    <x v="1"/>
    <n v="8"/>
    <s v="August"/>
    <s v="2025-08"/>
  </r>
  <r>
    <s v="FZ00999"/>
    <n v="45966"/>
    <n v="45977"/>
    <x v="3"/>
    <n v="300"/>
    <n v="1075.07"/>
    <n v="1.86"/>
    <n v="316522.11"/>
    <x v="2"/>
    <n v="733.38"/>
    <n v="220014"/>
    <n v="3170.67"/>
    <n v="863.92"/>
    <n v="9634.94"/>
    <n v="233683.53"/>
    <n v="96508.11"/>
    <n v="82838.58"/>
    <s v="Paid"/>
    <n v="316522.11"/>
    <n v="0"/>
    <s v="Collected"/>
    <x v="0"/>
    <x v="3"/>
    <x v="6"/>
    <x v="2"/>
    <n v="1"/>
    <n v="82838.58"/>
    <n v="0.26171498730373055"/>
    <n v="0"/>
    <x v="1"/>
    <n v="11"/>
    <s v="November"/>
    <s v="2025-11"/>
  </r>
  <r>
    <s v="FZ01000"/>
    <n v="45853"/>
    <n v="45854"/>
    <x v="0"/>
    <n v="250"/>
    <n v="886.76"/>
    <n v="1.57"/>
    <n v="218209.47"/>
    <x v="0"/>
    <n v="729.03"/>
    <n v="182257.5"/>
    <n v="2399.67"/>
    <n v="1277.77"/>
    <n v="4673.82"/>
    <n v="190608.76"/>
    <n v="35951.97"/>
    <n v="27600.71"/>
    <s v="Paid"/>
    <n v="218209.47"/>
    <n v="0"/>
    <s v="Delivered"/>
    <x v="5"/>
    <x v="1"/>
    <x v="28"/>
    <x v="4"/>
    <n v="0.24"/>
    <n v="27600.71"/>
    <n v="0.12648722349217933"/>
    <n v="0"/>
    <x v="1"/>
    <n v="7"/>
    <s v="July"/>
    <s v="2025-07"/>
  </r>
  <r>
    <s v="FZ01001"/>
    <n v="45765"/>
    <n v="45769"/>
    <x v="0"/>
    <n v="300"/>
    <n v="854.43"/>
    <n v="2.2000000000000002"/>
    <n v="250689.76"/>
    <x v="0"/>
    <n v="714.76"/>
    <n v="214428"/>
    <n v="2228.9299999999998"/>
    <n v="1729.58"/>
    <n v="5833.75"/>
    <n v="224220.26"/>
    <n v="36261.760000000002"/>
    <n v="26469.5"/>
    <s v="Paid"/>
    <n v="250689.76"/>
    <n v="0"/>
    <s v="Collected"/>
    <x v="3"/>
    <x v="1"/>
    <x v="8"/>
    <x v="5"/>
    <n v="1.47"/>
    <n v="26469.5"/>
    <n v="0.10558668212056208"/>
    <n v="0"/>
    <x v="1"/>
    <n v="4"/>
    <s v="April"/>
    <s v="2025-04"/>
  </r>
  <r>
    <s v="FZ01002"/>
    <n v="45907"/>
    <n v="45908"/>
    <x v="3"/>
    <n v="150"/>
    <n v="920.04"/>
    <n v="1.02"/>
    <n v="136598.34"/>
    <x v="2"/>
    <n v="736.87"/>
    <n v="110530.5"/>
    <n v="2494.77"/>
    <n v="317.68"/>
    <n v="10211.89"/>
    <n v="123554.84"/>
    <n v="26067.84"/>
    <n v="13043.5"/>
    <s v="Unpaid"/>
    <n v="0"/>
    <n v="136598.34"/>
    <s v="Delivered"/>
    <x v="3"/>
    <x v="1"/>
    <x v="11"/>
    <x v="5"/>
    <n v="1.02"/>
    <n v="13043.5"/>
    <n v="9.5487983236106674E-2"/>
    <n v="0"/>
    <x v="1"/>
    <n v="9"/>
    <s v="September"/>
    <s v="2025-09"/>
  </r>
  <r>
    <s v="FZ01003"/>
    <n v="45655"/>
    <n v="45656"/>
    <x v="0"/>
    <n v="100"/>
    <n v="985.18"/>
    <n v="2.0099999999999998"/>
    <n v="96537.79"/>
    <x v="2"/>
    <n v="666.03"/>
    <n v="66603"/>
    <n v="2177.85"/>
    <n v="254.41"/>
    <n v="8365.2900000000009"/>
    <n v="77400.55"/>
    <n v="29934.79"/>
    <n v="19137.240000000002"/>
    <s v="Paid"/>
    <n v="96537.79"/>
    <n v="0"/>
    <s v="Delivered"/>
    <x v="5"/>
    <x v="1"/>
    <x v="22"/>
    <x v="5"/>
    <n v="0.79"/>
    <n v="19137.240000000002"/>
    <n v="0.19823573752827781"/>
    <n v="0"/>
    <x v="0"/>
    <n v="12"/>
    <s v="December"/>
    <s v="2024-12"/>
  </r>
  <r>
    <s v="FZ01004"/>
    <n v="45507"/>
    <n v="45514"/>
    <x v="2"/>
    <n v="300"/>
    <n v="692.55"/>
    <n v="1.28"/>
    <n v="205105.61"/>
    <x v="1"/>
    <n v="531.65"/>
    <n v="159495"/>
    <n v="5218.91"/>
    <n v="1518.06"/>
    <n v="8111.58"/>
    <n v="174343.55"/>
    <n v="45610.61"/>
    <n v="30762.06"/>
    <s v="Paid"/>
    <n v="205105.61"/>
    <n v="0"/>
    <s v="Delivered"/>
    <x v="0"/>
    <x v="1"/>
    <x v="11"/>
    <x v="5"/>
    <n v="0.86"/>
    <n v="30762.06"/>
    <n v="0.14998156315665867"/>
    <n v="0"/>
    <x v="0"/>
    <n v="8"/>
    <s v="August"/>
    <s v="2024-08"/>
  </r>
  <r>
    <s v="FZ01005"/>
    <n v="45398"/>
    <n v="45400"/>
    <x v="1"/>
    <n v="100"/>
    <n v="1308.8599999999999"/>
    <n v="0.69"/>
    <n v="129982.89"/>
    <x v="0"/>
    <n v="1009.3"/>
    <n v="100930"/>
    <n v="1630.95"/>
    <n v="166.95"/>
    <n v="7637.34"/>
    <n v="110365.24"/>
    <n v="29052.89"/>
    <n v="19617.650000000001"/>
    <s v="Part-paid"/>
    <n v="95510.66"/>
    <n v="34472.230000000003"/>
    <s v="Collected"/>
    <x v="2"/>
    <x v="1"/>
    <x v="2"/>
    <x v="2"/>
    <n v="1.49"/>
    <n v="19617.650000000001"/>
    <n v="0.15092486403402788"/>
    <n v="0"/>
    <x v="0"/>
    <n v="4"/>
    <s v="April"/>
    <s v="2024-04"/>
  </r>
  <r>
    <s v="FZ01006"/>
    <n v="45363"/>
    <n v="45369"/>
    <x v="0"/>
    <n v="50"/>
    <n v="886.41"/>
    <n v="1.1299999999999999"/>
    <n v="43819.68"/>
    <x v="2"/>
    <n v="752.06"/>
    <n v="37603"/>
    <n v="297.05"/>
    <n v="288.14"/>
    <n v="3122.34"/>
    <n v="41310.53"/>
    <n v="6216.68"/>
    <n v="2509.15"/>
    <s v="Paid"/>
    <n v="43819.68"/>
    <n v="0"/>
    <s v="Delivered"/>
    <x v="5"/>
    <x v="2"/>
    <x v="26"/>
    <x v="4"/>
    <n v="0.38"/>
    <n v="2509.15"/>
    <n v="5.726080153939965E-2"/>
    <n v="0"/>
    <x v="0"/>
    <n v="3"/>
    <s v="March"/>
    <s v="2024-03"/>
  </r>
  <r>
    <s v="FZ01007"/>
    <n v="45416"/>
    <n v="45420"/>
    <x v="1"/>
    <n v="500"/>
    <n v="1267.22"/>
    <n v="1.63"/>
    <n v="623282.16"/>
    <x v="3"/>
    <n v="1051.6600000000001"/>
    <n v="525830"/>
    <n v="3690.11"/>
    <n v="1579.32"/>
    <n v="1990.97"/>
    <n v="533090.4"/>
    <n v="97452.160000000003"/>
    <n v="90191.76"/>
    <s v="Paid"/>
    <n v="623282.16"/>
    <n v="0"/>
    <s v="Delivered"/>
    <x v="0"/>
    <x v="0"/>
    <x v="11"/>
    <x v="5"/>
    <n v="2.04"/>
    <n v="90191.76"/>
    <n v="0.14470454280289363"/>
    <n v="0"/>
    <x v="0"/>
    <n v="5"/>
    <s v="May"/>
    <s v="2024-05"/>
  </r>
  <r>
    <s v="FZ01008"/>
    <n v="45400"/>
    <n v="45411"/>
    <x v="0"/>
    <n v="50"/>
    <n v="929.6"/>
    <n v="1.78"/>
    <n v="45652.66"/>
    <x v="1"/>
    <n v="746.82"/>
    <n v="37341"/>
    <n v="484"/>
    <n v="263.35000000000002"/>
    <n v="8646.16"/>
    <n v="46734.51"/>
    <n v="8311.66"/>
    <n v="-1081.8499999999999"/>
    <s v="Part-paid"/>
    <n v="30120.7"/>
    <n v="15531.96"/>
    <s v="Delivered"/>
    <x v="4"/>
    <x v="0"/>
    <x v="32"/>
    <x v="0"/>
    <n v="1.04"/>
    <n v="-1081.8499999999999"/>
    <n v="-2.3697414345626298E-2"/>
    <n v="0"/>
    <x v="0"/>
    <n v="4"/>
    <s v="April"/>
    <s v="2024-04"/>
  </r>
  <r>
    <s v="FZ01009"/>
    <n v="45525"/>
    <m/>
    <x v="0"/>
    <n v="200"/>
    <n v="904.04"/>
    <n v="1.99"/>
    <n v="177209.92"/>
    <x v="2"/>
    <n v="652.96"/>
    <n v="130592"/>
    <n v="3206.9"/>
    <n v="1111.17"/>
    <n v="6169.31"/>
    <n v="141079.38"/>
    <n v="46617.919999999998"/>
    <n v="36130.54"/>
    <s v="Paid"/>
    <n v="177209.92"/>
    <n v="0"/>
    <s v="Pending"/>
    <x v="2"/>
    <x v="4"/>
    <x v="5"/>
    <x v="4"/>
    <n v="1.53"/>
    <n v="36130.54"/>
    <n v="0.20388553868767617"/>
    <n v="0"/>
    <x v="0"/>
    <n v="8"/>
    <s v="August"/>
    <s v="2024-08"/>
  </r>
  <r>
    <s v="FZ01010"/>
    <n v="45741"/>
    <n v="45742"/>
    <x v="0"/>
    <n v="750"/>
    <n v="933.15"/>
    <n v="4.2300000000000004"/>
    <n v="670258.31999999995"/>
    <x v="2"/>
    <n v="723.63"/>
    <n v="542722.5"/>
    <n v="8352.7900000000009"/>
    <n v="4218.8999999999996"/>
    <n v="2849.62"/>
    <n v="558143.81000000006"/>
    <n v="127535.82"/>
    <n v="112114.51"/>
    <s v="Paid"/>
    <n v="670258.31999999995"/>
    <n v="0"/>
    <s v="Delivered"/>
    <x v="3"/>
    <x v="1"/>
    <x v="10"/>
    <x v="5"/>
    <n v="0.22"/>
    <n v="112114.51"/>
    <n v="0.16727059799869401"/>
    <n v="0"/>
    <x v="1"/>
    <n v="3"/>
    <s v="March"/>
    <s v="2025-03"/>
  </r>
  <r>
    <s v="FZ01011"/>
    <n v="45597"/>
    <n v="45605"/>
    <x v="0"/>
    <n v="150"/>
    <n v="898.18"/>
    <n v="1.59"/>
    <n v="132584.84"/>
    <x v="1"/>
    <n v="669.27"/>
    <n v="100390.5"/>
    <n v="3056.87"/>
    <n v="733.05"/>
    <n v="5511.24"/>
    <n v="109691.66"/>
    <n v="32194.34"/>
    <n v="22893.18"/>
    <s v="Paid"/>
    <n v="132584.84"/>
    <n v="0"/>
    <s v="Delivered"/>
    <x v="3"/>
    <x v="1"/>
    <x v="8"/>
    <x v="5"/>
    <n v="2.19"/>
    <n v="22893.18"/>
    <n v="0.17266815723426601"/>
    <n v="0"/>
    <x v="0"/>
    <n v="11"/>
    <s v="November"/>
    <s v="2024-11"/>
  </r>
  <r>
    <s v="FZ01012"/>
    <n v="45464"/>
    <m/>
    <x v="0"/>
    <n v="300"/>
    <n v="801.59"/>
    <n v="2.42"/>
    <n v="234657.46"/>
    <x v="2"/>
    <n v="684.61"/>
    <n v="205383"/>
    <n v="5800.57"/>
    <n v="1065.27"/>
    <n v="5084.09"/>
    <n v="217332.93"/>
    <n v="29274.46"/>
    <n v="17324.53"/>
    <s v="Paid"/>
    <n v="234657.46"/>
    <n v="0"/>
    <s v="Pending"/>
    <x v="3"/>
    <x v="1"/>
    <x v="11"/>
    <x v="5"/>
    <n v="1.77"/>
    <n v="17324.53"/>
    <n v="7.3829018689625298E-2"/>
    <n v="0"/>
    <x v="0"/>
    <n v="6"/>
    <s v="June"/>
    <s v="2024-06"/>
  </r>
  <r>
    <s v="FZ01013"/>
    <n v="45312"/>
    <n v="45313"/>
    <x v="0"/>
    <n v="300"/>
    <n v="816.76"/>
    <n v="0.18"/>
    <n v="244586.95"/>
    <x v="2"/>
    <n v="650.5"/>
    <n v="195150"/>
    <n v="6360.12"/>
    <n v="973.68"/>
    <n v="277.01"/>
    <n v="202760.81"/>
    <n v="49436.95"/>
    <n v="41826.14"/>
    <s v="Paid"/>
    <n v="244586.95"/>
    <n v="0"/>
    <s v="Delivered"/>
    <x v="0"/>
    <x v="1"/>
    <x v="6"/>
    <x v="2"/>
    <n v="0.1"/>
    <n v="41826.14"/>
    <n v="0.17100724302747958"/>
    <n v="0"/>
    <x v="0"/>
    <n v="1"/>
    <s v="January"/>
    <s v="2024-01"/>
  </r>
  <r>
    <s v="FZ01014"/>
    <n v="45419"/>
    <m/>
    <x v="2"/>
    <n v="750"/>
    <n v="726.42"/>
    <n v="4.7699999999999996"/>
    <n v="518827.32"/>
    <x v="0"/>
    <n v="572.17999999999995"/>
    <n v="429135"/>
    <n v="12074.18"/>
    <n v="4271.07"/>
    <n v="4126.83"/>
    <n v="449607.08"/>
    <n v="89692.32"/>
    <n v="69220.240000000005"/>
    <s v="Part-paid"/>
    <n v="215137.16"/>
    <n v="303690.15999999997"/>
    <s v="Pending"/>
    <x v="3"/>
    <x v="1"/>
    <x v="22"/>
    <x v="5"/>
    <n v="0.64"/>
    <n v="69220.240000000005"/>
    <n v="0.13341672138622154"/>
    <n v="0"/>
    <x v="0"/>
    <n v="5"/>
    <s v="May"/>
    <s v="2024-05"/>
  </r>
  <r>
    <s v="FZ01015"/>
    <n v="46015"/>
    <n v="46020"/>
    <x v="3"/>
    <n v="500"/>
    <n v="1103.07"/>
    <n v="1.87"/>
    <n v="541221.30000000005"/>
    <x v="3"/>
    <n v="814.91"/>
    <n v="407455"/>
    <n v="9459.09"/>
    <n v="1873.01"/>
    <n v="2531.88"/>
    <n v="421318.98"/>
    <n v="133766.29999999999"/>
    <n v="119902.32"/>
    <s v="Paid"/>
    <n v="541221.30000000005"/>
    <n v="0"/>
    <s v="Collected"/>
    <x v="1"/>
    <x v="1"/>
    <x v="15"/>
    <x v="3"/>
    <n v="0.43"/>
    <n v="119902.32"/>
    <n v="0.22154028305981305"/>
    <n v="0"/>
    <x v="1"/>
    <n v="12"/>
    <s v="December"/>
    <s v="2025-12"/>
  </r>
  <r>
    <s v="FZ01016"/>
    <n v="45377"/>
    <n v="45384"/>
    <x v="0"/>
    <n v="150"/>
    <n v="871.31"/>
    <n v="0.92"/>
    <n v="129494.09"/>
    <x v="1"/>
    <n v="662.32"/>
    <n v="99348"/>
    <n v="3175.07"/>
    <n v="331.98"/>
    <n v="10845.99"/>
    <n v="113701.04"/>
    <n v="30146.09"/>
    <n v="15793.05"/>
    <s v="Paid"/>
    <n v="129494.09"/>
    <n v="0"/>
    <s v="Delivered"/>
    <x v="4"/>
    <x v="2"/>
    <x v="23"/>
    <x v="4"/>
    <n v="1.84"/>
    <n v="15793.05"/>
    <n v="0.12195961993323402"/>
    <n v="0"/>
    <x v="0"/>
    <n v="3"/>
    <s v="March"/>
    <s v="2024-03"/>
  </r>
  <r>
    <s v="FZ01017"/>
    <n v="45301"/>
    <n v="45314"/>
    <x v="0"/>
    <n v="200"/>
    <n v="862.77"/>
    <n v="0.41"/>
    <n v="171846.53"/>
    <x v="3"/>
    <n v="722.95"/>
    <n v="144590"/>
    <n v="1025.8399999999999"/>
    <n v="1119.93"/>
    <n v="6966.09"/>
    <n v="153701.85999999999"/>
    <n v="27256.53"/>
    <n v="18144.669999999998"/>
    <s v="Unpaid"/>
    <n v="0"/>
    <n v="171846.53"/>
    <s v="Delivered"/>
    <x v="2"/>
    <x v="3"/>
    <x v="11"/>
    <x v="5"/>
    <n v="0.75"/>
    <n v="18144.669999999998"/>
    <n v="0.10558647881921153"/>
    <n v="0"/>
    <x v="0"/>
    <n v="1"/>
    <s v="January"/>
    <s v="2024-01"/>
  </r>
  <r>
    <s v="FZ01018"/>
    <n v="45430"/>
    <n v="45443"/>
    <x v="0"/>
    <n v="300"/>
    <n v="835.19"/>
    <n v="1.48"/>
    <n v="246848.76"/>
    <x v="2"/>
    <n v="746.93"/>
    <n v="224079"/>
    <n v="6479.24"/>
    <n v="631.05999999999995"/>
    <n v="2935.75"/>
    <n v="234125.05"/>
    <n v="22769.759999999998"/>
    <n v="12723.71"/>
    <s v="Paid"/>
    <n v="246848.76"/>
    <n v="0"/>
    <s v="Delivered"/>
    <x v="0"/>
    <x v="1"/>
    <x v="8"/>
    <x v="5"/>
    <n v="0.3"/>
    <n v="12723.71"/>
    <n v="5.1544557080213806E-2"/>
    <n v="0"/>
    <x v="0"/>
    <n v="5"/>
    <s v="May"/>
    <s v="2024-05"/>
  </r>
  <r>
    <s v="FZ01019"/>
    <n v="45994"/>
    <n v="46008"/>
    <x v="0"/>
    <n v="500"/>
    <n v="912.65"/>
    <n v="3.71"/>
    <n v="439395.34"/>
    <x v="2"/>
    <n v="727.44"/>
    <n v="363720"/>
    <n v="11781.93"/>
    <n v="1742.94"/>
    <n v="2714.89"/>
    <n v="379959.76"/>
    <n v="75675.34"/>
    <n v="59435.58"/>
    <s v="Paid"/>
    <n v="439395.34"/>
    <n v="0"/>
    <s v="Delivered"/>
    <x v="2"/>
    <x v="1"/>
    <x v="15"/>
    <x v="3"/>
    <n v="2.41"/>
    <n v="59435.58"/>
    <n v="0.1352667508945361"/>
    <n v="0"/>
    <x v="1"/>
    <n v="12"/>
    <s v="December"/>
    <s v="2025-12"/>
  </r>
  <r>
    <s v="FZ01020"/>
    <n v="45333"/>
    <n v="45339"/>
    <x v="0"/>
    <n v="500"/>
    <n v="856.51"/>
    <n v="0.66"/>
    <n v="425428.52"/>
    <x v="2"/>
    <n v="653.25"/>
    <n v="326625"/>
    <n v="10239.93"/>
    <n v="1062.8499999999999"/>
    <n v="2564.84"/>
    <n v="340492.62"/>
    <n v="98803.520000000004"/>
    <n v="84935.9"/>
    <s v="Paid"/>
    <n v="425428.52"/>
    <n v="0"/>
    <s v="Delivered"/>
    <x v="4"/>
    <x v="1"/>
    <x v="10"/>
    <x v="5"/>
    <n v="1.31"/>
    <n v="84935.9"/>
    <n v="0.19964787504138179"/>
    <n v="0"/>
    <x v="0"/>
    <n v="2"/>
    <s v="February"/>
    <s v="2024-02"/>
  </r>
  <r>
    <s v="FZ01021"/>
    <n v="45315"/>
    <n v="45325"/>
    <x v="1"/>
    <n v="300"/>
    <n v="1329.57"/>
    <n v="2.0099999999999998"/>
    <n v="390853.69"/>
    <x v="2"/>
    <n v="1012.25"/>
    <n v="303675"/>
    <n v="4841.38"/>
    <n v="1713.82"/>
    <n v="2729.8"/>
    <n v="312960"/>
    <n v="87178.69"/>
    <n v="77893.69"/>
    <s v="Paid"/>
    <n v="390853.69"/>
    <n v="0"/>
    <s v="Delivered"/>
    <x v="0"/>
    <x v="0"/>
    <x v="35"/>
    <x v="4"/>
    <n v="1.41"/>
    <n v="77893.69"/>
    <n v="0.19929117210074185"/>
    <n v="0"/>
    <x v="0"/>
    <n v="1"/>
    <s v="January"/>
    <s v="2024-01"/>
  </r>
  <r>
    <s v="FZ01022"/>
    <n v="45387"/>
    <n v="45398"/>
    <x v="0"/>
    <n v="750"/>
    <n v="863.35"/>
    <n v="2.12"/>
    <n v="633785.24"/>
    <x v="1"/>
    <n v="674.67"/>
    <n v="506002.5"/>
    <n v="8531.7000000000007"/>
    <n v="2189.65"/>
    <n v="10528.68"/>
    <n v="527252.53"/>
    <n v="127782.74"/>
    <n v="106532.71"/>
    <s v="Part-paid"/>
    <n v="512356.87"/>
    <n v="121428.37"/>
    <s v="Delivered"/>
    <x v="5"/>
    <x v="1"/>
    <x v="35"/>
    <x v="4"/>
    <n v="0.08"/>
    <n v="106532.71"/>
    <n v="0.16808960398004852"/>
    <n v="0"/>
    <x v="0"/>
    <n v="4"/>
    <s v="April"/>
    <s v="2024-04"/>
  </r>
  <r>
    <s v="FZ01023"/>
    <n v="45864"/>
    <n v="45872"/>
    <x v="0"/>
    <n v="50"/>
    <n v="858.41"/>
    <n v="2.23"/>
    <n v="41963.37"/>
    <x v="2"/>
    <n v="677.04"/>
    <n v="33852"/>
    <n v="265.44"/>
    <n v="207.96"/>
    <n v="6096.85"/>
    <n v="40422.25"/>
    <n v="8111.37"/>
    <n v="1541.12"/>
    <s v="Part-paid"/>
    <n v="25669.49"/>
    <n v="16293.88"/>
    <s v="Delivered"/>
    <x v="0"/>
    <x v="2"/>
    <x v="11"/>
    <x v="5"/>
    <n v="1.01"/>
    <n v="1541.12"/>
    <n v="3.6725363096433858E-2"/>
    <n v="0"/>
    <x v="1"/>
    <n v="7"/>
    <s v="July"/>
    <s v="2025-07"/>
  </r>
  <r>
    <s v="FZ01024"/>
    <n v="45441"/>
    <n v="45445"/>
    <x v="2"/>
    <n v="150"/>
    <n v="671.19"/>
    <n v="2.13"/>
    <n v="98534.05"/>
    <x v="2"/>
    <n v="528.76"/>
    <n v="79314"/>
    <n v="3141.43"/>
    <n v="532.02"/>
    <n v="1414.35"/>
    <n v="84401.8"/>
    <n v="19220.05"/>
    <n v="14132.25"/>
    <s v="Paid"/>
    <n v="98534.05"/>
    <n v="0"/>
    <s v="Collected"/>
    <x v="0"/>
    <x v="2"/>
    <x v="25"/>
    <x v="3"/>
    <n v="0.28000000000000003"/>
    <n v="14132.25"/>
    <n v="0.14342503936456483"/>
    <n v="0"/>
    <x v="0"/>
    <n v="5"/>
    <s v="May"/>
    <s v="2024-05"/>
  </r>
  <r>
    <s v="FZ01025"/>
    <n v="45544"/>
    <n v="45557"/>
    <x v="0"/>
    <n v="500"/>
    <n v="845.63"/>
    <n v="2.94"/>
    <n v="410384.24"/>
    <x v="0"/>
    <n v="701.04"/>
    <n v="350520"/>
    <n v="6812.75"/>
    <n v="2947.62"/>
    <n v="10745.23"/>
    <n v="371025.6"/>
    <n v="59864.24"/>
    <n v="39358.639999999999"/>
    <s v="Part-paid"/>
    <n v="267870.8"/>
    <n v="142513.44"/>
    <s v="Delivered"/>
    <x v="4"/>
    <x v="1"/>
    <x v="8"/>
    <x v="5"/>
    <n v="1.66"/>
    <n v="39358.639999999999"/>
    <n v="9.5906801879136486E-2"/>
    <n v="0"/>
    <x v="0"/>
    <n v="9"/>
    <s v="September"/>
    <s v="2024-09"/>
  </r>
  <r>
    <s v="FZ01026"/>
    <n v="45926"/>
    <m/>
    <x v="3"/>
    <n v="300"/>
    <n v="1055.79"/>
    <n v="1.99"/>
    <n v="0"/>
    <x v="1"/>
    <n v="790.71"/>
    <n v="0"/>
    <n v="0"/>
    <n v="0"/>
    <n v="0"/>
    <n v="0"/>
    <n v="0"/>
    <n v="0"/>
    <s v="Part-paid"/>
    <n v="0"/>
    <n v="0"/>
    <s v="Cancelled"/>
    <x v="3"/>
    <x v="3"/>
    <x v="7"/>
    <x v="5"/>
    <n v="2.0499999999999998"/>
    <n v="0"/>
    <e v="#DIV/0!"/>
    <n v="0"/>
    <x v="1"/>
    <n v="9"/>
    <s v="September"/>
    <s v="2025-09"/>
  </r>
  <r>
    <s v="FZ01027"/>
    <n v="45485"/>
    <n v="45486"/>
    <x v="0"/>
    <n v="500"/>
    <n v="792.01"/>
    <n v="3.13"/>
    <n v="383610.04"/>
    <x v="1"/>
    <n v="705.63"/>
    <n v="352815"/>
    <n v="2802.47"/>
    <n v="2754.24"/>
    <n v="10282.82"/>
    <n v="368654.53"/>
    <n v="30795.040000000001"/>
    <n v="14955.51"/>
    <s v="Part-paid"/>
    <n v="325726.40999999997"/>
    <n v="57883.63"/>
    <s v="Delivered"/>
    <x v="0"/>
    <x v="2"/>
    <x v="11"/>
    <x v="5"/>
    <n v="1.37"/>
    <n v="14955.51"/>
    <n v="3.8986231955764249E-2"/>
    <n v="0"/>
    <x v="0"/>
    <n v="7"/>
    <s v="July"/>
    <s v="2024-07"/>
  </r>
  <r>
    <s v="FZ01028"/>
    <n v="45580"/>
    <n v="45589"/>
    <x v="3"/>
    <n v="300"/>
    <n v="1033.1199999999999"/>
    <n v="1.32"/>
    <n v="305844.84000000003"/>
    <x v="2"/>
    <n v="816.18"/>
    <n v="244854"/>
    <n v="4069.76"/>
    <n v="1569.84"/>
    <n v="10883.21"/>
    <n v="261376.81"/>
    <n v="60990.84"/>
    <n v="44468.03"/>
    <s v="Paid"/>
    <n v="305844.84000000003"/>
    <n v="0"/>
    <s v="Delivered"/>
    <x v="1"/>
    <x v="1"/>
    <x v="24"/>
    <x v="0"/>
    <n v="1.83"/>
    <n v="44468.03"/>
    <n v="0.14539408282971195"/>
    <n v="0"/>
    <x v="0"/>
    <n v="10"/>
    <s v="October"/>
    <s v="2024-10"/>
  </r>
  <r>
    <s v="FZ01029"/>
    <n v="45628"/>
    <n v="45637"/>
    <x v="0"/>
    <n v="750"/>
    <n v="964"/>
    <n v="0.65"/>
    <n v="718300.5"/>
    <x v="2"/>
    <n v="748.07"/>
    <n v="561052.5"/>
    <n v="5852.64"/>
    <n v="2133.4699999999998"/>
    <n v="2116.7600000000002"/>
    <n v="571155.37"/>
    <n v="157248"/>
    <n v="147145.13"/>
    <s v="Paid"/>
    <n v="718300.5"/>
    <n v="0"/>
    <s v="Delivered"/>
    <x v="0"/>
    <x v="1"/>
    <x v="6"/>
    <x v="2"/>
    <n v="1.46"/>
    <n v="147145.13"/>
    <n v="0.20485177164710314"/>
    <n v="0"/>
    <x v="0"/>
    <n v="12"/>
    <s v="December"/>
    <s v="2024-12"/>
  </r>
  <r>
    <s v="FZ01030"/>
    <n v="45875"/>
    <n v="45875"/>
    <x v="0"/>
    <n v="150"/>
    <n v="890.64"/>
    <n v="1.1100000000000001"/>
    <n v="132113.07999999999"/>
    <x v="1"/>
    <n v="676.4"/>
    <n v="101460"/>
    <n v="1611.33"/>
    <n v="871.83"/>
    <n v="8616.93"/>
    <n v="112560.09"/>
    <n v="30653.08"/>
    <n v="19552.990000000002"/>
    <s v="Paid"/>
    <n v="132113.07999999999"/>
    <n v="0"/>
    <s v="Delivered"/>
    <x v="2"/>
    <x v="2"/>
    <x v="29"/>
    <x v="0"/>
    <n v="1.75"/>
    <n v="19552.990000000002"/>
    <n v="0.14800192380648458"/>
    <n v="0"/>
    <x v="1"/>
    <n v="8"/>
    <s v="August"/>
    <s v="2025-08"/>
  </r>
  <r>
    <s v="FZ01031"/>
    <n v="45901"/>
    <n v="45907"/>
    <x v="2"/>
    <n v="50"/>
    <n v="744.4"/>
    <n v="0.34"/>
    <n v="37093.449999999997"/>
    <x v="2"/>
    <n v="553.46"/>
    <n v="27673"/>
    <n v="784.72"/>
    <n v="243.41"/>
    <n v="8080.48"/>
    <n v="36781.61"/>
    <n v="9420.4500000000007"/>
    <n v="311.83999999999997"/>
    <s v="Paid"/>
    <n v="37093.449999999997"/>
    <n v="0"/>
    <s v="Delivered"/>
    <x v="5"/>
    <x v="0"/>
    <x v="20"/>
    <x v="2"/>
    <n v="2.13"/>
    <n v="311.83999999999997"/>
    <n v="8.4068750682398108E-3"/>
    <n v="0"/>
    <x v="1"/>
    <n v="9"/>
    <s v="September"/>
    <s v="2025-09"/>
  </r>
  <r>
    <s v="FZ01032"/>
    <n v="45766"/>
    <n v="45780"/>
    <x v="4"/>
    <n v="50"/>
    <n v="2962.01"/>
    <n v="0.01"/>
    <n v="148085.69"/>
    <x v="2"/>
    <n v="2135.9299999999998"/>
    <n v="106796.5"/>
    <n v="1055.3699999999999"/>
    <n v="189.67"/>
    <n v="7079.73"/>
    <n v="115121.27"/>
    <n v="41289.19"/>
    <n v="32964.42"/>
    <s v="Paid"/>
    <n v="148085.69"/>
    <n v="0"/>
    <s v="Delivered"/>
    <x v="0"/>
    <x v="2"/>
    <x v="36"/>
    <x v="3"/>
    <n v="1.88"/>
    <n v="32964.42"/>
    <n v="0.22260368304324341"/>
    <n v="0"/>
    <x v="1"/>
    <n v="4"/>
    <s v="April"/>
    <s v="2025-04"/>
  </r>
  <r>
    <s v="FZ01033"/>
    <n v="45480"/>
    <n v="45494"/>
    <x v="0"/>
    <n v="500"/>
    <n v="878.95"/>
    <n v="3.01"/>
    <n v="426246.8"/>
    <x v="2"/>
    <n v="689.92"/>
    <n v="344960"/>
    <n v="11720.11"/>
    <n v="2293.4499999999998"/>
    <n v="4477.7700000000004"/>
    <n v="363451.33"/>
    <n v="81286.8"/>
    <n v="62795.47"/>
    <s v="Paid"/>
    <n v="426246.8"/>
    <n v="0"/>
    <s v="Delivered"/>
    <x v="1"/>
    <x v="2"/>
    <x v="7"/>
    <x v="5"/>
    <n v="0.88"/>
    <n v="62795.47"/>
    <n v="0.14732185672713555"/>
    <n v="0"/>
    <x v="0"/>
    <n v="7"/>
    <s v="July"/>
    <s v="2024-07"/>
  </r>
  <r>
    <s v="FZ01034"/>
    <n v="45331"/>
    <n v="45332"/>
    <x v="3"/>
    <n v="500"/>
    <n v="986.06"/>
    <n v="0.16"/>
    <n v="492241.15"/>
    <x v="0"/>
    <n v="718.62"/>
    <n v="359310"/>
    <n v="3313.22"/>
    <n v="1565.98"/>
    <n v="4634.2"/>
    <n v="368823.4"/>
    <n v="132931.15"/>
    <n v="123417.75"/>
    <s v="Paid"/>
    <n v="492241.15"/>
    <n v="0"/>
    <s v="Delivered"/>
    <x v="5"/>
    <x v="1"/>
    <x v="27"/>
    <x v="2"/>
    <n v="0.74"/>
    <n v="123417.75"/>
    <n v="0.25072619385843703"/>
    <n v="0"/>
    <x v="0"/>
    <n v="2"/>
    <s v="February"/>
    <s v="2024-02"/>
  </r>
  <r>
    <s v="FZ01035"/>
    <n v="45675"/>
    <n v="45684"/>
    <x v="1"/>
    <n v="100"/>
    <n v="1305.32"/>
    <n v="1.57"/>
    <n v="128482.65"/>
    <x v="3"/>
    <n v="1091.01"/>
    <n v="109101"/>
    <n v="2274.5100000000002"/>
    <n v="150.76"/>
    <n v="2416.46"/>
    <n v="113942.73"/>
    <n v="19381.650000000001"/>
    <n v="14539.92"/>
    <s v="Paid"/>
    <n v="128482.65"/>
    <n v="0"/>
    <s v="Delivered"/>
    <x v="1"/>
    <x v="1"/>
    <x v="24"/>
    <x v="0"/>
    <n v="0.61"/>
    <n v="14539.92"/>
    <n v="0.11316640807144"/>
    <n v="0"/>
    <x v="1"/>
    <n v="1"/>
    <s v="January"/>
    <s v="2025-01"/>
  </r>
  <r>
    <s v="FZ01036"/>
    <n v="45488"/>
    <n v="45492"/>
    <x v="1"/>
    <n v="1000"/>
    <n v="1277.1400000000001"/>
    <n v="2.87"/>
    <n v="1240486.08"/>
    <x v="1"/>
    <n v="1054.25"/>
    <n v="1054250"/>
    <n v="21742.240000000002"/>
    <n v="4780.47"/>
    <n v="8199.9599999999991"/>
    <n v="1088972.67"/>
    <n v="186236.08"/>
    <n v="151513.41"/>
    <s v="Unpaid"/>
    <n v="0"/>
    <n v="1240486.08"/>
    <s v="Collected"/>
    <x v="1"/>
    <x v="3"/>
    <x v="12"/>
    <x v="2"/>
    <n v="2.19"/>
    <n v="151513.41"/>
    <n v="0.12214035485186581"/>
    <n v="0"/>
    <x v="0"/>
    <n v="7"/>
    <s v="July"/>
    <s v="2024-07"/>
  </r>
  <r>
    <s v="FZ01037"/>
    <n v="45695"/>
    <n v="45699"/>
    <x v="0"/>
    <n v="1000"/>
    <n v="896.6"/>
    <n v="4.2"/>
    <n v="858942.8"/>
    <x v="3"/>
    <n v="695.44"/>
    <n v="695440"/>
    <n v="10557.21"/>
    <n v="2314.04"/>
    <n v="1922.15"/>
    <n v="710233.4"/>
    <n v="163502.79999999999"/>
    <n v="148709.4"/>
    <s v="Paid"/>
    <n v="858942.8"/>
    <n v="0"/>
    <s v="Delivered"/>
    <x v="3"/>
    <x v="3"/>
    <x v="33"/>
    <x v="1"/>
    <n v="1.51"/>
    <n v="148709.4"/>
    <n v="0.17313073699436096"/>
    <n v="0"/>
    <x v="1"/>
    <n v="2"/>
    <s v="February"/>
    <s v="2025-02"/>
  </r>
  <r>
    <s v="FZ01038"/>
    <n v="45771"/>
    <n v="45771"/>
    <x v="0"/>
    <n v="500"/>
    <n v="848.12"/>
    <n v="0.48"/>
    <n v="422024.51"/>
    <x v="0"/>
    <n v="664.4"/>
    <n v="332200"/>
    <n v="9800.83"/>
    <n v="1614.76"/>
    <n v="11218.65"/>
    <n v="354834.24"/>
    <n v="89824.51"/>
    <n v="67190.27"/>
    <s v="Paid"/>
    <n v="422024.51"/>
    <n v="0"/>
    <s v="Delivered"/>
    <x v="1"/>
    <x v="1"/>
    <x v="35"/>
    <x v="4"/>
    <n v="0.01"/>
    <n v="67190.27"/>
    <n v="0.15920940231646735"/>
    <n v="0"/>
    <x v="1"/>
    <n v="4"/>
    <s v="April"/>
    <s v="2025-04"/>
  </r>
  <r>
    <s v="FZ01039"/>
    <n v="45997"/>
    <n v="45997"/>
    <x v="0"/>
    <n v="1200"/>
    <n v="883.3"/>
    <n v="2.46"/>
    <n v="1033884.98"/>
    <x v="1"/>
    <n v="672.39"/>
    <n v="806868"/>
    <n v="23067.74"/>
    <n v="2257.5700000000002"/>
    <n v="7129.71"/>
    <n v="839323.02"/>
    <n v="227016.98"/>
    <n v="194561.96"/>
    <s v="Paid"/>
    <n v="1033884.98"/>
    <n v="0"/>
    <s v="Collected"/>
    <x v="2"/>
    <x v="1"/>
    <x v="5"/>
    <x v="4"/>
    <n v="0.4"/>
    <n v="194561.96"/>
    <n v="0.18818530471348949"/>
    <n v="0"/>
    <x v="1"/>
    <n v="12"/>
    <s v="December"/>
    <s v="2025-12"/>
  </r>
  <r>
    <s v="FZ01040"/>
    <n v="45799"/>
    <m/>
    <x v="0"/>
    <n v="200"/>
    <n v="889.65"/>
    <n v="1.53"/>
    <n v="175207.67"/>
    <x v="0"/>
    <n v="688.55"/>
    <n v="137710"/>
    <n v="1632.76"/>
    <n v="738.81"/>
    <n v="10000.540000000001"/>
    <n v="150082.10999999999"/>
    <n v="37497.67"/>
    <n v="25125.56"/>
    <s v="Paid"/>
    <n v="175207.67"/>
    <n v="0"/>
    <s v="Pending"/>
    <x v="5"/>
    <x v="2"/>
    <x v="29"/>
    <x v="0"/>
    <n v="0.91"/>
    <n v="25125.56"/>
    <n v="0.14340445255621515"/>
    <n v="0"/>
    <x v="1"/>
    <n v="5"/>
    <s v="May"/>
    <s v="2025-05"/>
  </r>
  <r>
    <s v="FZ01041"/>
    <n v="45858"/>
    <n v="45869"/>
    <x v="0"/>
    <n v="500"/>
    <n v="878.03"/>
    <n v="1.28"/>
    <n v="433395.61"/>
    <x v="0"/>
    <n v="686.7"/>
    <n v="343350"/>
    <n v="4079.61"/>
    <n v="1130.23"/>
    <n v="2873.2"/>
    <n v="351433.04"/>
    <n v="90045.61"/>
    <n v="81962.570000000007"/>
    <s v="Part-paid"/>
    <n v="174289.29"/>
    <n v="259106.32"/>
    <s v="Delivered"/>
    <x v="4"/>
    <x v="0"/>
    <x v="36"/>
    <x v="3"/>
    <n v="1.39"/>
    <n v="81962.570000000007"/>
    <n v="0.18911721325465206"/>
    <n v="0"/>
    <x v="1"/>
    <n v="7"/>
    <s v="July"/>
    <s v="2025-07"/>
  </r>
  <r>
    <s v="FZ01042"/>
    <n v="45871"/>
    <n v="45876"/>
    <x v="0"/>
    <n v="1000"/>
    <n v="907.55"/>
    <n v="3.15"/>
    <n v="878962.18"/>
    <x v="1"/>
    <n v="685.04"/>
    <n v="685040"/>
    <n v="7372.18"/>
    <n v="3266.63"/>
    <n v="10327.48"/>
    <n v="706006.29"/>
    <n v="193922.18"/>
    <n v="172955.89"/>
    <s v="Part-paid"/>
    <n v="733234.94"/>
    <n v="145727.24"/>
    <s v="Delivered"/>
    <x v="2"/>
    <x v="1"/>
    <x v="11"/>
    <x v="5"/>
    <n v="1.83"/>
    <n v="172955.89"/>
    <n v="0.19677284635841782"/>
    <n v="0"/>
    <x v="1"/>
    <n v="8"/>
    <s v="August"/>
    <s v="2025-08"/>
  </r>
  <r>
    <s v="FZ01043"/>
    <n v="45696"/>
    <n v="45709"/>
    <x v="4"/>
    <n v="200"/>
    <n v="2767.96"/>
    <n v="1.28"/>
    <n v="546506.02"/>
    <x v="1"/>
    <n v="2398.81"/>
    <n v="479762"/>
    <n v="2532.9699999999998"/>
    <n v="499.83"/>
    <n v="854.37"/>
    <n v="483649.17"/>
    <n v="66744.02"/>
    <n v="62856.85"/>
    <s v="Part-paid"/>
    <n v="143639.79"/>
    <n v="402866.23"/>
    <s v="Collected"/>
    <x v="0"/>
    <x v="3"/>
    <x v="13"/>
    <x v="5"/>
    <n v="1.05"/>
    <n v="62856.85"/>
    <n v="0.1150158419114944"/>
    <n v="0"/>
    <x v="1"/>
    <n v="2"/>
    <s v="February"/>
    <s v="2025-02"/>
  </r>
  <r>
    <s v="FZ01044"/>
    <n v="45711"/>
    <n v="45712"/>
    <x v="1"/>
    <n v="300"/>
    <n v="1179.45"/>
    <n v="1.1100000000000001"/>
    <n v="349907.43"/>
    <x v="1"/>
    <n v="984.23"/>
    <n v="295269"/>
    <n v="1734.94"/>
    <n v="1707.67"/>
    <n v="5888.6"/>
    <n v="304600.21000000002"/>
    <n v="54638.43"/>
    <n v="45307.22"/>
    <s v="Paid"/>
    <n v="349907.43"/>
    <n v="0"/>
    <s v="Delivered"/>
    <x v="0"/>
    <x v="1"/>
    <x v="1"/>
    <x v="1"/>
    <n v="1.78"/>
    <n v="45307.22"/>
    <n v="0.12948344652184152"/>
    <n v="0"/>
    <x v="1"/>
    <n v="2"/>
    <s v="February"/>
    <s v="2025-02"/>
  </r>
  <r>
    <s v="FZ01045"/>
    <n v="45563"/>
    <n v="45575"/>
    <x v="3"/>
    <n v="500"/>
    <n v="1005.92"/>
    <n v="4.88"/>
    <n v="478415.55"/>
    <x v="1"/>
    <n v="823.33"/>
    <n v="411665"/>
    <n v="5362.15"/>
    <n v="760.86"/>
    <n v="8986.33"/>
    <n v="426774.34"/>
    <n v="66750.55"/>
    <n v="51641.21"/>
    <s v="Paid"/>
    <n v="478415.55"/>
    <n v="0"/>
    <s v="Delivered"/>
    <x v="5"/>
    <x v="2"/>
    <x v="7"/>
    <x v="5"/>
    <n v="1.59"/>
    <n v="51641.21"/>
    <n v="0.10794216450531342"/>
    <n v="0"/>
    <x v="0"/>
    <n v="9"/>
    <s v="September"/>
    <s v="2024-09"/>
  </r>
  <r>
    <s v="FZ01046"/>
    <n v="45287"/>
    <n v="45293"/>
    <x v="1"/>
    <n v="100"/>
    <n v="1332.56"/>
    <n v="1.59"/>
    <n v="131137.23000000001"/>
    <x v="3"/>
    <n v="990.69"/>
    <n v="99069"/>
    <n v="966.2"/>
    <n v="267.92"/>
    <n v="2631.32"/>
    <n v="102934.44"/>
    <n v="32068.23"/>
    <n v="28202.79"/>
    <s v="Paid"/>
    <n v="131137.23000000001"/>
    <n v="0"/>
    <s v="Delivered"/>
    <x v="4"/>
    <x v="0"/>
    <x v="17"/>
    <x v="3"/>
    <n v="1.32"/>
    <n v="28202.79"/>
    <n v="0.21506318228622032"/>
    <n v="0"/>
    <x v="2"/>
    <n v="12"/>
    <s v="December"/>
    <s v="2023-12"/>
  </r>
  <r>
    <s v="FZ01047"/>
    <n v="45911"/>
    <n v="45921"/>
    <x v="0"/>
    <n v="200"/>
    <n v="873.26"/>
    <n v="2.4300000000000002"/>
    <n v="170407.96"/>
    <x v="1"/>
    <n v="704.07"/>
    <n v="140814"/>
    <n v="2129.9499999999998"/>
    <n v="991.25"/>
    <n v="7686.71"/>
    <n v="151621.91"/>
    <n v="29593.96"/>
    <n v="18786.05"/>
    <s v="Paid"/>
    <n v="170407.96"/>
    <n v="0"/>
    <s v="Collected"/>
    <x v="4"/>
    <x v="1"/>
    <x v="34"/>
    <x v="4"/>
    <n v="0.87"/>
    <n v="18786.05"/>
    <n v="0.11024162251575573"/>
    <n v="0"/>
    <x v="1"/>
    <n v="9"/>
    <s v="September"/>
    <s v="2025-09"/>
  </r>
  <r>
    <s v="FZ01048"/>
    <n v="45708"/>
    <n v="45711"/>
    <x v="0"/>
    <n v="1000"/>
    <n v="841.15"/>
    <n v="0.8"/>
    <n v="834420.8"/>
    <x v="0"/>
    <n v="684.56"/>
    <n v="684560"/>
    <n v="19909.849999999999"/>
    <n v="1684.01"/>
    <n v="5391.59"/>
    <n v="711545.45"/>
    <n v="149860.79999999999"/>
    <n v="122875.35"/>
    <s v="Paid"/>
    <n v="834420.8"/>
    <n v="0"/>
    <s v="Delivered"/>
    <x v="0"/>
    <x v="4"/>
    <x v="3"/>
    <x v="3"/>
    <n v="0.67"/>
    <n v="122875.35"/>
    <n v="0.14725825386903107"/>
    <n v="0"/>
    <x v="1"/>
    <n v="2"/>
    <s v="February"/>
    <s v="2025-02"/>
  </r>
  <r>
    <s v="FZ01049"/>
    <n v="45352"/>
    <n v="45361"/>
    <x v="0"/>
    <n v="150"/>
    <n v="831.69"/>
    <n v="0.92"/>
    <n v="123605.77"/>
    <x v="1"/>
    <n v="739.46"/>
    <n v="110919"/>
    <n v="2713.2"/>
    <n v="685.33"/>
    <n v="9902.27"/>
    <n v="124219.8"/>
    <n v="12686.77"/>
    <n v="-614.03"/>
    <s v="Paid"/>
    <n v="123605.77"/>
    <n v="0"/>
    <s v="Collected"/>
    <x v="1"/>
    <x v="2"/>
    <x v="16"/>
    <x v="1"/>
    <n v="1.22"/>
    <n v="-614.03"/>
    <n v="-4.9676483549271197E-3"/>
    <n v="0"/>
    <x v="0"/>
    <n v="3"/>
    <s v="March"/>
    <s v="2024-03"/>
  </r>
  <r>
    <s v="FZ01050"/>
    <n v="45385"/>
    <n v="45387"/>
    <x v="1"/>
    <n v="150"/>
    <n v="1335.01"/>
    <n v="2.48"/>
    <n v="195285.26"/>
    <x v="0"/>
    <n v="1009.25"/>
    <n v="151387.5"/>
    <n v="1612.12"/>
    <n v="511.64"/>
    <n v="11752.12"/>
    <n v="165263.38"/>
    <n v="43897.760000000002"/>
    <n v="30021.88"/>
    <s v="Paid"/>
    <n v="195285.26"/>
    <n v="0"/>
    <s v="Delivered"/>
    <x v="5"/>
    <x v="0"/>
    <x v="13"/>
    <x v="5"/>
    <n v="2.48"/>
    <n v="30021.88"/>
    <n v="0.15373346662210963"/>
    <n v="0"/>
    <x v="0"/>
    <n v="4"/>
    <s v="April"/>
    <s v="2024-04"/>
  </r>
  <r>
    <s v="FZ01051"/>
    <n v="45416"/>
    <n v="45427"/>
    <x v="1"/>
    <n v="150"/>
    <n v="1309.7"/>
    <n v="0.95"/>
    <n v="194588.68"/>
    <x v="1"/>
    <n v="992.44"/>
    <n v="148866"/>
    <n v="1885.75"/>
    <n v="690.56"/>
    <n v="3965.81"/>
    <n v="155408.12"/>
    <n v="45722.68"/>
    <n v="39180.559999999998"/>
    <s v="Unpaid"/>
    <n v="0"/>
    <n v="194588.68"/>
    <s v="Collected"/>
    <x v="3"/>
    <x v="0"/>
    <x v="27"/>
    <x v="2"/>
    <n v="1.39"/>
    <n v="39180.559999999998"/>
    <n v="0.20135066438602697"/>
    <n v="0"/>
    <x v="0"/>
    <n v="5"/>
    <s v="May"/>
    <s v="2024-05"/>
  </r>
  <r>
    <s v="FZ01052"/>
    <n v="45808"/>
    <n v="45808"/>
    <x v="1"/>
    <n v="500"/>
    <n v="1271.1500000000001"/>
    <n v="1.41"/>
    <n v="626613.39"/>
    <x v="1"/>
    <n v="971.91"/>
    <n v="485955"/>
    <n v="3495.13"/>
    <n v="1926.14"/>
    <n v="6667.78"/>
    <n v="498044.05"/>
    <n v="140658.39000000001"/>
    <n v="128569.34"/>
    <s v="Paid"/>
    <n v="626613.39"/>
    <n v="0"/>
    <s v="Collected"/>
    <x v="4"/>
    <x v="3"/>
    <x v="9"/>
    <x v="1"/>
    <n v="1.25"/>
    <n v="128569.34"/>
    <n v="0.20518128410885059"/>
    <n v="0"/>
    <x v="1"/>
    <n v="5"/>
    <s v="May"/>
    <s v="2025-05"/>
  </r>
  <r>
    <s v="FZ01053"/>
    <n v="45477"/>
    <n v="45477"/>
    <x v="2"/>
    <n v="250"/>
    <n v="656.24"/>
    <n v="0.51"/>
    <n v="163223.29"/>
    <x v="0"/>
    <n v="542.78"/>
    <n v="135695"/>
    <n v="2646.6"/>
    <n v="1364.22"/>
    <n v="5118.68"/>
    <n v="144824.5"/>
    <n v="27528.29"/>
    <n v="18398.79"/>
    <s v="Part-paid"/>
    <n v="118454.7"/>
    <n v="44768.59"/>
    <s v="Delivered"/>
    <x v="2"/>
    <x v="1"/>
    <x v="1"/>
    <x v="1"/>
    <n v="0.48"/>
    <n v="18398.79"/>
    <n v="0.11272159751221777"/>
    <n v="0"/>
    <x v="0"/>
    <n v="7"/>
    <s v="July"/>
    <s v="2024-07"/>
  </r>
  <r>
    <s v="FZ01054"/>
    <n v="45825"/>
    <m/>
    <x v="0"/>
    <n v="150"/>
    <n v="913.75"/>
    <n v="2.27"/>
    <n v="133951.18"/>
    <x v="3"/>
    <n v="690.31"/>
    <n v="103546.5"/>
    <n v="877.87"/>
    <n v="364.45"/>
    <n v="7772.42"/>
    <n v="112561.24"/>
    <n v="30404.68"/>
    <n v="21389.94"/>
    <s v="Paid"/>
    <n v="133951.18"/>
    <n v="0"/>
    <s v="Pending"/>
    <x v="0"/>
    <x v="0"/>
    <x v="12"/>
    <x v="2"/>
    <n v="2.48"/>
    <n v="21389.94"/>
    <n v="0.15968459553697101"/>
    <n v="0"/>
    <x v="1"/>
    <n v="6"/>
    <s v="June"/>
    <s v="2025-06"/>
  </r>
  <r>
    <s v="FZ01055"/>
    <n v="45292"/>
    <n v="45304"/>
    <x v="4"/>
    <n v="50"/>
    <n v="2839.73"/>
    <n v="0.4"/>
    <n v="141418.54999999999"/>
    <x v="2"/>
    <n v="2228.23"/>
    <n v="111411.5"/>
    <n v="1063.8699999999999"/>
    <n v="153.09"/>
    <n v="3099.65"/>
    <n v="115728.11"/>
    <n v="30007.05"/>
    <n v="25690.44"/>
    <s v="Paid"/>
    <n v="141418.54999999999"/>
    <n v="0"/>
    <s v="Delivered"/>
    <x v="4"/>
    <x v="2"/>
    <x v="26"/>
    <x v="4"/>
    <n v="0.69"/>
    <n v="25690.44"/>
    <n v="0.18166244810175186"/>
    <n v="0"/>
    <x v="0"/>
    <n v="1"/>
    <s v="January"/>
    <s v="2024-01"/>
  </r>
  <r>
    <s v="FZ01056"/>
    <n v="45893"/>
    <n v="45893"/>
    <x v="0"/>
    <n v="150"/>
    <n v="847.99"/>
    <n v="0.13"/>
    <n v="127033.14"/>
    <x v="3"/>
    <n v="692.78"/>
    <n v="103917"/>
    <n v="1476.76"/>
    <n v="275.45999999999998"/>
    <n v="10233.84"/>
    <n v="115903.06"/>
    <n v="23116.14"/>
    <n v="11130.08"/>
    <s v="Paid"/>
    <n v="127033.14"/>
    <n v="0"/>
    <s v="Collected"/>
    <x v="5"/>
    <x v="2"/>
    <x v="11"/>
    <x v="5"/>
    <n v="2.33"/>
    <n v="11130.08"/>
    <n v="8.7615562364277547E-2"/>
    <n v="0"/>
    <x v="1"/>
    <n v="8"/>
    <s v="August"/>
    <s v="2025-08"/>
  </r>
  <r>
    <s v="FZ01057"/>
    <n v="45498"/>
    <n v="45507"/>
    <x v="0"/>
    <n v="500"/>
    <n v="829.75"/>
    <n v="2.61"/>
    <n v="404046.76"/>
    <x v="1"/>
    <n v="707.89"/>
    <n v="353945"/>
    <n v="4897.22"/>
    <n v="2463.5300000000002"/>
    <n v="11700.36"/>
    <n v="373006.11"/>
    <n v="50101.760000000002"/>
    <n v="31040.65"/>
    <s v="Part-paid"/>
    <n v="315556.57"/>
    <n v="88490.19"/>
    <s v="Delivered"/>
    <x v="3"/>
    <x v="2"/>
    <x v="2"/>
    <x v="2"/>
    <n v="2.36"/>
    <n v="31040.65"/>
    <n v="7.6824400225360051E-2"/>
    <n v="0"/>
    <x v="0"/>
    <n v="7"/>
    <s v="July"/>
    <s v="2024-07"/>
  </r>
  <r>
    <s v="FZ01058"/>
    <n v="45752"/>
    <n v="45761"/>
    <x v="1"/>
    <n v="50"/>
    <n v="1349.71"/>
    <n v="2.21"/>
    <n v="65994.070000000007"/>
    <x v="0"/>
    <n v="994.57"/>
    <n v="49728.5"/>
    <n v="1137.26"/>
    <n v="213.14"/>
    <n v="7698.4"/>
    <n v="58777.3"/>
    <n v="16265.57"/>
    <n v="7216.77"/>
    <s v="Paid"/>
    <n v="65994.070000000007"/>
    <n v="0"/>
    <s v="Delivered"/>
    <x v="4"/>
    <x v="1"/>
    <x v="32"/>
    <x v="0"/>
    <n v="0.3"/>
    <n v="7216.77"/>
    <n v="0.10935482536536995"/>
    <n v="0"/>
    <x v="1"/>
    <n v="4"/>
    <s v="April"/>
    <s v="2025-04"/>
  </r>
  <r>
    <s v="FZ01059"/>
    <n v="45905"/>
    <m/>
    <x v="2"/>
    <n v="200"/>
    <n v="746.93"/>
    <n v="2.23"/>
    <n v="146054.69"/>
    <x v="1"/>
    <n v="536.54999999999995"/>
    <n v="107310"/>
    <n v="1002"/>
    <n v="927.27"/>
    <n v="382.16"/>
    <n v="109621.43"/>
    <n v="38744.69"/>
    <n v="36433.26"/>
    <s v="Paid"/>
    <n v="146054.69"/>
    <n v="0"/>
    <s v="Pending"/>
    <x v="0"/>
    <x v="1"/>
    <x v="25"/>
    <x v="3"/>
    <n v="0.1"/>
    <n v="36433.26"/>
    <n v="0.24944943568741271"/>
    <n v="0"/>
    <x v="1"/>
    <n v="9"/>
    <s v="September"/>
    <s v="2025-09"/>
  </r>
  <r>
    <s v="FZ01060"/>
    <n v="45592"/>
    <m/>
    <x v="1"/>
    <n v="500"/>
    <n v="1429.8"/>
    <n v="1.18"/>
    <n v="706464.18"/>
    <x v="1"/>
    <n v="1029.17"/>
    <n v="514585"/>
    <n v="11578.51"/>
    <n v="1703.05"/>
    <n v="8929.3799999999992"/>
    <n v="536795.93999999994"/>
    <n v="191879.18"/>
    <n v="169668.24"/>
    <s v="Paid"/>
    <n v="706464.18"/>
    <n v="0"/>
    <s v="Pending"/>
    <x v="1"/>
    <x v="1"/>
    <x v="1"/>
    <x v="1"/>
    <n v="0.8"/>
    <n v="169668.24"/>
    <n v="0.24016538248266173"/>
    <n v="0"/>
    <x v="0"/>
    <n v="10"/>
    <s v="October"/>
    <s v="2024-10"/>
  </r>
  <r>
    <s v="FZ01061"/>
    <n v="45747"/>
    <n v="45747"/>
    <x v="1"/>
    <n v="500"/>
    <n v="1312.03"/>
    <n v="3.66"/>
    <n v="632004.85"/>
    <x v="3"/>
    <n v="1044.95"/>
    <n v="522475"/>
    <n v="11890.92"/>
    <n v="2381.5500000000002"/>
    <n v="9870.69"/>
    <n v="546618.16"/>
    <n v="109529.85"/>
    <n v="85386.69"/>
    <s v="Paid"/>
    <n v="632004.85"/>
    <n v="0"/>
    <s v="Delivered"/>
    <x v="0"/>
    <x v="4"/>
    <x v="11"/>
    <x v="5"/>
    <n v="1.67"/>
    <n v="85386.69"/>
    <n v="0.13510448535323741"/>
    <n v="0"/>
    <x v="1"/>
    <n v="3"/>
    <s v="March"/>
    <s v="2025-03"/>
  </r>
  <r>
    <s v="FZ01062"/>
    <n v="45470"/>
    <n v="45470"/>
    <x v="0"/>
    <n v="250"/>
    <n v="855.74"/>
    <n v="0.5"/>
    <n v="212865.32"/>
    <x v="0"/>
    <n v="710.66"/>
    <n v="177665"/>
    <n v="2095.0300000000002"/>
    <n v="1182.6199999999999"/>
    <n v="5596.72"/>
    <n v="186539.37"/>
    <n v="35200.32"/>
    <n v="26325.95"/>
    <s v="Part-paid"/>
    <n v="122252.64"/>
    <n v="90612.68"/>
    <s v="Delivered"/>
    <x v="0"/>
    <x v="3"/>
    <x v="16"/>
    <x v="1"/>
    <n v="0.9"/>
    <n v="26325.95"/>
    <n v="0.12367420864986368"/>
    <n v="0"/>
    <x v="0"/>
    <n v="6"/>
    <s v="June"/>
    <s v="2024-06"/>
  </r>
  <r>
    <s v="FZ01063"/>
    <n v="45821"/>
    <n v="45828"/>
    <x v="0"/>
    <n v="1000"/>
    <n v="862.03"/>
    <n v="2.23"/>
    <n v="842806.73"/>
    <x v="0"/>
    <n v="709.51"/>
    <n v="709510"/>
    <n v="6254.74"/>
    <n v="5588.2"/>
    <n v="6262.63"/>
    <n v="727615.57"/>
    <n v="133296.73000000001"/>
    <n v="115191.16"/>
    <s v="Paid"/>
    <n v="842806.73"/>
    <n v="0"/>
    <s v="Collected"/>
    <x v="2"/>
    <x v="1"/>
    <x v="10"/>
    <x v="5"/>
    <n v="0.65"/>
    <n v="115191.16"/>
    <n v="0.13667565279171418"/>
    <n v="0"/>
    <x v="1"/>
    <n v="6"/>
    <s v="June"/>
    <s v="2025-06"/>
  </r>
  <r>
    <s v="FZ01064"/>
    <n v="45782"/>
    <n v="45787"/>
    <x v="0"/>
    <n v="1000"/>
    <n v="839.59"/>
    <n v="3.14"/>
    <n v="813226.87"/>
    <x v="1"/>
    <n v="682.88"/>
    <n v="682880"/>
    <n v="22795.43"/>
    <n v="1877.6"/>
    <n v="986.22"/>
    <n v="708539.25"/>
    <n v="130346.87"/>
    <n v="104687.62"/>
    <s v="Paid"/>
    <n v="813226.87"/>
    <n v="0"/>
    <s v="Delivered"/>
    <x v="0"/>
    <x v="1"/>
    <x v="15"/>
    <x v="3"/>
    <n v="2.2599999999999998"/>
    <n v="104687.62"/>
    <n v="0.12873113747458934"/>
    <n v="0"/>
    <x v="1"/>
    <n v="5"/>
    <s v="May"/>
    <s v="2025-05"/>
  </r>
  <r>
    <s v="FZ01065"/>
    <n v="45601"/>
    <n v="45608"/>
    <x v="0"/>
    <n v="50"/>
    <n v="948.97"/>
    <n v="0.09"/>
    <n v="47405.8"/>
    <x v="2"/>
    <n v="690.12"/>
    <n v="34506"/>
    <n v="477.31"/>
    <n v="255.25"/>
    <n v="2838.09"/>
    <n v="38076.65"/>
    <n v="12899.8"/>
    <n v="9329.15"/>
    <s v="Part-paid"/>
    <n v="38130.33"/>
    <n v="9275.4699999999993"/>
    <s v="Delivered"/>
    <x v="0"/>
    <x v="0"/>
    <x v="13"/>
    <x v="5"/>
    <n v="0.38"/>
    <n v="9329.15"/>
    <n v="0.19679343033974744"/>
    <n v="0"/>
    <x v="0"/>
    <n v="11"/>
    <s v="November"/>
    <s v="2024-11"/>
  </r>
  <r>
    <s v="FZ01066"/>
    <n v="46002"/>
    <n v="46002"/>
    <x v="0"/>
    <n v="100"/>
    <n v="931.31"/>
    <n v="2.4"/>
    <n v="90895.86"/>
    <x v="1"/>
    <n v="720.4"/>
    <n v="72040"/>
    <n v="1090.5999999999999"/>
    <n v="328.73"/>
    <n v="3041.25"/>
    <n v="76500.58"/>
    <n v="18855.86"/>
    <n v="14395.28"/>
    <s v="Unpaid"/>
    <n v="0"/>
    <n v="90895.86"/>
    <s v="Collected"/>
    <x v="0"/>
    <x v="1"/>
    <x v="32"/>
    <x v="0"/>
    <n v="1.39"/>
    <n v="14395.28"/>
    <n v="0.15837112933416331"/>
    <n v="0"/>
    <x v="1"/>
    <n v="12"/>
    <s v="December"/>
    <s v="2025-12"/>
  </r>
  <r>
    <s v="FZ01067"/>
    <n v="45805"/>
    <n v="45808"/>
    <x v="1"/>
    <n v="100"/>
    <n v="1210.22"/>
    <n v="1.05"/>
    <n v="119751.27"/>
    <x v="1"/>
    <n v="1019.02"/>
    <n v="101902"/>
    <n v="1148.4000000000001"/>
    <n v="190.29"/>
    <n v="3251.49"/>
    <n v="106492.18"/>
    <n v="17849.27"/>
    <n v="13259.09"/>
    <s v="Paid"/>
    <n v="119751.27"/>
    <n v="0"/>
    <s v="Delivered"/>
    <x v="5"/>
    <x v="0"/>
    <x v="30"/>
    <x v="0"/>
    <n v="2.21"/>
    <n v="13259.09"/>
    <n v="0.11072191551705464"/>
    <n v="0"/>
    <x v="1"/>
    <n v="5"/>
    <s v="May"/>
    <s v="2025-05"/>
  </r>
  <r>
    <s v="FZ01068"/>
    <n v="45349"/>
    <n v="45356"/>
    <x v="0"/>
    <n v="750"/>
    <n v="877.91"/>
    <n v="0.08"/>
    <n v="657905.75"/>
    <x v="2"/>
    <n v="731.43"/>
    <n v="548572.5"/>
    <n v="4118.74"/>
    <n v="3914.69"/>
    <n v="6314.89"/>
    <n v="562920.81999999995"/>
    <n v="109333.25"/>
    <n v="94984.93"/>
    <s v="Paid"/>
    <n v="657905.75"/>
    <n v="0"/>
    <s v="Delivered"/>
    <x v="3"/>
    <x v="4"/>
    <x v="19"/>
    <x v="4"/>
    <n v="1.45"/>
    <n v="94984.93"/>
    <n v="0.14437467676791088"/>
    <n v="0"/>
    <x v="0"/>
    <n v="2"/>
    <s v="February"/>
    <s v="2024-02"/>
  </r>
  <r>
    <s v="FZ01069"/>
    <n v="45451"/>
    <n v="45464"/>
    <x v="0"/>
    <n v="300"/>
    <n v="836.88"/>
    <n v="2.14"/>
    <n v="245691.23"/>
    <x v="0"/>
    <n v="744.55"/>
    <n v="223365"/>
    <n v="5703.77"/>
    <n v="1200.6099999999999"/>
    <n v="7376.11"/>
    <n v="237645.49"/>
    <n v="22326.23"/>
    <n v="8045.74"/>
    <s v="Unpaid"/>
    <n v="0"/>
    <n v="245691.23"/>
    <s v="Delivered"/>
    <x v="0"/>
    <x v="0"/>
    <x v="8"/>
    <x v="5"/>
    <n v="1.8"/>
    <n v="8045.74"/>
    <n v="3.2747363428478907E-2"/>
    <n v="0"/>
    <x v="0"/>
    <n v="6"/>
    <s v="June"/>
    <s v="2024-06"/>
  </r>
  <r>
    <s v="FZ01070"/>
    <n v="45975"/>
    <n v="45980"/>
    <x v="4"/>
    <n v="500"/>
    <n v="2841.81"/>
    <n v="1.1299999999999999"/>
    <n v="1404848.77"/>
    <x v="1"/>
    <n v="2167.6799999999998"/>
    <n v="1083840"/>
    <n v="4519.46"/>
    <n v="1453.5"/>
    <n v="99.62"/>
    <n v="1089912.58"/>
    <n v="321008.77"/>
    <n v="314936.19"/>
    <s v="Paid"/>
    <n v="1404848.77"/>
    <n v="0"/>
    <s v="Delivered"/>
    <x v="2"/>
    <x v="2"/>
    <x v="27"/>
    <x v="2"/>
    <n v="1.28"/>
    <n v="314936.19"/>
    <n v="0.22417800173608723"/>
    <n v="0"/>
    <x v="1"/>
    <n v="11"/>
    <s v="November"/>
    <s v="2025-11"/>
  </r>
  <r>
    <s v="FZ01071"/>
    <n v="45426"/>
    <n v="45438"/>
    <x v="0"/>
    <n v="150"/>
    <n v="924.68"/>
    <n v="2.36"/>
    <n v="135428.63"/>
    <x v="0"/>
    <n v="671.16"/>
    <n v="100674"/>
    <n v="3305.28"/>
    <n v="735.72"/>
    <n v="2262.5"/>
    <n v="106977.5"/>
    <n v="34754.629999999997"/>
    <n v="28451.13"/>
    <s v="Unpaid"/>
    <n v="0"/>
    <n v="135428.63"/>
    <s v="Delivered"/>
    <x v="5"/>
    <x v="2"/>
    <x v="8"/>
    <x v="5"/>
    <n v="2.0699999999999998"/>
    <n v="28451.13"/>
    <n v="0.21008209268601477"/>
    <n v="0"/>
    <x v="0"/>
    <n v="5"/>
    <s v="May"/>
    <s v="2024-05"/>
  </r>
  <r>
    <s v="FZ01072"/>
    <n v="45796"/>
    <n v="45798"/>
    <x v="4"/>
    <n v="50"/>
    <n v="2729.07"/>
    <n v="1.04"/>
    <n v="135034.38"/>
    <x v="1"/>
    <n v="2214.5"/>
    <n v="110725"/>
    <n v="957.42"/>
    <n v="115.77"/>
    <n v="3094.71"/>
    <n v="114892.9"/>
    <n v="24309.38"/>
    <n v="20141.48"/>
    <s v="Paid"/>
    <n v="135034.38"/>
    <n v="0"/>
    <s v="Delivered"/>
    <x v="0"/>
    <x v="2"/>
    <x v="9"/>
    <x v="1"/>
    <n v="2.27"/>
    <n v="20141.48"/>
    <n v="0.14915816253608896"/>
    <n v="0"/>
    <x v="1"/>
    <n v="5"/>
    <s v="May"/>
    <s v="2025-05"/>
  </r>
  <r>
    <s v="FZ01073"/>
    <n v="45490"/>
    <m/>
    <x v="1"/>
    <n v="250"/>
    <n v="1288.29"/>
    <n v="1.9"/>
    <n v="0"/>
    <x v="2"/>
    <n v="1007.52"/>
    <n v="0"/>
    <n v="0"/>
    <n v="0"/>
    <n v="0"/>
    <n v="0"/>
    <n v="0"/>
    <n v="0"/>
    <s v="Part-paid"/>
    <n v="0"/>
    <n v="0"/>
    <s v="Cancelled"/>
    <x v="0"/>
    <x v="4"/>
    <x v="7"/>
    <x v="5"/>
    <n v="0.75"/>
    <n v="0"/>
    <e v="#DIV/0!"/>
    <n v="0"/>
    <x v="0"/>
    <n v="7"/>
    <s v="July"/>
    <s v="2024-07"/>
  </r>
  <r>
    <s v="FZ01074"/>
    <n v="45504"/>
    <n v="45512"/>
    <x v="0"/>
    <n v="100"/>
    <n v="912.92"/>
    <n v="2.34"/>
    <n v="89155.77"/>
    <x v="2"/>
    <n v="711.06"/>
    <n v="71106"/>
    <n v="1267.47"/>
    <n v="164.31"/>
    <n v="2393.9299999999998"/>
    <n v="74931.710000000006"/>
    <n v="18049.77"/>
    <n v="14224.06"/>
    <s v="Paid"/>
    <n v="89155.77"/>
    <n v="0"/>
    <s v="Collected"/>
    <x v="2"/>
    <x v="3"/>
    <x v="2"/>
    <x v="2"/>
    <n v="0.63"/>
    <n v="14224.06"/>
    <n v="0.15954166511040171"/>
    <n v="0"/>
    <x v="0"/>
    <n v="7"/>
    <s v="July"/>
    <s v="2024-07"/>
  </r>
  <r>
    <s v="FZ01075"/>
    <n v="45327"/>
    <n v="45332"/>
    <x v="4"/>
    <n v="200"/>
    <n v="2908.11"/>
    <n v="0.02"/>
    <n v="581505.68000000005"/>
    <x v="2"/>
    <n v="2172.17"/>
    <n v="434434"/>
    <n v="2923.49"/>
    <n v="967.88"/>
    <n v="11526.35"/>
    <n v="449851.72"/>
    <n v="147071.67999999999"/>
    <n v="131653.96"/>
    <s v="Paid"/>
    <n v="581505.68000000005"/>
    <n v="0"/>
    <s v="Collected"/>
    <x v="5"/>
    <x v="3"/>
    <x v="3"/>
    <x v="3"/>
    <n v="2.09"/>
    <n v="131653.96"/>
    <n v="0.22640184701205324"/>
    <n v="0"/>
    <x v="0"/>
    <n v="2"/>
    <s v="February"/>
    <s v="2024-02"/>
  </r>
  <r>
    <s v="FZ01076"/>
    <n v="45532"/>
    <n v="45537"/>
    <x v="1"/>
    <n v="500"/>
    <n v="1380.68"/>
    <n v="0.1"/>
    <n v="689649.66"/>
    <x v="1"/>
    <n v="1001.86"/>
    <n v="500930"/>
    <n v="3224"/>
    <n v="1884.55"/>
    <n v="6986.56"/>
    <n v="513025.11"/>
    <n v="188719.66"/>
    <n v="176624.55"/>
    <s v="Paid"/>
    <n v="689649.66"/>
    <n v="0"/>
    <s v="Delivered"/>
    <x v="1"/>
    <x v="1"/>
    <x v="34"/>
    <x v="4"/>
    <n v="2.35"/>
    <n v="176624.55"/>
    <n v="0.25610764456840301"/>
    <n v="0"/>
    <x v="0"/>
    <n v="8"/>
    <s v="August"/>
    <s v="2024-08"/>
  </r>
  <r>
    <s v="FZ01077"/>
    <n v="45666"/>
    <n v="45670"/>
    <x v="0"/>
    <n v="100"/>
    <n v="829.12"/>
    <n v="0.59"/>
    <n v="82422.820000000007"/>
    <x v="0"/>
    <n v="747.28"/>
    <n v="74728"/>
    <n v="565.49"/>
    <n v="305.58999999999997"/>
    <n v="5448.47"/>
    <n v="81047.55"/>
    <n v="7694.82"/>
    <n v="1375.27"/>
    <s v="Paid"/>
    <n v="82422.820000000007"/>
    <n v="0"/>
    <s v="Delivered"/>
    <x v="5"/>
    <x v="1"/>
    <x v="16"/>
    <x v="1"/>
    <n v="1.2"/>
    <n v="1375.27"/>
    <n v="1.668554897781949E-2"/>
    <n v="0"/>
    <x v="1"/>
    <n v="1"/>
    <s v="January"/>
    <s v="2025-01"/>
  </r>
  <r>
    <s v="FZ01078"/>
    <n v="45967"/>
    <n v="45967"/>
    <x v="2"/>
    <n v="1200"/>
    <n v="751.83"/>
    <n v="4.78"/>
    <n v="859071.03"/>
    <x v="1"/>
    <n v="556.38"/>
    <n v="667656"/>
    <n v="11615.09"/>
    <n v="4807.38"/>
    <n v="171.15"/>
    <n v="684249.62"/>
    <n v="191415.03"/>
    <n v="174821.41"/>
    <s v="Paid"/>
    <n v="859071.03"/>
    <n v="0"/>
    <s v="Collected"/>
    <x v="3"/>
    <x v="0"/>
    <x v="26"/>
    <x v="4"/>
    <n v="1.86"/>
    <n v="174821.41"/>
    <n v="0.20350053010168437"/>
    <n v="0"/>
    <x v="1"/>
    <n v="11"/>
    <s v="November"/>
    <s v="2025-11"/>
  </r>
  <r>
    <s v="FZ01079"/>
    <n v="45801"/>
    <n v="45806"/>
    <x v="2"/>
    <n v="300"/>
    <n v="684.95"/>
    <n v="0.86"/>
    <n v="203717.83"/>
    <x v="2"/>
    <n v="606"/>
    <n v="181800"/>
    <n v="7123.83"/>
    <n v="954.07"/>
    <n v="1471.18"/>
    <n v="191349.08"/>
    <n v="21917.83"/>
    <n v="12368.75"/>
    <s v="Paid"/>
    <n v="203717.83"/>
    <n v="0"/>
    <s v="Delivered"/>
    <x v="1"/>
    <x v="0"/>
    <x v="10"/>
    <x v="5"/>
    <n v="0.38"/>
    <n v="12368.75"/>
    <n v="6.0715107754682057E-2"/>
    <n v="0"/>
    <x v="1"/>
    <n v="5"/>
    <s v="May"/>
    <s v="2025-05"/>
  </r>
  <r>
    <s v="FZ01080"/>
    <n v="45710"/>
    <n v="45714"/>
    <x v="0"/>
    <n v="500"/>
    <n v="822.97"/>
    <n v="0.83"/>
    <n v="408069.67"/>
    <x v="1"/>
    <n v="735.85"/>
    <n v="367925"/>
    <n v="3683.64"/>
    <n v="2120.0100000000002"/>
    <n v="6560.05"/>
    <n v="380288.7"/>
    <n v="40144.67"/>
    <n v="27780.97"/>
    <s v="Paid"/>
    <n v="408069.67"/>
    <n v="0"/>
    <s v="Delivered"/>
    <x v="0"/>
    <x v="0"/>
    <x v="34"/>
    <x v="4"/>
    <n v="1.0900000000000001"/>
    <n v="27780.97"/>
    <n v="6.8078987590525913E-2"/>
    <n v="0"/>
    <x v="1"/>
    <n v="2"/>
    <s v="February"/>
    <s v="2025-02"/>
  </r>
  <r>
    <s v="FZ01081"/>
    <n v="45801"/>
    <n v="45806"/>
    <x v="1"/>
    <n v="300"/>
    <n v="1216.0899999999999"/>
    <n v="1.46"/>
    <n v="359500.53"/>
    <x v="1"/>
    <n v="1006.68"/>
    <n v="302004"/>
    <n v="5467.69"/>
    <n v="895.12"/>
    <n v="5907.39"/>
    <n v="314274.2"/>
    <n v="57496.53"/>
    <n v="45226.33"/>
    <s v="Paid"/>
    <n v="359500.53"/>
    <n v="0"/>
    <s v="Collected"/>
    <x v="3"/>
    <x v="0"/>
    <x v="26"/>
    <x v="4"/>
    <n v="1.45"/>
    <n v="45226.33"/>
    <n v="0.12580323595072307"/>
    <n v="0"/>
    <x v="1"/>
    <n v="5"/>
    <s v="May"/>
    <s v="2025-05"/>
  </r>
  <r>
    <s v="FZ01082"/>
    <n v="45321"/>
    <m/>
    <x v="0"/>
    <n v="200"/>
    <n v="860.55"/>
    <n v="7.0000000000000007E-2"/>
    <n v="0"/>
    <x v="1"/>
    <n v="692.12"/>
    <n v="0"/>
    <n v="0"/>
    <n v="0"/>
    <n v="0"/>
    <n v="0"/>
    <n v="0"/>
    <n v="0"/>
    <s v="Paid"/>
    <n v="0"/>
    <n v="0"/>
    <s v="Cancelled"/>
    <x v="2"/>
    <x v="2"/>
    <x v="33"/>
    <x v="1"/>
    <n v="1.44"/>
    <n v="0"/>
    <e v="#DIV/0!"/>
    <n v="0"/>
    <x v="0"/>
    <n v="1"/>
    <s v="January"/>
    <s v="2024-01"/>
  </r>
  <r>
    <s v="FZ01083"/>
    <n v="45956"/>
    <m/>
    <x v="0"/>
    <n v="150"/>
    <n v="926.49"/>
    <n v="0.32"/>
    <n v="138528.78"/>
    <x v="1"/>
    <n v="736.04"/>
    <n v="110406"/>
    <n v="3071.73"/>
    <n v="475.97"/>
    <n v="6349.26"/>
    <n v="120302.96"/>
    <n v="28122.78"/>
    <n v="18225.82"/>
    <s v="Part-paid"/>
    <n v="41771.97"/>
    <n v="96756.81"/>
    <s v="Pending"/>
    <x v="2"/>
    <x v="3"/>
    <x v="36"/>
    <x v="3"/>
    <n v="1.26"/>
    <n v="18225.82"/>
    <n v="0.13156702888742686"/>
    <n v="0"/>
    <x v="1"/>
    <n v="10"/>
    <s v="October"/>
    <s v="2025-10"/>
  </r>
  <r>
    <s v="FZ01084"/>
    <n v="45563"/>
    <n v="45571"/>
    <x v="2"/>
    <n v="200"/>
    <n v="777.23"/>
    <n v="2.35"/>
    <n v="151793.01999999999"/>
    <x v="1"/>
    <n v="605.59"/>
    <n v="121118"/>
    <n v="1578.07"/>
    <n v="359.33"/>
    <n v="1187.1300000000001"/>
    <n v="124242.53"/>
    <n v="30675.02"/>
    <n v="27550.49"/>
    <s v="Paid"/>
    <n v="151793.01999999999"/>
    <n v="0"/>
    <s v="Delivered"/>
    <x v="4"/>
    <x v="1"/>
    <x v="8"/>
    <x v="5"/>
    <n v="1.33"/>
    <n v="27550.49"/>
    <n v="0.1815003746549084"/>
    <n v="0"/>
    <x v="0"/>
    <n v="9"/>
    <s v="September"/>
    <s v="2024-09"/>
  </r>
  <r>
    <s v="FZ01085"/>
    <n v="45313"/>
    <n v="45323"/>
    <x v="1"/>
    <n v="50"/>
    <n v="1287.55"/>
    <n v="2.4900000000000002"/>
    <n v="62774.5"/>
    <x v="0"/>
    <n v="996.25"/>
    <n v="49812.5"/>
    <n v="1093.06"/>
    <n v="108.53"/>
    <n v="8944.2199999999993"/>
    <n v="59958.31"/>
    <n v="12962"/>
    <n v="2816.19"/>
    <s v="Paid"/>
    <n v="62774.5"/>
    <n v="0"/>
    <s v="Collected"/>
    <x v="0"/>
    <x v="2"/>
    <x v="31"/>
    <x v="1"/>
    <n v="2.48"/>
    <n v="2816.19"/>
    <n v="4.4862006069343444E-2"/>
    <n v="0"/>
    <x v="0"/>
    <n v="1"/>
    <s v="January"/>
    <s v="2024-01"/>
  </r>
  <r>
    <s v="FZ01086"/>
    <n v="45822"/>
    <n v="45832"/>
    <x v="0"/>
    <n v="200"/>
    <n v="875.11"/>
    <n v="1.64"/>
    <n v="172151.64"/>
    <x v="1"/>
    <n v="710.3"/>
    <n v="142060"/>
    <n v="3486.34"/>
    <n v="524.07000000000005"/>
    <n v="2430.71"/>
    <n v="148501.12"/>
    <n v="30091.64"/>
    <n v="23650.52"/>
    <s v="Paid"/>
    <n v="172151.64"/>
    <n v="0"/>
    <s v="Delivered"/>
    <x v="0"/>
    <x v="0"/>
    <x v="8"/>
    <x v="5"/>
    <n v="1.97"/>
    <n v="23650.52"/>
    <n v="0.13738190353574325"/>
    <n v="0"/>
    <x v="1"/>
    <n v="6"/>
    <s v="June"/>
    <s v="2025-06"/>
  </r>
  <r>
    <s v="FZ01087"/>
    <n v="45954"/>
    <n v="45957"/>
    <x v="1"/>
    <n v="250"/>
    <n v="1384.6"/>
    <n v="2.2000000000000002"/>
    <n v="338534.7"/>
    <x v="1"/>
    <n v="1025.7"/>
    <n v="256425"/>
    <n v="2585.13"/>
    <n v="1365.77"/>
    <n v="4730.21"/>
    <n v="265106.11"/>
    <n v="82109.7"/>
    <n v="73428.59"/>
    <s v="Paid"/>
    <n v="338534.7"/>
    <n v="0"/>
    <s v="Delivered"/>
    <x v="0"/>
    <x v="0"/>
    <x v="29"/>
    <x v="0"/>
    <n v="1"/>
    <n v="73428.59"/>
    <n v="0.21690122164729345"/>
    <n v="0"/>
    <x v="1"/>
    <n v="10"/>
    <s v="October"/>
    <s v="2025-10"/>
  </r>
  <r>
    <s v="FZ01088"/>
    <n v="46015"/>
    <n v="46020"/>
    <x v="3"/>
    <n v="500"/>
    <n v="1020.81"/>
    <n v="2.2400000000000002"/>
    <n v="498971.93"/>
    <x v="3"/>
    <n v="779.43"/>
    <n v="389715"/>
    <n v="9591.0300000000007"/>
    <n v="1431.82"/>
    <n v="436.71"/>
    <n v="401174.56"/>
    <n v="109256.93"/>
    <n v="97797.37"/>
    <s v="Paid"/>
    <n v="498971.93"/>
    <n v="0"/>
    <s v="Delivered"/>
    <x v="1"/>
    <x v="2"/>
    <x v="15"/>
    <x v="3"/>
    <n v="2.2000000000000002"/>
    <n v="97797.37"/>
    <n v="0.19599773879063698"/>
    <n v="0"/>
    <x v="1"/>
    <n v="12"/>
    <s v="December"/>
    <s v="2025-12"/>
  </r>
  <r>
    <s v="FZ01089"/>
    <n v="45845"/>
    <m/>
    <x v="4"/>
    <n v="1000"/>
    <n v="2842.56"/>
    <n v="0.31"/>
    <n v="0"/>
    <x v="1"/>
    <n v="2168.4899999999998"/>
    <n v="0"/>
    <n v="0"/>
    <n v="0"/>
    <n v="0"/>
    <n v="0"/>
    <n v="0"/>
    <n v="0"/>
    <s v="Paid"/>
    <n v="0"/>
    <n v="0"/>
    <s v="Cancelled"/>
    <x v="0"/>
    <x v="1"/>
    <x v="25"/>
    <x v="3"/>
    <n v="1.55"/>
    <n v="0"/>
    <e v="#DIV/0!"/>
    <n v="0"/>
    <x v="1"/>
    <n v="7"/>
    <s v="July"/>
    <s v="2025-07"/>
  </r>
  <r>
    <s v="FZ01090"/>
    <n v="45935"/>
    <n v="45945"/>
    <x v="0"/>
    <n v="250"/>
    <n v="851.85"/>
    <n v="0.2"/>
    <n v="212536.58"/>
    <x v="3"/>
    <n v="714.46"/>
    <n v="178615"/>
    <n v="4619.6499999999996"/>
    <n v="908.34"/>
    <n v="8832.44"/>
    <n v="192975.43"/>
    <n v="33921.58"/>
    <n v="19561.150000000001"/>
    <s v="Paid"/>
    <n v="212536.58"/>
    <n v="0"/>
    <s v="Delivered"/>
    <x v="1"/>
    <x v="2"/>
    <x v="10"/>
    <x v="5"/>
    <n v="2.33"/>
    <n v="19561.150000000001"/>
    <n v="9.2036627294934378E-2"/>
    <n v="0"/>
    <x v="1"/>
    <n v="10"/>
    <s v="October"/>
    <s v="2025-10"/>
  </r>
  <r>
    <s v="FZ01091"/>
    <n v="46012"/>
    <m/>
    <x v="0"/>
    <n v="1000"/>
    <n v="937.2"/>
    <n v="4.83"/>
    <n v="891933.24"/>
    <x v="0"/>
    <n v="680.42"/>
    <n v="680420"/>
    <n v="16825.27"/>
    <n v="2543.91"/>
    <n v="1390.38"/>
    <n v="701179.56"/>
    <n v="211513.24"/>
    <n v="190753.68"/>
    <s v="Paid"/>
    <n v="891933.24"/>
    <n v="0"/>
    <s v="Pending"/>
    <x v="4"/>
    <x v="1"/>
    <x v="9"/>
    <x v="1"/>
    <n v="1.57"/>
    <n v="190753.68"/>
    <n v="0.21386542338079023"/>
    <n v="0"/>
    <x v="1"/>
    <n v="12"/>
    <s v="December"/>
    <s v="2025-12"/>
  </r>
  <r>
    <s v="FZ01092"/>
    <n v="45878"/>
    <n v="45880"/>
    <x v="0"/>
    <n v="150"/>
    <n v="810.16"/>
    <n v="0.35"/>
    <n v="121098.67"/>
    <x v="0"/>
    <n v="665.09"/>
    <n v="99763.5"/>
    <n v="1353.9"/>
    <n v="515.37"/>
    <n v="2238.3200000000002"/>
    <n v="103871.09"/>
    <n v="21335.17"/>
    <n v="17227.580000000002"/>
    <s v="Paid"/>
    <n v="121098.67"/>
    <n v="0"/>
    <s v="Delivered"/>
    <x v="0"/>
    <x v="1"/>
    <x v="35"/>
    <x v="4"/>
    <n v="0.96"/>
    <n v="17227.580000000002"/>
    <n v="0.14226068709094825"/>
    <n v="0"/>
    <x v="1"/>
    <n v="8"/>
    <s v="August"/>
    <s v="2025-08"/>
  </r>
  <r>
    <s v="FZ01093"/>
    <n v="45970"/>
    <n v="45982"/>
    <x v="1"/>
    <n v="300"/>
    <n v="1343.09"/>
    <n v="1.31"/>
    <n v="397648.66"/>
    <x v="0"/>
    <n v="1107.07"/>
    <n v="332121"/>
    <n v="6389.88"/>
    <n v="1457.42"/>
    <n v="2211.9699999999998"/>
    <n v="342180.27"/>
    <n v="65527.66"/>
    <n v="55468.39"/>
    <s v="Paid"/>
    <n v="397648.66"/>
    <n v="0"/>
    <s v="Delivered"/>
    <x v="2"/>
    <x v="1"/>
    <x v="6"/>
    <x v="2"/>
    <n v="1.7"/>
    <n v="55468.39"/>
    <n v="0.13949095163554681"/>
    <n v="0"/>
    <x v="1"/>
    <n v="11"/>
    <s v="November"/>
    <s v="2025-11"/>
  </r>
  <r>
    <s v="FZ01094"/>
    <n v="45992"/>
    <n v="46000"/>
    <x v="0"/>
    <n v="1000"/>
    <n v="911.5"/>
    <n v="0.54"/>
    <n v="906577.9"/>
    <x v="1"/>
    <n v="683.23"/>
    <n v="683230"/>
    <n v="13517.33"/>
    <n v="2489.9699999999998"/>
    <n v="10711.44"/>
    <n v="709948.74"/>
    <n v="223347.9"/>
    <n v="196629.16"/>
    <s v="Paid"/>
    <n v="906577.9"/>
    <n v="0"/>
    <s v="Collected"/>
    <x v="2"/>
    <x v="1"/>
    <x v="36"/>
    <x v="3"/>
    <n v="2"/>
    <n v="196629.16"/>
    <n v="0.21689163170644243"/>
    <n v="0"/>
    <x v="1"/>
    <n v="12"/>
    <s v="December"/>
    <s v="2025-12"/>
  </r>
  <r>
    <s v="FZ01095"/>
    <n v="45742"/>
    <n v="45752"/>
    <x v="1"/>
    <n v="300"/>
    <n v="1341.68"/>
    <n v="1.1000000000000001"/>
    <n v="398076.46"/>
    <x v="0"/>
    <n v="1037.8800000000001"/>
    <n v="311364"/>
    <n v="3515.91"/>
    <n v="1343.47"/>
    <n v="8214.09"/>
    <n v="324437.46999999997"/>
    <n v="86712.46"/>
    <n v="73638.990000000005"/>
    <s v="Paid"/>
    <n v="398076.46"/>
    <n v="0"/>
    <s v="Collected"/>
    <x v="3"/>
    <x v="1"/>
    <x v="19"/>
    <x v="4"/>
    <n v="1.63"/>
    <n v="73638.990000000005"/>
    <n v="0.1849870499752736"/>
    <n v="0"/>
    <x v="1"/>
    <n v="3"/>
    <s v="March"/>
    <s v="2025-03"/>
  </r>
  <r>
    <s v="FZ01096"/>
    <n v="45591"/>
    <m/>
    <x v="1"/>
    <n v="100"/>
    <n v="1363.83"/>
    <n v="1.66"/>
    <n v="134119.04000000001"/>
    <x v="1"/>
    <n v="1027.6600000000001"/>
    <n v="102766"/>
    <n v="511.25"/>
    <n v="492.23"/>
    <n v="762.93"/>
    <n v="104532.41"/>
    <n v="31353.040000000001"/>
    <n v="29586.63"/>
    <s v="Paid"/>
    <n v="134119.04000000001"/>
    <n v="0"/>
    <s v="Pending"/>
    <x v="0"/>
    <x v="0"/>
    <x v="6"/>
    <x v="2"/>
    <n v="0.43"/>
    <n v="29586.63"/>
    <n v="0.22059977464795452"/>
    <n v="0"/>
    <x v="0"/>
    <n v="10"/>
    <s v="October"/>
    <s v="2024-10"/>
  </r>
  <r>
    <s v="FZ01097"/>
    <n v="45320"/>
    <m/>
    <x v="3"/>
    <n v="150"/>
    <n v="995.45"/>
    <n v="0.22"/>
    <n v="0"/>
    <x v="0"/>
    <n v="807.41"/>
    <n v="0"/>
    <n v="0"/>
    <n v="0"/>
    <n v="0"/>
    <n v="0"/>
    <n v="0"/>
    <n v="0"/>
    <s v="Paid"/>
    <n v="0"/>
    <n v="0"/>
    <s v="Cancelled"/>
    <x v="4"/>
    <x v="2"/>
    <x v="10"/>
    <x v="5"/>
    <n v="1.96"/>
    <n v="0"/>
    <e v="#DIV/0!"/>
    <n v="0"/>
    <x v="0"/>
    <n v="1"/>
    <s v="January"/>
    <s v="2024-01"/>
  </r>
  <r>
    <s v="FZ01098"/>
    <n v="45300"/>
    <n v="45311"/>
    <x v="0"/>
    <n v="50"/>
    <n v="862.01"/>
    <n v="1.39"/>
    <n v="42501.4"/>
    <x v="1"/>
    <n v="663.97"/>
    <n v="33198.5"/>
    <n v="786.24"/>
    <n v="159.69"/>
    <n v="10051.44"/>
    <n v="44195.87"/>
    <n v="9302.9"/>
    <n v="-1694.47"/>
    <s v="Part-paid"/>
    <n v="13588.69"/>
    <n v="28912.71"/>
    <s v="Delivered"/>
    <x v="5"/>
    <x v="4"/>
    <x v="5"/>
    <x v="4"/>
    <n v="2.41"/>
    <n v="-1694.47"/>
    <n v="-3.9868569035372954E-2"/>
    <n v="0"/>
    <x v="0"/>
    <n v="1"/>
    <s v="January"/>
    <s v="2024-01"/>
  </r>
  <r>
    <s v="FZ01099"/>
    <n v="45559"/>
    <n v="45569"/>
    <x v="0"/>
    <n v="150"/>
    <n v="923.65"/>
    <n v="2.35"/>
    <n v="135291.63"/>
    <x v="0"/>
    <n v="731.29"/>
    <n v="109693.5"/>
    <n v="1472.63"/>
    <n v="525.45000000000005"/>
    <n v="647.01"/>
    <n v="112338.59"/>
    <n v="25598.13"/>
    <n v="22953.040000000001"/>
    <s v="Paid"/>
    <n v="135291.63"/>
    <n v="0"/>
    <s v="Delivered"/>
    <x v="5"/>
    <x v="1"/>
    <x v="22"/>
    <x v="5"/>
    <n v="0.79"/>
    <n v="22953.040000000001"/>
    <n v="0.16965602380575945"/>
    <n v="0"/>
    <x v="0"/>
    <n v="9"/>
    <s v="September"/>
    <s v="2024-09"/>
  </r>
  <r>
    <s v="FZ01100"/>
    <n v="45816"/>
    <n v="45823"/>
    <x v="0"/>
    <n v="200"/>
    <n v="906.8"/>
    <n v="2.04"/>
    <n v="177660.26"/>
    <x v="2"/>
    <n v="686.62"/>
    <n v="137324"/>
    <n v="4570.25"/>
    <n v="323.32"/>
    <n v="11682.51"/>
    <n v="153900.07999999999"/>
    <n v="40336.26"/>
    <n v="23760.18"/>
    <s v="Paid"/>
    <n v="177660.26"/>
    <n v="0"/>
    <s v="Delivered"/>
    <x v="1"/>
    <x v="2"/>
    <x v="13"/>
    <x v="5"/>
    <n v="2.1800000000000002"/>
    <n v="23760.18"/>
    <n v="0.13373941927136659"/>
    <n v="0"/>
    <x v="1"/>
    <n v="6"/>
    <s v="June"/>
    <s v="2025-06"/>
  </r>
  <r>
    <s v="FZ01101"/>
    <n v="45427"/>
    <n v="45432"/>
    <x v="0"/>
    <n v="200"/>
    <n v="856.62"/>
    <n v="1.99"/>
    <n v="167914.65"/>
    <x v="2"/>
    <n v="670.94"/>
    <n v="134188"/>
    <n v="3490.18"/>
    <n v="526.78"/>
    <n v="1128.8499999999999"/>
    <n v="139333.81"/>
    <n v="33726.65"/>
    <n v="28580.84"/>
    <s v="Paid"/>
    <n v="167914.65"/>
    <n v="0"/>
    <s v="Delivered"/>
    <x v="1"/>
    <x v="0"/>
    <x v="27"/>
    <x v="2"/>
    <n v="0.63"/>
    <n v="28580.84"/>
    <n v="0.17021052064248118"/>
    <n v="0"/>
    <x v="0"/>
    <n v="5"/>
    <s v="May"/>
    <s v="2024-05"/>
  </r>
  <r>
    <s v="FZ01102"/>
    <n v="45760"/>
    <n v="45773"/>
    <x v="0"/>
    <n v="100"/>
    <n v="892.78"/>
    <n v="0.89"/>
    <n v="88483.43"/>
    <x v="0"/>
    <n v="737.92"/>
    <n v="73792"/>
    <n v="1063.21"/>
    <n v="288.01"/>
    <n v="10435.290000000001"/>
    <n v="85578.51"/>
    <n v="14691.43"/>
    <n v="2904.92"/>
    <s v="Unpaid"/>
    <n v="0"/>
    <n v="88483.43"/>
    <s v="Collected"/>
    <x v="1"/>
    <x v="1"/>
    <x v="36"/>
    <x v="3"/>
    <n v="0.05"/>
    <n v="2904.92"/>
    <n v="3.2830101635978624E-2"/>
    <n v="0"/>
    <x v="1"/>
    <n v="4"/>
    <s v="April"/>
    <s v="2025-04"/>
  </r>
  <r>
    <s v="FZ01103"/>
    <n v="45570"/>
    <n v="45580"/>
    <x v="1"/>
    <n v="300"/>
    <n v="1297.8499999999999"/>
    <n v="0.11"/>
    <n v="388926.71"/>
    <x v="1"/>
    <n v="1099.25"/>
    <n v="329775"/>
    <n v="5108.07"/>
    <n v="712.13"/>
    <n v="9441.49"/>
    <n v="345036.69"/>
    <n v="59151.71"/>
    <n v="43890.02"/>
    <s v="Unpaid"/>
    <n v="0"/>
    <n v="388926.71"/>
    <s v="Collected"/>
    <x v="4"/>
    <x v="4"/>
    <x v="13"/>
    <x v="5"/>
    <n v="1.33"/>
    <n v="43890.02"/>
    <n v="0.11284907637225532"/>
    <n v="0"/>
    <x v="0"/>
    <n v="10"/>
    <s v="October"/>
    <s v="2024-10"/>
  </r>
  <r>
    <s v="FZ01104"/>
    <n v="45626"/>
    <n v="45629"/>
    <x v="4"/>
    <n v="1200"/>
    <n v="3258.95"/>
    <n v="0.72"/>
    <n v="3882582.67"/>
    <x v="1"/>
    <n v="2295.0500000000002"/>
    <n v="2754060"/>
    <n v="22680.52"/>
    <n v="6859.45"/>
    <n v="10494.78"/>
    <n v="2794094.75"/>
    <n v="1128522.67"/>
    <n v="1088487.92"/>
    <s v="Paid"/>
    <n v="3882582.67"/>
    <n v="0"/>
    <s v="Collected"/>
    <x v="1"/>
    <x v="0"/>
    <x v="31"/>
    <x v="1"/>
    <n v="1.65"/>
    <n v="1088487.92"/>
    <n v="0.28035151148500848"/>
    <n v="0"/>
    <x v="0"/>
    <n v="11"/>
    <s v="November"/>
    <s v="2024-11"/>
  </r>
  <r>
    <s v="FZ01105"/>
    <n v="45358"/>
    <n v="45368"/>
    <x v="0"/>
    <n v="300"/>
    <n v="830.15"/>
    <n v="0.02"/>
    <n v="248995.19"/>
    <x v="1"/>
    <n v="691.63"/>
    <n v="207489"/>
    <n v="7021.89"/>
    <n v="844.01"/>
    <n v="1248.43"/>
    <n v="216603.33"/>
    <n v="41506.19"/>
    <n v="32391.86"/>
    <s v="Paid"/>
    <n v="248995.19"/>
    <n v="0"/>
    <s v="Collected"/>
    <x v="0"/>
    <x v="2"/>
    <x v="10"/>
    <x v="5"/>
    <n v="0.96"/>
    <n v="32391.86"/>
    <n v="0.13009030415406819"/>
    <n v="0"/>
    <x v="0"/>
    <n v="3"/>
    <s v="March"/>
    <s v="2024-03"/>
  </r>
  <r>
    <s v="FZ01106"/>
    <n v="45774"/>
    <n v="45781"/>
    <x v="2"/>
    <n v="250"/>
    <n v="725.07"/>
    <n v="2.0299999999999998"/>
    <n v="177587.77"/>
    <x v="0"/>
    <n v="546.27"/>
    <n v="136567.5"/>
    <n v="1269.45"/>
    <n v="1378.65"/>
    <n v="2533.23"/>
    <n v="141748.82999999999"/>
    <n v="41020.269999999997"/>
    <n v="35838.94"/>
    <s v="Unpaid"/>
    <n v="0"/>
    <n v="177587.77"/>
    <s v="Delivered"/>
    <x v="2"/>
    <x v="4"/>
    <x v="18"/>
    <x v="3"/>
    <n v="0.9"/>
    <n v="35838.94"/>
    <n v="0.20180973047862477"/>
    <n v="0"/>
    <x v="1"/>
    <n v="4"/>
    <s v="April"/>
    <s v="2025-04"/>
  </r>
  <r>
    <s v="FZ01107"/>
    <n v="45330"/>
    <n v="45330"/>
    <x v="0"/>
    <n v="50"/>
    <n v="893.65"/>
    <n v="1.92"/>
    <n v="43824.6"/>
    <x v="0"/>
    <n v="681.85"/>
    <n v="34092.5"/>
    <n v="995.79"/>
    <n v="228.16"/>
    <n v="3354.02"/>
    <n v="38670.47"/>
    <n v="9732.1"/>
    <n v="5154.13"/>
    <s v="Paid"/>
    <n v="43824.6"/>
    <n v="0"/>
    <s v="Delivered"/>
    <x v="0"/>
    <x v="3"/>
    <x v="27"/>
    <x v="2"/>
    <n v="0.24"/>
    <n v="5154.13"/>
    <n v="0.11760814702244858"/>
    <n v="0"/>
    <x v="0"/>
    <n v="2"/>
    <s v="February"/>
    <s v="2024-02"/>
  </r>
  <r>
    <s v="FZ01108"/>
    <n v="45602"/>
    <n v="45605"/>
    <x v="2"/>
    <n v="1000"/>
    <n v="746.26"/>
    <n v="2.83"/>
    <n v="725140.84"/>
    <x v="0"/>
    <n v="553.30999999999995"/>
    <n v="553310"/>
    <n v="12678.61"/>
    <n v="3453.97"/>
    <n v="3892.48"/>
    <n v="573335.06000000006"/>
    <n v="171830.84"/>
    <n v="151805.78"/>
    <s v="Paid"/>
    <n v="725140.84"/>
    <n v="0"/>
    <s v="Delivered"/>
    <x v="5"/>
    <x v="2"/>
    <x v="20"/>
    <x v="2"/>
    <n v="0.17"/>
    <n v="151805.78"/>
    <n v="0.20934661465212745"/>
    <n v="0"/>
    <x v="0"/>
    <n v="11"/>
    <s v="November"/>
    <s v="2024-11"/>
  </r>
  <r>
    <s v="FZ01109"/>
    <n v="45463"/>
    <n v="45474"/>
    <x v="2"/>
    <n v="200"/>
    <n v="664.47"/>
    <n v="1.99"/>
    <n v="130249.41"/>
    <x v="0"/>
    <n v="540.13"/>
    <n v="108026"/>
    <n v="3830.94"/>
    <n v="713.49"/>
    <n v="1401.85"/>
    <n v="113972.28"/>
    <n v="22223.41"/>
    <n v="16277.13"/>
    <s v="Paid"/>
    <n v="130249.41"/>
    <n v="0"/>
    <s v="Delivered"/>
    <x v="0"/>
    <x v="4"/>
    <x v="29"/>
    <x v="0"/>
    <n v="1.27"/>
    <n v="16277.13"/>
    <n v="0.12496893460016439"/>
    <n v="0"/>
    <x v="0"/>
    <n v="6"/>
    <s v="June"/>
    <s v="2024-06"/>
  </r>
  <r>
    <s v="FZ01110"/>
    <n v="46012"/>
    <n v="46018"/>
    <x v="1"/>
    <n v="50"/>
    <n v="1449.56"/>
    <n v="0.87"/>
    <n v="71847.44"/>
    <x v="1"/>
    <n v="998.72"/>
    <n v="49936"/>
    <n v="645.97"/>
    <n v="184.58"/>
    <n v="9674.9"/>
    <n v="60441.45"/>
    <n v="21911.439999999999"/>
    <n v="11405.99"/>
    <s v="Unpaid"/>
    <n v="0"/>
    <n v="71847.44"/>
    <s v="Collected"/>
    <x v="0"/>
    <x v="2"/>
    <x v="13"/>
    <x v="5"/>
    <n v="2.15"/>
    <n v="11405.99"/>
    <n v="0.15875290754966356"/>
    <n v="0"/>
    <x v="1"/>
    <n v="12"/>
    <s v="December"/>
    <s v="2025-12"/>
  </r>
  <r>
    <s v="FZ01111"/>
    <n v="45502"/>
    <n v="45509"/>
    <x v="2"/>
    <n v="150"/>
    <n v="736.37"/>
    <n v="2.17"/>
    <n v="108058.62"/>
    <x v="3"/>
    <n v="588.21"/>
    <n v="88231.5"/>
    <n v="2384.04"/>
    <n v="573.42999999999995"/>
    <n v="7872.03"/>
    <n v="99061"/>
    <n v="19827.12"/>
    <n v="8997.6200000000008"/>
    <s v="Paid"/>
    <n v="108058.62"/>
    <n v="0"/>
    <s v="Collected"/>
    <x v="3"/>
    <x v="1"/>
    <x v="11"/>
    <x v="5"/>
    <n v="0.21"/>
    <n v="8997.6200000000008"/>
    <n v="8.3266101306864751E-2"/>
    <n v="0"/>
    <x v="0"/>
    <n v="7"/>
    <s v="July"/>
    <s v="2024-07"/>
  </r>
  <r>
    <s v="FZ01112"/>
    <n v="45613"/>
    <n v="45616"/>
    <x v="1"/>
    <n v="200"/>
    <n v="1263.19"/>
    <n v="1.03"/>
    <n v="250035.83"/>
    <x v="2"/>
    <n v="1118.48"/>
    <n v="223696"/>
    <n v="3618.89"/>
    <n v="883.72"/>
    <n v="10067.780000000001"/>
    <n v="238266.39"/>
    <n v="26339.83"/>
    <n v="11769.44"/>
    <s v="Paid"/>
    <n v="250035.83"/>
    <n v="0"/>
    <s v="Delivered"/>
    <x v="2"/>
    <x v="4"/>
    <x v="5"/>
    <x v="4"/>
    <n v="1.95"/>
    <n v="11769.44"/>
    <n v="4.7071013782304723E-2"/>
    <n v="0"/>
    <x v="0"/>
    <n v="11"/>
    <s v="November"/>
    <s v="2024-11"/>
  </r>
  <r>
    <s v="FZ01113"/>
    <n v="45975"/>
    <m/>
    <x v="4"/>
    <n v="500"/>
    <n v="2929.44"/>
    <n v="3.12"/>
    <n v="1419020.74"/>
    <x v="1"/>
    <n v="2311.5700000000002"/>
    <n v="1155785"/>
    <n v="7369.6"/>
    <n v="2249.81"/>
    <n v="11178.63"/>
    <n v="1176583.04"/>
    <n v="263235.74"/>
    <n v="242437.7"/>
    <s v="Paid"/>
    <n v="1419020.74"/>
    <n v="0"/>
    <s v="Pending"/>
    <x v="4"/>
    <x v="3"/>
    <x v="30"/>
    <x v="0"/>
    <n v="1.84"/>
    <n v="242437.7"/>
    <n v="0.17084859520798831"/>
    <n v="0"/>
    <x v="1"/>
    <n v="11"/>
    <s v="November"/>
    <s v="2025-11"/>
  </r>
  <r>
    <s v="FZ01114"/>
    <n v="45476"/>
    <n v="45481"/>
    <x v="0"/>
    <n v="250"/>
    <n v="872.2"/>
    <n v="0.33"/>
    <n v="217330.44"/>
    <x v="3"/>
    <n v="660.08"/>
    <n v="165020"/>
    <n v="2940.3"/>
    <n v="648.17999999999995"/>
    <n v="1075.02"/>
    <n v="169683.5"/>
    <n v="52310.44"/>
    <n v="47646.94"/>
    <s v="Unpaid"/>
    <n v="0"/>
    <n v="217330.44"/>
    <s v="Delivered"/>
    <x v="2"/>
    <x v="2"/>
    <x v="7"/>
    <x v="5"/>
    <n v="1.02"/>
    <n v="47646.94"/>
    <n v="0.21923730518375614"/>
    <n v="0"/>
    <x v="0"/>
    <n v="7"/>
    <s v="July"/>
    <s v="2024-07"/>
  </r>
  <r>
    <s v="FZ01115"/>
    <n v="45983"/>
    <n v="45989"/>
    <x v="0"/>
    <n v="500"/>
    <n v="945.23"/>
    <n v="3.02"/>
    <n v="458342.03"/>
    <x v="2"/>
    <n v="681.27"/>
    <n v="340635"/>
    <n v="5265.4"/>
    <n v="2657.86"/>
    <n v="3480.61"/>
    <n v="352038.87"/>
    <n v="117707.03"/>
    <n v="106303.16"/>
    <s v="Part-paid"/>
    <n v="310695.78999999998"/>
    <n v="147646.24"/>
    <s v="Delivered"/>
    <x v="5"/>
    <x v="1"/>
    <x v="13"/>
    <x v="5"/>
    <n v="2.42"/>
    <n v="106303.16"/>
    <n v="0.23192976651083033"/>
    <n v="0"/>
    <x v="1"/>
    <n v="11"/>
    <s v="November"/>
    <s v="2025-11"/>
  </r>
  <r>
    <s v="FZ01116"/>
    <n v="45928"/>
    <m/>
    <x v="0"/>
    <n v="50"/>
    <n v="930.03"/>
    <n v="2.06"/>
    <n v="45543.57"/>
    <x v="2"/>
    <n v="689.69"/>
    <n v="34484.5"/>
    <n v="302.19"/>
    <n v="118.5"/>
    <n v="9591.9699999999993"/>
    <n v="44497.16"/>
    <n v="11059.07"/>
    <n v="1046.4100000000001"/>
    <s v="Paid"/>
    <n v="45543.57"/>
    <n v="0"/>
    <s v="Pending"/>
    <x v="0"/>
    <x v="3"/>
    <x v="5"/>
    <x v="4"/>
    <n v="1.66"/>
    <n v="1046.4100000000001"/>
    <n v="2.297602054472234E-2"/>
    <n v="0"/>
    <x v="1"/>
    <n v="9"/>
    <s v="September"/>
    <s v="2025-09"/>
  </r>
  <r>
    <s v="FZ01117"/>
    <n v="45489"/>
    <n v="45502"/>
    <x v="0"/>
    <n v="200"/>
    <n v="797.59"/>
    <n v="1.1000000000000001"/>
    <n v="157763.29999999999"/>
    <x v="0"/>
    <n v="736.93"/>
    <n v="147386"/>
    <n v="4219.83"/>
    <n v="674.77"/>
    <n v="8930.06"/>
    <n v="161210.66"/>
    <n v="10377.299999999999"/>
    <n v="-3447.36"/>
    <s v="Paid"/>
    <n v="157763.29999999999"/>
    <n v="0"/>
    <s v="Delivered"/>
    <x v="0"/>
    <x v="3"/>
    <x v="14"/>
    <x v="1"/>
    <n v="0.15"/>
    <n v="-3447.36"/>
    <n v="-2.1851469891920366E-2"/>
    <n v="0"/>
    <x v="0"/>
    <n v="7"/>
    <s v="July"/>
    <s v="2024-07"/>
  </r>
  <r>
    <s v="FZ01118"/>
    <n v="45588"/>
    <n v="45589"/>
    <x v="1"/>
    <n v="100"/>
    <n v="1395.65"/>
    <n v="0.09"/>
    <n v="139439.39000000001"/>
    <x v="2"/>
    <n v="1038.71"/>
    <n v="103871"/>
    <n v="2286.2399999999998"/>
    <n v="341.49"/>
    <n v="4495.04"/>
    <n v="110993.77"/>
    <n v="35568.39"/>
    <n v="28445.62"/>
    <s v="Unpaid"/>
    <n v="0"/>
    <n v="139439.39000000001"/>
    <s v="Delivered"/>
    <x v="0"/>
    <x v="2"/>
    <x v="13"/>
    <x v="5"/>
    <n v="0.17"/>
    <n v="28445.62"/>
    <n v="0.20399988841029781"/>
    <n v="0"/>
    <x v="0"/>
    <n v="10"/>
    <s v="October"/>
    <s v="2024-10"/>
  </r>
  <r>
    <s v="FZ01119"/>
    <n v="45844"/>
    <n v="45853"/>
    <x v="2"/>
    <n v="150"/>
    <n v="681"/>
    <n v="0.51"/>
    <n v="101629.04"/>
    <x v="2"/>
    <n v="554.88"/>
    <n v="83232"/>
    <n v="1835.79"/>
    <n v="491.4"/>
    <n v="8544.31"/>
    <n v="94103.5"/>
    <n v="18397.04"/>
    <n v="7525.54"/>
    <s v="Paid"/>
    <n v="101629.04"/>
    <n v="0"/>
    <s v="Collected"/>
    <x v="1"/>
    <x v="4"/>
    <x v="12"/>
    <x v="2"/>
    <n v="0.53"/>
    <n v="7525.54"/>
    <n v="7.4049110372389634E-2"/>
    <n v="0"/>
    <x v="1"/>
    <n v="7"/>
    <s v="July"/>
    <s v="2025-07"/>
  </r>
  <r>
    <s v="FZ01120"/>
    <n v="45536"/>
    <n v="45539"/>
    <x v="0"/>
    <n v="500"/>
    <n v="861.23"/>
    <n v="0.24"/>
    <n v="429581.52"/>
    <x v="1"/>
    <n v="681.35"/>
    <n v="340675"/>
    <n v="10089.75"/>
    <n v="2259.02"/>
    <n v="6069.78"/>
    <n v="359093.55"/>
    <n v="88906.52"/>
    <n v="70487.97"/>
    <s v="Paid"/>
    <n v="429581.52"/>
    <n v="0"/>
    <s v="Delivered"/>
    <x v="0"/>
    <x v="0"/>
    <x v="10"/>
    <x v="5"/>
    <n v="1.48"/>
    <n v="70487.97"/>
    <n v="0.16408520087176934"/>
    <n v="0"/>
    <x v="0"/>
    <n v="9"/>
    <s v="September"/>
    <s v="2024-09"/>
  </r>
  <r>
    <s v="FZ01121"/>
    <n v="45451"/>
    <n v="45457"/>
    <x v="0"/>
    <n v="100"/>
    <n v="869.11"/>
    <n v="1.98"/>
    <n v="85190.16"/>
    <x v="2"/>
    <n v="697.43"/>
    <n v="69743"/>
    <n v="1011.73"/>
    <n v="571.08000000000004"/>
    <n v="9589.39"/>
    <n v="80915.199999999997"/>
    <n v="15447.16"/>
    <n v="4274.96"/>
    <s v="Part-paid"/>
    <n v="23679.99"/>
    <n v="61510.17"/>
    <s v="Collected"/>
    <x v="5"/>
    <x v="1"/>
    <x v="22"/>
    <x v="5"/>
    <n v="1.22"/>
    <n v="4274.96"/>
    <n v="5.0181382450743134E-2"/>
    <n v="0"/>
    <x v="0"/>
    <n v="6"/>
    <s v="June"/>
    <s v="2024-06"/>
  </r>
  <r>
    <s v="FZ01122"/>
    <n v="45782"/>
    <n v="45795"/>
    <x v="0"/>
    <n v="150"/>
    <n v="920.3"/>
    <n v="2.16"/>
    <n v="135063.23000000001"/>
    <x v="2"/>
    <n v="706.12"/>
    <n v="105918"/>
    <n v="981.76"/>
    <n v="323.16000000000003"/>
    <n v="9201.15"/>
    <n v="116424.07"/>
    <n v="29145.23"/>
    <n v="18639.16"/>
    <s v="Unpaid"/>
    <n v="0"/>
    <n v="135063.23000000001"/>
    <s v="Collected"/>
    <x v="4"/>
    <x v="0"/>
    <x v="10"/>
    <x v="5"/>
    <n v="0.4"/>
    <n v="18639.16"/>
    <n v="0.13800321523482001"/>
    <n v="0"/>
    <x v="1"/>
    <n v="5"/>
    <s v="May"/>
    <s v="2025-05"/>
  </r>
  <r>
    <s v="FZ01123"/>
    <n v="45472"/>
    <n v="45478"/>
    <x v="0"/>
    <n v="300"/>
    <n v="806.37"/>
    <n v="0.33"/>
    <n v="241112.69"/>
    <x v="2"/>
    <n v="715.94"/>
    <n v="214782"/>
    <n v="2029.01"/>
    <n v="1190.28"/>
    <n v="4621.1400000000003"/>
    <n v="222622.43"/>
    <n v="26330.69"/>
    <n v="18490.259999999998"/>
    <s v="Paid"/>
    <n v="241112.69"/>
    <n v="0"/>
    <s v="Delivered"/>
    <x v="5"/>
    <x v="1"/>
    <x v="16"/>
    <x v="1"/>
    <n v="1.19"/>
    <n v="18490.259999999998"/>
    <n v="7.6687212108164024E-2"/>
    <n v="0"/>
    <x v="0"/>
    <n v="6"/>
    <s v="June"/>
    <s v="2024-06"/>
  </r>
  <r>
    <s v="FZ01124"/>
    <n v="45456"/>
    <n v="45458"/>
    <x v="0"/>
    <n v="1000"/>
    <n v="810.42"/>
    <n v="4.55"/>
    <n v="773545.89"/>
    <x v="2"/>
    <n v="748.17"/>
    <n v="748170"/>
    <n v="10316.61"/>
    <n v="5618"/>
    <n v="2042.47"/>
    <n v="766147.08"/>
    <n v="25375.89"/>
    <n v="7398.81"/>
    <s v="Paid"/>
    <n v="773545.89"/>
    <n v="0"/>
    <s v="Delivered"/>
    <x v="3"/>
    <x v="2"/>
    <x v="23"/>
    <x v="4"/>
    <n v="1.07"/>
    <n v="7398.81"/>
    <n v="9.5647977652625112E-3"/>
    <n v="0"/>
    <x v="0"/>
    <n v="6"/>
    <s v="June"/>
    <s v="2024-06"/>
  </r>
  <r>
    <s v="FZ01125"/>
    <n v="45505"/>
    <n v="45518"/>
    <x v="4"/>
    <n v="750"/>
    <n v="2849.75"/>
    <n v="2.5499999999999998"/>
    <n v="2082811.03"/>
    <x v="0"/>
    <n v="2422.85"/>
    <n v="1817137.5"/>
    <n v="9472.94"/>
    <n v="1783.93"/>
    <n v="10617.27"/>
    <n v="1839011.64"/>
    <n v="265673.53000000003"/>
    <n v="243799.39"/>
    <s v="Paid"/>
    <n v="2082811.03"/>
    <n v="0"/>
    <s v="Delivered"/>
    <x v="5"/>
    <x v="2"/>
    <x v="34"/>
    <x v="4"/>
    <n v="2.2000000000000002"/>
    <n v="243799.39"/>
    <n v="0.11705305305589822"/>
    <n v="0"/>
    <x v="0"/>
    <n v="8"/>
    <s v="August"/>
    <s v="2024-08"/>
  </r>
  <r>
    <s v="FZ01126"/>
    <n v="45410"/>
    <n v="45419"/>
    <x v="1"/>
    <n v="100"/>
    <n v="1305.23"/>
    <n v="0.13"/>
    <n v="130353.32"/>
    <x v="1"/>
    <n v="974.99"/>
    <n v="97499"/>
    <n v="1773.65"/>
    <n v="553.92999999999995"/>
    <n v="6231.31"/>
    <n v="106057.89"/>
    <n v="32854.32"/>
    <n v="24295.43"/>
    <s v="Paid"/>
    <n v="130353.32"/>
    <n v="0"/>
    <s v="Delivered"/>
    <x v="3"/>
    <x v="0"/>
    <x v="4"/>
    <x v="1"/>
    <n v="0.49"/>
    <n v="24295.43"/>
    <n v="0.18638136719494369"/>
    <n v="0"/>
    <x v="0"/>
    <n v="4"/>
    <s v="April"/>
    <s v="2024-04"/>
  </r>
  <r>
    <s v="FZ01127"/>
    <n v="45438"/>
    <n v="45450"/>
    <x v="2"/>
    <n v="300"/>
    <n v="659.39"/>
    <n v="0.96"/>
    <n v="195917.96"/>
    <x v="1"/>
    <n v="555.89"/>
    <n v="166767"/>
    <n v="5244.19"/>
    <n v="1781.9"/>
    <n v="11471.65"/>
    <n v="185264.74"/>
    <n v="29150.959999999999"/>
    <n v="10653.22"/>
    <s v="Paid"/>
    <n v="195917.96"/>
    <n v="0"/>
    <s v="Delivered"/>
    <x v="1"/>
    <x v="1"/>
    <x v="6"/>
    <x v="2"/>
    <n v="1.1200000000000001"/>
    <n v="10653.22"/>
    <n v="5.4375923473274218E-2"/>
    <n v="0"/>
    <x v="0"/>
    <n v="5"/>
    <s v="May"/>
    <s v="2024-05"/>
  </r>
  <r>
    <s v="FZ01128"/>
    <n v="45770"/>
    <n v="45775"/>
    <x v="3"/>
    <n v="750"/>
    <n v="992.22"/>
    <n v="2.21"/>
    <n v="727718.95"/>
    <x v="2"/>
    <n v="722.43"/>
    <n v="541822.5"/>
    <n v="12378.43"/>
    <n v="1965.08"/>
    <n v="6590.1"/>
    <n v="562756.11"/>
    <n v="185896.45"/>
    <n v="164962.84"/>
    <s v="Paid"/>
    <n v="727718.95"/>
    <n v="0"/>
    <s v="Delivered"/>
    <x v="0"/>
    <x v="3"/>
    <x v="11"/>
    <x v="5"/>
    <n v="1.37"/>
    <n v="164962.84"/>
    <n v="0.22668482111122709"/>
    <n v="0"/>
    <x v="1"/>
    <n v="4"/>
    <s v="April"/>
    <s v="2025-04"/>
  </r>
  <r>
    <s v="FZ01129"/>
    <n v="45290"/>
    <n v="45299"/>
    <x v="1"/>
    <n v="50"/>
    <n v="1224.92"/>
    <n v="1.47"/>
    <n v="60345.68"/>
    <x v="0"/>
    <n v="1069.0899999999999"/>
    <n v="53454.5"/>
    <n v="487.01"/>
    <n v="111.97"/>
    <n v="1378.49"/>
    <n v="55431.97"/>
    <n v="6891.18"/>
    <n v="4913.71"/>
    <s v="Paid"/>
    <n v="60345.68"/>
    <n v="0"/>
    <s v="Delivered"/>
    <x v="5"/>
    <x v="0"/>
    <x v="6"/>
    <x v="2"/>
    <n v="1.53"/>
    <n v="4913.71"/>
    <n v="8.1426044084680127E-2"/>
    <n v="0"/>
    <x v="2"/>
    <n v="12"/>
    <s v="December"/>
    <s v="2023-12"/>
  </r>
  <r>
    <s v="FZ01130"/>
    <n v="45963"/>
    <m/>
    <x v="1"/>
    <n v="1000"/>
    <n v="1306.8800000000001"/>
    <n v="3.12"/>
    <n v="1266105.3400000001"/>
    <x v="2"/>
    <n v="1005.35"/>
    <n v="1005350"/>
    <n v="17788.57"/>
    <n v="4087.48"/>
    <n v="4573.49"/>
    <n v="1031799.54"/>
    <n v="260755.34"/>
    <n v="234305.8"/>
    <s v="Part-paid"/>
    <n v="572002.62"/>
    <n v="694102.72"/>
    <s v="Pending"/>
    <x v="0"/>
    <x v="0"/>
    <x v="9"/>
    <x v="1"/>
    <n v="0.32"/>
    <n v="234305.8"/>
    <n v="0.18506027310492187"/>
    <n v="0"/>
    <x v="1"/>
    <n v="11"/>
    <s v="November"/>
    <s v="2025-11"/>
  </r>
  <r>
    <s v="FZ01131"/>
    <n v="45936"/>
    <n v="45941"/>
    <x v="3"/>
    <n v="500"/>
    <n v="1019.64"/>
    <n v="1.38"/>
    <n v="502784.48"/>
    <x v="3"/>
    <n v="817.65"/>
    <n v="408825"/>
    <n v="11706.12"/>
    <n v="1857.33"/>
    <n v="4636.8999999999996"/>
    <n v="427025.35"/>
    <n v="93959.48"/>
    <n v="75759.13"/>
    <s v="Paid"/>
    <n v="502784.48"/>
    <n v="0"/>
    <s v="Delivered"/>
    <x v="4"/>
    <x v="0"/>
    <x v="8"/>
    <x v="5"/>
    <n v="1.34"/>
    <n v="75759.13"/>
    <n v="0.15067913393030749"/>
    <n v="0"/>
    <x v="1"/>
    <n v="10"/>
    <s v="October"/>
    <s v="2025-10"/>
  </r>
  <r>
    <s v="FZ01132"/>
    <n v="45798"/>
    <n v="45811"/>
    <x v="0"/>
    <n v="250"/>
    <n v="801.06"/>
    <n v="0.16"/>
    <n v="199944.58"/>
    <x v="2"/>
    <n v="710.4"/>
    <n v="177600"/>
    <n v="3547.88"/>
    <n v="1432.6"/>
    <n v="9544.91"/>
    <n v="192125.39"/>
    <n v="22344.58"/>
    <n v="7819.19"/>
    <s v="Paid"/>
    <n v="199944.58"/>
    <n v="0"/>
    <s v="Delivered"/>
    <x v="0"/>
    <x v="2"/>
    <x v="9"/>
    <x v="1"/>
    <n v="2.4900000000000002"/>
    <n v="7819.19"/>
    <n v="3.9106786490536526E-2"/>
    <n v="0"/>
    <x v="1"/>
    <n v="5"/>
    <s v="May"/>
    <s v="2025-05"/>
  </r>
  <r>
    <s v="FZ01133"/>
    <n v="45351"/>
    <n v="45363"/>
    <x v="1"/>
    <n v="500"/>
    <n v="1216.5"/>
    <n v="1.06"/>
    <n v="601802.55000000005"/>
    <x v="1"/>
    <n v="1110.04"/>
    <n v="555020"/>
    <n v="8711.01"/>
    <n v="822.56"/>
    <n v="5519.18"/>
    <n v="570072.75"/>
    <n v="46782.55"/>
    <n v="31729.8"/>
    <s v="Paid"/>
    <n v="601802.55000000005"/>
    <n v="0"/>
    <s v="Delivered"/>
    <x v="2"/>
    <x v="0"/>
    <x v="11"/>
    <x v="5"/>
    <n v="0.18"/>
    <n v="31729.8"/>
    <n v="5.2724602114098712E-2"/>
    <n v="0"/>
    <x v="0"/>
    <n v="2"/>
    <s v="February"/>
    <s v="2024-02"/>
  </r>
  <r>
    <s v="FZ01134"/>
    <n v="45366"/>
    <n v="45376"/>
    <x v="0"/>
    <n v="200"/>
    <n v="931.67"/>
    <n v="1.59"/>
    <n v="183371.29"/>
    <x v="0"/>
    <n v="685.76"/>
    <n v="137152"/>
    <n v="3538.57"/>
    <n v="1131.6600000000001"/>
    <n v="8194.09"/>
    <n v="150016.32000000001"/>
    <n v="46219.29"/>
    <n v="33354.97"/>
    <s v="Part-paid"/>
    <n v="131277.09"/>
    <n v="52094.2"/>
    <s v="Delivered"/>
    <x v="0"/>
    <x v="1"/>
    <x v="13"/>
    <x v="5"/>
    <n v="0.08"/>
    <n v="33354.97"/>
    <n v="0.18189854038764738"/>
    <n v="0"/>
    <x v="0"/>
    <n v="3"/>
    <s v="March"/>
    <s v="2024-03"/>
  </r>
  <r>
    <s v="FZ01135"/>
    <n v="45840"/>
    <m/>
    <x v="0"/>
    <n v="150"/>
    <n v="893.05"/>
    <n v="2.4700000000000002"/>
    <n v="0"/>
    <x v="3"/>
    <n v="736.21"/>
    <n v="0"/>
    <n v="0"/>
    <n v="0"/>
    <n v="0"/>
    <n v="0"/>
    <n v="0"/>
    <n v="0"/>
    <s v="Paid"/>
    <n v="0"/>
    <n v="0"/>
    <s v="Cancelled"/>
    <x v="0"/>
    <x v="2"/>
    <x v="2"/>
    <x v="2"/>
    <n v="1.18"/>
    <n v="0"/>
    <e v="#DIV/0!"/>
    <n v="0"/>
    <x v="1"/>
    <n v="7"/>
    <s v="July"/>
    <s v="2025-07"/>
  </r>
  <r>
    <s v="FZ01136"/>
    <n v="45452"/>
    <n v="45459"/>
    <x v="1"/>
    <n v="100"/>
    <n v="1212.04"/>
    <n v="0.27"/>
    <n v="120876.75"/>
    <x v="2"/>
    <n v="1082.52"/>
    <n v="108252"/>
    <n v="1033.9000000000001"/>
    <n v="164.45"/>
    <n v="9873.1299999999992"/>
    <n v="119323.48"/>
    <n v="12624.75"/>
    <n v="1553.27"/>
    <s v="Unpaid"/>
    <n v="0"/>
    <n v="120876.75"/>
    <s v="Delivered"/>
    <x v="4"/>
    <x v="1"/>
    <x v="16"/>
    <x v="1"/>
    <n v="2.34"/>
    <n v="1553.27"/>
    <n v="1.2850031126746873E-2"/>
    <n v="0"/>
    <x v="0"/>
    <n v="6"/>
    <s v="June"/>
    <s v="2024-06"/>
  </r>
  <r>
    <s v="FZ01137"/>
    <n v="45874"/>
    <n v="45886"/>
    <x v="0"/>
    <n v="750"/>
    <n v="902.18"/>
    <n v="3.77"/>
    <n v="651125.86"/>
    <x v="0"/>
    <n v="652.91"/>
    <n v="489682.5"/>
    <n v="10506.87"/>
    <n v="2248.5300000000002"/>
    <n v="6216.13"/>
    <n v="508654.03"/>
    <n v="161443.35999999999"/>
    <n v="142471.82999999999"/>
    <s v="Paid"/>
    <n v="651125.86"/>
    <n v="0"/>
    <s v="Delivered"/>
    <x v="4"/>
    <x v="3"/>
    <x v="21"/>
    <x v="0"/>
    <n v="1.1499999999999999"/>
    <n v="142471.82999999999"/>
    <n v="0.21880843436321204"/>
    <n v="0"/>
    <x v="1"/>
    <n v="8"/>
    <s v="August"/>
    <s v="2025-08"/>
  </r>
  <r>
    <s v="FZ01138"/>
    <n v="45714"/>
    <n v="45715"/>
    <x v="3"/>
    <n v="500"/>
    <n v="979.61"/>
    <n v="2.1800000000000002"/>
    <n v="479127.25"/>
    <x v="1"/>
    <n v="770.8"/>
    <n v="385400"/>
    <n v="9109.44"/>
    <n v="2808.23"/>
    <n v="9628.5300000000007"/>
    <n v="406946.2"/>
    <n v="93727.25"/>
    <n v="72181.05"/>
    <s v="Paid"/>
    <n v="479127.25"/>
    <n v="0"/>
    <s v="Delivered"/>
    <x v="4"/>
    <x v="0"/>
    <x v="22"/>
    <x v="5"/>
    <n v="0.74"/>
    <n v="72181.05"/>
    <n v="0.15065110573443694"/>
    <n v="0"/>
    <x v="1"/>
    <n v="2"/>
    <s v="February"/>
    <s v="2025-02"/>
  </r>
  <r>
    <s v="FZ01139"/>
    <n v="45684"/>
    <n v="45693"/>
    <x v="0"/>
    <n v="150"/>
    <n v="857.24"/>
    <n v="0.77"/>
    <n v="127595.89"/>
    <x v="2"/>
    <n v="683.99"/>
    <n v="102598.5"/>
    <n v="1833.88"/>
    <n v="794.18"/>
    <n v="4090.98"/>
    <n v="109317.54"/>
    <n v="24997.39"/>
    <n v="18278.349999999999"/>
    <s v="Paid"/>
    <n v="127595.89"/>
    <n v="0"/>
    <s v="Collected"/>
    <x v="0"/>
    <x v="0"/>
    <x v="11"/>
    <x v="5"/>
    <n v="0.61"/>
    <n v="18278.349999999999"/>
    <n v="0.14325187120055355"/>
    <n v="0"/>
    <x v="1"/>
    <n v="1"/>
    <s v="January"/>
    <s v="2025-01"/>
  </r>
  <r>
    <s v="FZ01140"/>
    <n v="45565"/>
    <n v="45574"/>
    <x v="0"/>
    <n v="300"/>
    <n v="921.68"/>
    <n v="1.45"/>
    <n v="272494.69"/>
    <x v="0"/>
    <n v="702.91"/>
    <n v="210873"/>
    <n v="6895.22"/>
    <n v="1494.68"/>
    <n v="7696.27"/>
    <n v="226959.17"/>
    <n v="61621.69"/>
    <n v="45535.519999999997"/>
    <s v="Unpaid"/>
    <n v="0"/>
    <n v="272494.69"/>
    <s v="Delivered"/>
    <x v="0"/>
    <x v="2"/>
    <x v="11"/>
    <x v="5"/>
    <n v="2.46"/>
    <n v="45535.519999999997"/>
    <n v="0.16710608195704657"/>
    <n v="0"/>
    <x v="0"/>
    <n v="9"/>
    <s v="September"/>
    <s v="2024-09"/>
  </r>
  <r>
    <s v="FZ01141"/>
    <n v="45864"/>
    <n v="45868"/>
    <x v="0"/>
    <n v="50"/>
    <n v="896.84"/>
    <n v="0.61"/>
    <n v="44568.46"/>
    <x v="1"/>
    <n v="691.66"/>
    <n v="34583"/>
    <n v="433.29"/>
    <n v="136.96"/>
    <n v="5836"/>
    <n v="40989.25"/>
    <n v="9985.4599999999991"/>
    <n v="3579.21"/>
    <s v="Paid"/>
    <n v="44568.46"/>
    <n v="0"/>
    <s v="Delivered"/>
    <x v="0"/>
    <x v="3"/>
    <x v="2"/>
    <x v="2"/>
    <n v="1.1000000000000001"/>
    <n v="3579.21"/>
    <n v="8.0308137189393572E-2"/>
    <n v="0"/>
    <x v="1"/>
    <n v="7"/>
    <s v="July"/>
    <s v="2025-07"/>
  </r>
  <r>
    <s v="FZ01142"/>
    <n v="45724"/>
    <n v="45726"/>
    <x v="0"/>
    <n v="100"/>
    <n v="903.88"/>
    <n v="0.28999999999999998"/>
    <n v="90125.87"/>
    <x v="0"/>
    <n v="663.02"/>
    <n v="66302"/>
    <n v="2179.1799999999998"/>
    <n v="240.94"/>
    <n v="3782.1"/>
    <n v="72504.22"/>
    <n v="23823.87"/>
    <n v="17621.650000000001"/>
    <s v="Paid"/>
    <n v="90125.87"/>
    <n v="0"/>
    <s v="Delivered"/>
    <x v="3"/>
    <x v="2"/>
    <x v="12"/>
    <x v="2"/>
    <n v="1.79"/>
    <n v="17621.650000000001"/>
    <n v="0.19552266180620506"/>
    <n v="0"/>
    <x v="1"/>
    <n v="3"/>
    <s v="March"/>
    <s v="2025-03"/>
  </r>
  <r>
    <s v="FZ01143"/>
    <n v="45952"/>
    <n v="45959"/>
    <x v="3"/>
    <n v="50"/>
    <n v="952.65"/>
    <n v="0.52"/>
    <n v="47384.81"/>
    <x v="1"/>
    <n v="768.33"/>
    <n v="38416.5"/>
    <n v="748.7"/>
    <n v="177.03"/>
    <n v="3371.03"/>
    <n v="42713.26"/>
    <n v="8968.31"/>
    <n v="4671.55"/>
    <s v="Unpaid"/>
    <n v="0"/>
    <n v="47384.81"/>
    <s v="Collected"/>
    <x v="0"/>
    <x v="3"/>
    <x v="7"/>
    <x v="5"/>
    <n v="0.84"/>
    <n v="4671.55"/>
    <n v="9.8587500931205593E-2"/>
    <n v="0"/>
    <x v="1"/>
    <n v="10"/>
    <s v="October"/>
    <s v="2025-10"/>
  </r>
  <r>
    <s v="FZ01144"/>
    <n v="45475"/>
    <n v="45486"/>
    <x v="0"/>
    <n v="500"/>
    <n v="841.26"/>
    <n v="1.44"/>
    <n v="414572.93"/>
    <x v="2"/>
    <n v="728.69"/>
    <n v="364345"/>
    <n v="9774.5400000000009"/>
    <n v="2076.75"/>
    <n v="7932.73"/>
    <n v="384129.02"/>
    <n v="50227.93"/>
    <n v="30443.91"/>
    <s v="Paid"/>
    <n v="414572.93"/>
    <n v="0"/>
    <s v="Delivered"/>
    <x v="2"/>
    <x v="1"/>
    <x v="17"/>
    <x v="3"/>
    <n v="2"/>
    <n v="30443.91"/>
    <n v="7.3434389457121579E-2"/>
    <n v="0"/>
    <x v="0"/>
    <n v="7"/>
    <s v="July"/>
    <s v="2024-07"/>
  </r>
  <r>
    <s v="FZ01145"/>
    <n v="45513"/>
    <m/>
    <x v="4"/>
    <n v="100"/>
    <n v="2851.8"/>
    <n v="2"/>
    <n v="279476.40000000002"/>
    <x v="2"/>
    <n v="2187.4299999999998"/>
    <n v="218743"/>
    <n v="673.22"/>
    <n v="341.27"/>
    <n v="2898.49"/>
    <n v="222655.98"/>
    <n v="60733.4"/>
    <n v="56820.42"/>
    <s v="Paid"/>
    <n v="279476.40000000002"/>
    <n v="0"/>
    <s v="Pending"/>
    <x v="0"/>
    <x v="4"/>
    <x v="22"/>
    <x v="5"/>
    <n v="1.45"/>
    <n v="56820.42"/>
    <n v="0.20331026161779669"/>
    <n v="0"/>
    <x v="0"/>
    <n v="8"/>
    <s v="August"/>
    <s v="2024-08"/>
  </r>
  <r>
    <s v="FZ01146"/>
    <n v="45641"/>
    <m/>
    <x v="0"/>
    <n v="100"/>
    <n v="936.61"/>
    <n v="2.09"/>
    <n v="91703.49"/>
    <x v="1"/>
    <n v="673.47"/>
    <n v="67347"/>
    <n v="890.76"/>
    <n v="307.06"/>
    <n v="8556.81"/>
    <n v="77101.63"/>
    <n v="24356.49"/>
    <n v="14601.86"/>
    <s v="Paid"/>
    <n v="91703.49"/>
    <n v="0"/>
    <s v="Pending"/>
    <x v="0"/>
    <x v="0"/>
    <x v="30"/>
    <x v="0"/>
    <n v="1.6"/>
    <n v="14601.86"/>
    <n v="0.15922905442311955"/>
    <n v="0"/>
    <x v="0"/>
    <n v="12"/>
    <s v="December"/>
    <s v="2024-12"/>
  </r>
  <r>
    <s v="FZ01147"/>
    <n v="45545"/>
    <n v="45559"/>
    <x v="0"/>
    <n v="250"/>
    <n v="878.24"/>
    <n v="1.75"/>
    <n v="215717.7"/>
    <x v="2"/>
    <n v="694.28"/>
    <n v="173570"/>
    <n v="2189.7199999999998"/>
    <n v="1339.92"/>
    <n v="1586.38"/>
    <n v="178686.02"/>
    <n v="42147.7"/>
    <n v="37031.68"/>
    <s v="Paid"/>
    <n v="215717.7"/>
    <n v="0"/>
    <s v="Collected"/>
    <x v="3"/>
    <x v="2"/>
    <x v="6"/>
    <x v="2"/>
    <n v="0.47"/>
    <n v="37031.68"/>
    <n v="0.17166732261654929"/>
    <n v="0"/>
    <x v="0"/>
    <n v="9"/>
    <s v="September"/>
    <s v="2024-09"/>
  </r>
  <r>
    <s v="FZ01148"/>
    <n v="45659"/>
    <n v="45671"/>
    <x v="0"/>
    <n v="100"/>
    <n v="874.66"/>
    <n v="1.88"/>
    <n v="85821.64"/>
    <x v="2"/>
    <n v="743.25"/>
    <n v="74325"/>
    <n v="1516.92"/>
    <n v="377"/>
    <n v="10310.77"/>
    <n v="86529.69"/>
    <n v="11496.64"/>
    <n v="-708.05"/>
    <s v="Paid"/>
    <n v="85821.64"/>
    <n v="0"/>
    <s v="Delivered"/>
    <x v="5"/>
    <x v="4"/>
    <x v="10"/>
    <x v="5"/>
    <n v="0.18"/>
    <n v="-708.05"/>
    <n v="-8.2502501700037426E-3"/>
    <n v="0"/>
    <x v="1"/>
    <n v="1"/>
    <s v="January"/>
    <s v="2025-01"/>
  </r>
  <r>
    <s v="FZ01149"/>
    <n v="46006"/>
    <n v="46013"/>
    <x v="0"/>
    <n v="200"/>
    <n v="895.39"/>
    <n v="2.2200000000000002"/>
    <n v="175102.47"/>
    <x v="1"/>
    <n v="675.16"/>
    <n v="135032"/>
    <n v="2398.7800000000002"/>
    <n v="655.04"/>
    <n v="1962.71"/>
    <n v="140048.53"/>
    <n v="40070.47"/>
    <n v="35053.94"/>
    <s v="Paid"/>
    <n v="175102.47"/>
    <n v="0"/>
    <s v="Delivered"/>
    <x v="0"/>
    <x v="4"/>
    <x v="10"/>
    <x v="5"/>
    <n v="0.85"/>
    <n v="35053.94"/>
    <n v="0.20019100815653829"/>
    <n v="0"/>
    <x v="1"/>
    <n v="12"/>
    <s v="December"/>
    <s v="2025-12"/>
  </r>
  <r>
    <s v="FZ01150"/>
    <n v="45971"/>
    <n v="45972"/>
    <x v="0"/>
    <n v="200"/>
    <n v="971.14"/>
    <n v="1.04"/>
    <n v="192208.03"/>
    <x v="2"/>
    <n v="656.9"/>
    <n v="131380"/>
    <n v="2732.64"/>
    <n v="1032.5899999999999"/>
    <n v="1208.9000000000001"/>
    <n v="136354.13"/>
    <n v="60828.03"/>
    <n v="55853.9"/>
    <s v="Paid"/>
    <n v="192208.03"/>
    <n v="0"/>
    <s v="Collected"/>
    <x v="3"/>
    <x v="4"/>
    <x v="10"/>
    <x v="5"/>
    <n v="0.72"/>
    <n v="55853.9"/>
    <n v="0.29059087697844882"/>
    <n v="0"/>
    <x v="1"/>
    <n v="11"/>
    <s v="November"/>
    <s v="2025-11"/>
  </r>
  <r>
    <s v="FZ01151"/>
    <n v="45527"/>
    <n v="45535"/>
    <x v="1"/>
    <n v="200"/>
    <n v="1191.02"/>
    <n v="7.0000000000000007E-2"/>
    <n v="238037.26"/>
    <x v="2"/>
    <n v="1038.49"/>
    <n v="207698"/>
    <n v="1045.26"/>
    <n v="873.51"/>
    <n v="360.37"/>
    <n v="209977.14"/>
    <n v="30339.26"/>
    <n v="28060.12"/>
    <s v="Paid"/>
    <n v="238037.26"/>
    <n v="0"/>
    <s v="Delivered"/>
    <x v="3"/>
    <x v="3"/>
    <x v="16"/>
    <x v="1"/>
    <n v="1.99"/>
    <n v="28060.12"/>
    <n v="0.11788120901744541"/>
    <n v="0"/>
    <x v="0"/>
    <n v="8"/>
    <s v="August"/>
    <s v="2024-08"/>
  </r>
  <r>
    <s v="FZ01152"/>
    <n v="45616"/>
    <n v="45626"/>
    <x v="0"/>
    <n v="200"/>
    <n v="877.2"/>
    <n v="1.57"/>
    <n v="172685.59"/>
    <x v="3"/>
    <n v="730.81"/>
    <n v="146162"/>
    <n v="2602.9299999999998"/>
    <n v="337.52"/>
    <n v="11462.98"/>
    <n v="160565.43"/>
    <n v="26523.59"/>
    <n v="12120.16"/>
    <s v="Paid"/>
    <n v="172685.59"/>
    <n v="0"/>
    <s v="Delivered"/>
    <x v="1"/>
    <x v="1"/>
    <x v="13"/>
    <x v="5"/>
    <n v="1.3"/>
    <n v="12120.16"/>
    <n v="7.0186284796548454E-2"/>
    <n v="0"/>
    <x v="0"/>
    <n v="11"/>
    <s v="November"/>
    <s v="2024-11"/>
  </r>
  <r>
    <s v="FZ01153"/>
    <n v="45667"/>
    <n v="45679"/>
    <x v="3"/>
    <n v="1000"/>
    <n v="956.71"/>
    <n v="3.43"/>
    <n v="923894.85"/>
    <x v="0"/>
    <n v="761.91"/>
    <n v="761910"/>
    <n v="19556.47"/>
    <n v="5760.57"/>
    <n v="2383.9899999999998"/>
    <n v="789611.03"/>
    <n v="161984.85"/>
    <n v="134283.82"/>
    <s v="Paid"/>
    <n v="923894.85"/>
    <n v="0"/>
    <s v="Delivered"/>
    <x v="1"/>
    <x v="3"/>
    <x v="0"/>
    <x v="0"/>
    <n v="0.45"/>
    <n v="134283.82"/>
    <n v="0.14534534963583789"/>
    <n v="0"/>
    <x v="1"/>
    <n v="1"/>
    <s v="January"/>
    <s v="2025-01"/>
  </r>
  <r>
    <s v="FZ01154"/>
    <n v="45707"/>
    <n v="45711"/>
    <x v="0"/>
    <n v="500"/>
    <n v="859.61"/>
    <n v="1.35"/>
    <n v="424002.63"/>
    <x v="1"/>
    <n v="719.96"/>
    <n v="359980"/>
    <n v="2629.3"/>
    <n v="1011.57"/>
    <n v="500.06"/>
    <n v="364120.93"/>
    <n v="64022.63"/>
    <n v="59881.7"/>
    <s v="Paid"/>
    <n v="424002.63"/>
    <n v="0"/>
    <s v="Delivered"/>
    <x v="4"/>
    <x v="1"/>
    <x v="25"/>
    <x v="3"/>
    <n v="1.45"/>
    <n v="59881.7"/>
    <n v="0.14122954850539488"/>
    <n v="0"/>
    <x v="1"/>
    <n v="2"/>
    <s v="February"/>
    <s v="2025-02"/>
  </r>
  <r>
    <s v="FZ01155"/>
    <n v="45450"/>
    <n v="45464"/>
    <x v="2"/>
    <n v="1000"/>
    <n v="703.32"/>
    <n v="1.06"/>
    <n v="695864.81"/>
    <x v="2"/>
    <n v="603.45000000000005"/>
    <n v="603450"/>
    <n v="22345.9"/>
    <n v="4640.3"/>
    <n v="10252.93"/>
    <n v="640689.13"/>
    <n v="92414.81"/>
    <n v="55175.68"/>
    <s v="Unpaid"/>
    <n v="0"/>
    <n v="695864.81"/>
    <s v="Delivered"/>
    <x v="0"/>
    <x v="3"/>
    <x v="10"/>
    <x v="5"/>
    <n v="0.3"/>
    <n v="55175.68"/>
    <n v="7.9290803626066386E-2"/>
    <n v="0"/>
    <x v="0"/>
    <n v="6"/>
    <s v="June"/>
    <s v="2024-06"/>
  </r>
  <r>
    <s v="FZ01156"/>
    <n v="45695"/>
    <n v="45706"/>
    <x v="3"/>
    <n v="250"/>
    <n v="977.3"/>
    <n v="1.05"/>
    <n v="241759.59"/>
    <x v="0"/>
    <n v="824.91"/>
    <n v="206227.5"/>
    <n v="4671.5"/>
    <n v="665.43"/>
    <n v="6315.99"/>
    <n v="217880.42"/>
    <n v="35532.089999999997"/>
    <n v="23879.17"/>
    <s v="Part-paid"/>
    <n v="69137.06"/>
    <n v="172622.53"/>
    <s v="Collected"/>
    <x v="5"/>
    <x v="1"/>
    <x v="4"/>
    <x v="1"/>
    <n v="1.25"/>
    <n v="23879.17"/>
    <n v="9.8772379618942932E-2"/>
    <n v="0"/>
    <x v="1"/>
    <n v="2"/>
    <s v="February"/>
    <s v="2025-02"/>
  </r>
  <r>
    <s v="FZ01157"/>
    <n v="45979"/>
    <m/>
    <x v="0"/>
    <n v="500"/>
    <n v="860.23"/>
    <n v="2.2599999999999998"/>
    <n v="0"/>
    <x v="0"/>
    <n v="723.37"/>
    <n v="0"/>
    <n v="0"/>
    <n v="0"/>
    <n v="0"/>
    <n v="0"/>
    <n v="0"/>
    <n v="0"/>
    <s v="Paid"/>
    <n v="0"/>
    <n v="0"/>
    <s v="Cancelled"/>
    <x v="4"/>
    <x v="2"/>
    <x v="31"/>
    <x v="1"/>
    <n v="1.42"/>
    <n v="0"/>
    <e v="#DIV/0!"/>
    <n v="0"/>
    <x v="1"/>
    <n v="11"/>
    <s v="November"/>
    <s v="2025-11"/>
  </r>
  <r>
    <s v="FZ01158"/>
    <n v="45693"/>
    <n v="45706"/>
    <x v="0"/>
    <n v="100"/>
    <n v="914.24"/>
    <n v="0.01"/>
    <n v="91414.86"/>
    <x v="2"/>
    <n v="692.45"/>
    <n v="69245"/>
    <n v="1292.95"/>
    <n v="273.29000000000002"/>
    <n v="11361.41"/>
    <n v="82172.649999999994"/>
    <n v="22169.86"/>
    <n v="9242.2099999999991"/>
    <s v="Part-paid"/>
    <n v="76891.3"/>
    <n v="14523.56"/>
    <s v="Delivered"/>
    <x v="3"/>
    <x v="0"/>
    <x v="13"/>
    <x v="5"/>
    <n v="0.37"/>
    <n v="9242.2099999999991"/>
    <n v="0.10110183399066627"/>
    <n v="0"/>
    <x v="1"/>
    <n v="2"/>
    <s v="February"/>
    <s v="2025-02"/>
  </r>
  <r>
    <s v="FZ01159"/>
    <n v="45453"/>
    <n v="45459"/>
    <x v="0"/>
    <n v="1000"/>
    <n v="857.63"/>
    <n v="2.44"/>
    <n v="836703.83"/>
    <x v="0"/>
    <n v="688.56"/>
    <n v="688560"/>
    <n v="9214.7000000000007"/>
    <n v="5264.14"/>
    <n v="2215.5100000000002"/>
    <n v="705254.35"/>
    <n v="148143.82999999999"/>
    <n v="131449.48000000001"/>
    <s v="Paid"/>
    <n v="836703.83"/>
    <n v="0"/>
    <s v="Collected"/>
    <x v="0"/>
    <x v="0"/>
    <x v="10"/>
    <x v="5"/>
    <n v="1.58"/>
    <n v="131449.48000000001"/>
    <n v="0.15710395397616383"/>
    <n v="0"/>
    <x v="0"/>
    <n v="6"/>
    <s v="June"/>
    <s v="2024-06"/>
  </r>
  <r>
    <s v="FZ01160"/>
    <n v="45924"/>
    <n v="45928"/>
    <x v="4"/>
    <n v="750"/>
    <n v="2969.79"/>
    <n v="1.04"/>
    <n v="2204178.14"/>
    <x v="1"/>
    <n v="2147.84"/>
    <n v="1610880"/>
    <n v="7321.05"/>
    <n v="1965.5"/>
    <n v="8375.59"/>
    <n v="1628542.14"/>
    <n v="593298.14"/>
    <n v="575636"/>
    <s v="Paid"/>
    <n v="2204178.14"/>
    <n v="0"/>
    <s v="Delivered"/>
    <x v="0"/>
    <x v="1"/>
    <x v="35"/>
    <x v="4"/>
    <n v="1.35"/>
    <n v="575636"/>
    <n v="0.26115675024342633"/>
    <n v="0"/>
    <x v="1"/>
    <n v="9"/>
    <s v="September"/>
    <s v="2025-09"/>
  </r>
  <r>
    <s v="FZ01161"/>
    <n v="45656"/>
    <n v="45656"/>
    <x v="3"/>
    <n v="250"/>
    <n v="996.13"/>
    <n v="1.46"/>
    <n v="245396.63"/>
    <x v="2"/>
    <n v="767.94"/>
    <n v="191985"/>
    <n v="2457.08"/>
    <n v="707.75"/>
    <n v="8076.49"/>
    <n v="203226.32"/>
    <n v="53411.63"/>
    <n v="42170.31"/>
    <s v="Paid"/>
    <n v="245396.63"/>
    <n v="0"/>
    <s v="Delivered"/>
    <x v="0"/>
    <x v="3"/>
    <x v="17"/>
    <x v="3"/>
    <n v="1.28"/>
    <n v="42170.31"/>
    <n v="0.17184551393391179"/>
    <n v="0"/>
    <x v="0"/>
    <n v="12"/>
    <s v="December"/>
    <s v="2024-12"/>
  </r>
  <r>
    <s v="FZ01162"/>
    <n v="45647"/>
    <n v="45661"/>
    <x v="1"/>
    <n v="150"/>
    <n v="1251.92"/>
    <n v="1.19"/>
    <n v="185553.32"/>
    <x v="2"/>
    <n v="1064.83"/>
    <n v="159724.5"/>
    <n v="1164.6500000000001"/>
    <n v="714.78"/>
    <n v="5933.07"/>
    <n v="167537"/>
    <n v="25828.82"/>
    <n v="18016.32"/>
    <s v="Unpaid"/>
    <n v="0"/>
    <n v="185553.32"/>
    <s v="Delivered"/>
    <x v="1"/>
    <x v="0"/>
    <x v="24"/>
    <x v="0"/>
    <n v="2.2200000000000002"/>
    <n v="18016.32"/>
    <n v="9.7095109912342173E-2"/>
    <n v="0"/>
    <x v="0"/>
    <n v="12"/>
    <s v="December"/>
    <s v="2024-12"/>
  </r>
  <r>
    <s v="FZ01163"/>
    <n v="45721"/>
    <n v="45729"/>
    <x v="1"/>
    <n v="250"/>
    <n v="1241.21"/>
    <n v="0.36"/>
    <n v="309185.40999999997"/>
    <x v="1"/>
    <n v="1007.84"/>
    <n v="251960"/>
    <n v="4357.0600000000004"/>
    <n v="1111.5"/>
    <n v="1553.17"/>
    <n v="258981.73"/>
    <n v="57225.41"/>
    <n v="50203.68"/>
    <s v="Paid"/>
    <n v="309185.40999999997"/>
    <n v="0"/>
    <s v="Collected"/>
    <x v="0"/>
    <x v="0"/>
    <x v="36"/>
    <x v="3"/>
    <n v="0.59"/>
    <n v="50203.68"/>
    <n v="0.16237402663987283"/>
    <n v="0"/>
    <x v="1"/>
    <n v="3"/>
    <s v="March"/>
    <s v="2025-03"/>
  </r>
  <r>
    <s v="FZ01164"/>
    <n v="46000"/>
    <n v="46014"/>
    <x v="4"/>
    <n v="200"/>
    <n v="3144.23"/>
    <n v="0.19"/>
    <n v="627651.18999999994"/>
    <x v="1"/>
    <n v="2409.77"/>
    <n v="481954"/>
    <n v="3457.01"/>
    <n v="582.16"/>
    <n v="11418.55"/>
    <n v="497411.72"/>
    <n v="145697.19"/>
    <n v="130239.47"/>
    <s v="Part-paid"/>
    <n v="367405.76"/>
    <n v="260245.43"/>
    <s v="Delivered"/>
    <x v="1"/>
    <x v="2"/>
    <x v="6"/>
    <x v="2"/>
    <n v="0.69"/>
    <n v="130239.47"/>
    <n v="0.20750294443001058"/>
    <n v="0"/>
    <x v="1"/>
    <n v="12"/>
    <s v="December"/>
    <s v="2025-12"/>
  </r>
  <r>
    <s v="FZ01165"/>
    <n v="45902"/>
    <m/>
    <x v="3"/>
    <n v="500"/>
    <n v="935.29"/>
    <n v="4.2300000000000004"/>
    <n v="0"/>
    <x v="0"/>
    <n v="756.21"/>
    <n v="0"/>
    <n v="0"/>
    <n v="0"/>
    <n v="0"/>
    <n v="0"/>
    <n v="0"/>
    <n v="0"/>
    <s v="Paid"/>
    <n v="0"/>
    <n v="0"/>
    <s v="Cancelled"/>
    <x v="5"/>
    <x v="1"/>
    <x v="15"/>
    <x v="3"/>
    <n v="2.42"/>
    <n v="0"/>
    <e v="#DIV/0!"/>
    <n v="0"/>
    <x v="1"/>
    <n v="9"/>
    <s v="September"/>
    <s v="2025-09"/>
  </r>
  <r>
    <s v="FZ01166"/>
    <n v="45324"/>
    <n v="45331"/>
    <x v="0"/>
    <n v="300"/>
    <n v="812.43"/>
    <n v="0.66"/>
    <n v="242120.39"/>
    <x v="2"/>
    <n v="751.14"/>
    <n v="225342"/>
    <n v="5537.13"/>
    <n v="1039.7"/>
    <n v="3484.08"/>
    <n v="235402.91"/>
    <n v="16778.39"/>
    <n v="6717.48"/>
    <s v="Paid"/>
    <n v="242120.39"/>
    <n v="0"/>
    <s v="Delivered"/>
    <x v="5"/>
    <x v="3"/>
    <x v="10"/>
    <x v="5"/>
    <n v="1.23"/>
    <n v="6717.48"/>
    <n v="2.7744379562580412E-2"/>
    <n v="0"/>
    <x v="0"/>
    <n v="2"/>
    <s v="February"/>
    <s v="2024-02"/>
  </r>
  <r>
    <s v="FZ01167"/>
    <n v="45882"/>
    <n v="45887"/>
    <x v="4"/>
    <n v="500"/>
    <n v="2971.12"/>
    <n v="1.53"/>
    <n v="1462830.93"/>
    <x v="1"/>
    <n v="2356.5300000000002"/>
    <n v="1178265"/>
    <n v="4491.3999999999996"/>
    <n v="2086.83"/>
    <n v="9426.65"/>
    <n v="1194269.8799999999"/>
    <n v="284565.93"/>
    <n v="268561.05"/>
    <s v="Unpaid"/>
    <n v="0"/>
    <n v="1462830.93"/>
    <s v="Collected"/>
    <x v="5"/>
    <x v="3"/>
    <x v="14"/>
    <x v="1"/>
    <n v="0.84"/>
    <n v="268561.05"/>
    <n v="0.1835899450116221"/>
    <n v="0"/>
    <x v="1"/>
    <n v="8"/>
    <s v="August"/>
    <s v="2025-08"/>
  </r>
  <r>
    <s v="FZ01168"/>
    <n v="45686"/>
    <m/>
    <x v="1"/>
    <n v="50"/>
    <n v="1215.06"/>
    <n v="1.08"/>
    <n v="60096.87"/>
    <x v="0"/>
    <n v="975.52"/>
    <n v="48776"/>
    <n v="325.22000000000003"/>
    <n v="280.97000000000003"/>
    <n v="7170.21"/>
    <n v="56552.4"/>
    <n v="11320.87"/>
    <n v="3544.47"/>
    <s v="Paid"/>
    <n v="60096.87"/>
    <n v="0"/>
    <s v="Pending"/>
    <x v="0"/>
    <x v="2"/>
    <x v="2"/>
    <x v="2"/>
    <n v="1.33"/>
    <n v="3544.47"/>
    <n v="5.8979277955740449E-2"/>
    <n v="0"/>
    <x v="1"/>
    <n v="1"/>
    <s v="January"/>
    <s v="2025-01"/>
  </r>
  <r>
    <s v="FZ01169"/>
    <n v="45771"/>
    <n v="45778"/>
    <x v="0"/>
    <n v="750"/>
    <n v="839.26"/>
    <n v="2.25"/>
    <n v="615282.49"/>
    <x v="2"/>
    <n v="652.17999999999995"/>
    <n v="489135"/>
    <n v="11444.13"/>
    <n v="1647.93"/>
    <n v="10486.15"/>
    <n v="512713.21"/>
    <n v="126147.49"/>
    <n v="102569.28"/>
    <s v="Paid"/>
    <n v="615282.49"/>
    <n v="0"/>
    <s v="Delivered"/>
    <x v="4"/>
    <x v="2"/>
    <x v="8"/>
    <x v="5"/>
    <n v="1.08"/>
    <n v="102569.28"/>
    <n v="0.16670274494565904"/>
    <n v="0"/>
    <x v="1"/>
    <n v="4"/>
    <s v="April"/>
    <s v="2025-04"/>
  </r>
  <r>
    <s v="FZ01170"/>
    <n v="45356"/>
    <n v="45359"/>
    <x v="0"/>
    <n v="250"/>
    <n v="900.79"/>
    <n v="1.85"/>
    <n v="221031.35"/>
    <x v="2"/>
    <n v="704.68"/>
    <n v="176170"/>
    <n v="4561.75"/>
    <n v="983.29"/>
    <n v="9962.34"/>
    <n v="191677.38"/>
    <n v="44861.35"/>
    <n v="29353.97"/>
    <s v="Part-paid"/>
    <n v="75386.03"/>
    <n v="145645.32"/>
    <s v="Delivered"/>
    <x v="3"/>
    <x v="3"/>
    <x v="6"/>
    <x v="2"/>
    <n v="1.4"/>
    <n v="29353.97"/>
    <n v="0.13280455464801713"/>
    <n v="0"/>
    <x v="0"/>
    <n v="3"/>
    <s v="March"/>
    <s v="2024-03"/>
  </r>
  <r>
    <s v="FZ01171"/>
    <n v="45648"/>
    <n v="45662"/>
    <x v="2"/>
    <n v="1200"/>
    <n v="700.49"/>
    <n v="2.84"/>
    <n v="816715.3"/>
    <x v="1"/>
    <n v="534.33000000000004"/>
    <n v="641196"/>
    <n v="23950.68"/>
    <n v="4884.8900000000003"/>
    <n v="1073.28"/>
    <n v="671104.85"/>
    <n v="175519.3"/>
    <n v="145610.45000000001"/>
    <s v="Paid"/>
    <n v="816715.3"/>
    <n v="0"/>
    <s v="Delivered"/>
    <x v="0"/>
    <x v="1"/>
    <x v="7"/>
    <x v="5"/>
    <n v="0.16"/>
    <n v="145610.45000000001"/>
    <n v="0.17828789297812836"/>
    <n v="0"/>
    <x v="0"/>
    <n v="12"/>
    <s v="December"/>
    <s v="2024-12"/>
  </r>
  <r>
    <s v="FZ01172"/>
    <n v="45602"/>
    <n v="45602"/>
    <x v="2"/>
    <n v="200"/>
    <n v="740.42"/>
    <n v="2.35"/>
    <n v="144604.03"/>
    <x v="3"/>
    <n v="610.13"/>
    <n v="122026"/>
    <n v="2760.62"/>
    <n v="1171.78"/>
    <n v="3135.92"/>
    <n v="129094.32"/>
    <n v="22578.03"/>
    <n v="15509.71"/>
    <s v="Paid"/>
    <n v="144604.03"/>
    <n v="0"/>
    <s v="Delivered"/>
    <x v="5"/>
    <x v="1"/>
    <x v="21"/>
    <x v="0"/>
    <n v="1.99"/>
    <n v="15509.71"/>
    <n v="0.10725641602104727"/>
    <n v="0"/>
    <x v="0"/>
    <n v="11"/>
    <s v="November"/>
    <s v="2024-11"/>
  </r>
  <r>
    <s v="FZ01173"/>
    <n v="45956"/>
    <n v="45963"/>
    <x v="0"/>
    <n v="50"/>
    <n v="916.97"/>
    <n v="0.28999999999999998"/>
    <n v="45715.54"/>
    <x v="1"/>
    <n v="701.82"/>
    <n v="35091"/>
    <n v="658.03"/>
    <n v="265.49"/>
    <n v="3861.96"/>
    <n v="39876.480000000003"/>
    <n v="10624.54"/>
    <n v="5839.06"/>
    <s v="Part-paid"/>
    <n v="27421.48"/>
    <n v="18294.060000000001"/>
    <s v="Delivered"/>
    <x v="0"/>
    <x v="1"/>
    <x v="24"/>
    <x v="0"/>
    <n v="0.56999999999999995"/>
    <n v="5839.06"/>
    <n v="0.12772593301971277"/>
    <n v="0"/>
    <x v="1"/>
    <n v="10"/>
    <s v="October"/>
    <s v="2025-10"/>
  </r>
  <r>
    <s v="FZ01174"/>
    <n v="45675"/>
    <n v="45680"/>
    <x v="1"/>
    <n v="200"/>
    <n v="1273.42"/>
    <n v="0.42"/>
    <n v="253614.33"/>
    <x v="2"/>
    <n v="992.18"/>
    <n v="198436"/>
    <n v="1368.63"/>
    <n v="770.52"/>
    <n v="7536.67"/>
    <n v="208111.82"/>
    <n v="55178.33"/>
    <n v="45502.51"/>
    <s v="Paid"/>
    <n v="253614.33"/>
    <n v="0"/>
    <s v="Collected"/>
    <x v="3"/>
    <x v="0"/>
    <x v="12"/>
    <x v="2"/>
    <n v="1.95"/>
    <n v="45502.51"/>
    <n v="0.1794161631166504"/>
    <n v="0"/>
    <x v="1"/>
    <n v="1"/>
    <s v="January"/>
    <s v="2025-01"/>
  </r>
  <r>
    <s v="FZ01175"/>
    <n v="46000"/>
    <n v="46003"/>
    <x v="3"/>
    <n v="250"/>
    <n v="1095.47"/>
    <n v="0.51"/>
    <n v="272470.78000000003"/>
    <x v="2"/>
    <n v="757.98"/>
    <n v="189495"/>
    <n v="2660.03"/>
    <n v="1207.99"/>
    <n v="5940.81"/>
    <n v="199303.83"/>
    <n v="82975.78"/>
    <n v="73166.95"/>
    <s v="Paid"/>
    <n v="272470.78000000003"/>
    <n v="0"/>
    <s v="Delivered"/>
    <x v="0"/>
    <x v="0"/>
    <x v="28"/>
    <x v="4"/>
    <n v="1.8"/>
    <n v="73166.95"/>
    <n v="0.26853136325296967"/>
    <n v="0"/>
    <x v="1"/>
    <n v="12"/>
    <s v="December"/>
    <s v="2025-12"/>
  </r>
  <r>
    <s v="FZ01176"/>
    <n v="45946"/>
    <n v="45956"/>
    <x v="1"/>
    <n v="150"/>
    <n v="1392.78"/>
    <n v="0.74"/>
    <n v="207371.01"/>
    <x v="3"/>
    <n v="1091.6500000000001"/>
    <n v="163747.5"/>
    <n v="3443.7"/>
    <n v="526.33000000000004"/>
    <n v="6326.62"/>
    <n v="174044.15"/>
    <n v="43623.51"/>
    <n v="33326.86"/>
    <s v="Paid"/>
    <n v="207371.01"/>
    <n v="0"/>
    <s v="Collected"/>
    <x v="0"/>
    <x v="0"/>
    <x v="22"/>
    <x v="5"/>
    <n v="0.74"/>
    <n v="33326.86"/>
    <n v="0.16071127782036651"/>
    <n v="0"/>
    <x v="1"/>
    <n v="10"/>
    <s v="October"/>
    <s v="2025-10"/>
  </r>
  <r>
    <s v="FZ01177"/>
    <n v="45419"/>
    <n v="45423"/>
    <x v="1"/>
    <n v="1000"/>
    <n v="1306.47"/>
    <n v="4.26"/>
    <n v="1250814.3799999999"/>
    <x v="0"/>
    <n v="1116.25"/>
    <n v="1116250"/>
    <n v="10199.129999999999"/>
    <n v="3608.26"/>
    <n v="10197.959999999999"/>
    <n v="1140255.3500000001"/>
    <n v="134564.38"/>
    <n v="110559.03"/>
    <s v="Unpaid"/>
    <n v="0"/>
    <n v="1250814.3799999999"/>
    <s v="Delivered"/>
    <x v="4"/>
    <x v="1"/>
    <x v="7"/>
    <x v="5"/>
    <n v="1.48"/>
    <n v="110559.03"/>
    <n v="8.8389637797416445E-2"/>
    <n v="0"/>
    <x v="0"/>
    <n v="5"/>
    <s v="May"/>
    <s v="2024-05"/>
  </r>
  <r>
    <s v="FZ01178"/>
    <n v="45550"/>
    <n v="45557"/>
    <x v="0"/>
    <n v="100"/>
    <n v="883.07"/>
    <n v="1.1299999999999999"/>
    <n v="87309.13"/>
    <x v="0"/>
    <n v="689.64"/>
    <n v="68964"/>
    <n v="2017.32"/>
    <n v="505.43"/>
    <n v="7229.71"/>
    <n v="78716.460000000006"/>
    <n v="18345.13"/>
    <n v="8592.67"/>
    <s v="Part-paid"/>
    <n v="31470.5"/>
    <n v="55838.63"/>
    <s v="Delivered"/>
    <x v="0"/>
    <x v="4"/>
    <x v="7"/>
    <x v="5"/>
    <n v="1.92"/>
    <n v="8592.67"/>
    <n v="9.8416626073355662E-2"/>
    <n v="0"/>
    <x v="0"/>
    <n v="9"/>
    <s v="September"/>
    <s v="2024-09"/>
  </r>
  <r>
    <s v="FZ01179"/>
    <n v="45775"/>
    <m/>
    <x v="0"/>
    <n v="1200"/>
    <n v="837.31"/>
    <n v="4.5999999999999996"/>
    <n v="958552.49"/>
    <x v="1"/>
    <n v="731.93"/>
    <n v="878316"/>
    <n v="21938.22"/>
    <n v="2427.92"/>
    <n v="9441.94"/>
    <n v="912124.08"/>
    <n v="80236.490000000005"/>
    <n v="46428.41"/>
    <s v="Paid"/>
    <n v="958552.49"/>
    <n v="0"/>
    <s v="Pending"/>
    <x v="3"/>
    <x v="0"/>
    <x v="20"/>
    <x v="2"/>
    <n v="2.2400000000000002"/>
    <n v="46428.41"/>
    <n v="4.8435959933712136E-2"/>
    <n v="0"/>
    <x v="1"/>
    <n v="4"/>
    <s v="April"/>
    <s v="2025-04"/>
  </r>
  <r>
    <s v="FZ01180"/>
    <n v="45987"/>
    <n v="45988"/>
    <x v="1"/>
    <n v="500"/>
    <n v="1425.04"/>
    <n v="2.14"/>
    <n v="697272.07"/>
    <x v="2"/>
    <n v="1076.48"/>
    <n v="538240"/>
    <n v="5139.12"/>
    <n v="1139.68"/>
    <n v="5065.26"/>
    <n v="549584.06000000006"/>
    <n v="159032.07"/>
    <n v="147688.01"/>
    <s v="Paid"/>
    <n v="697272.07"/>
    <n v="0"/>
    <s v="Delivered"/>
    <x v="5"/>
    <x v="4"/>
    <x v="27"/>
    <x v="2"/>
    <n v="0.31"/>
    <n v="147688.01"/>
    <n v="0.21180829744119828"/>
    <n v="0"/>
    <x v="1"/>
    <n v="11"/>
    <s v="November"/>
    <s v="2025-11"/>
  </r>
  <r>
    <s v="FZ01181"/>
    <n v="45987"/>
    <n v="45989"/>
    <x v="0"/>
    <n v="50"/>
    <n v="960.15"/>
    <n v="0.55000000000000004"/>
    <n v="47743.46"/>
    <x v="1"/>
    <n v="707.37"/>
    <n v="35368.5"/>
    <n v="437.33"/>
    <n v="167.07"/>
    <n v="9232.01"/>
    <n v="45204.91"/>
    <n v="12374.96"/>
    <n v="2538.5500000000002"/>
    <s v="Paid"/>
    <n v="47743.46"/>
    <n v="0"/>
    <s v="Collected"/>
    <x v="0"/>
    <x v="1"/>
    <x v="0"/>
    <x v="0"/>
    <n v="0.1"/>
    <n v="2538.5500000000002"/>
    <n v="5.317063321342861E-2"/>
    <n v="0"/>
    <x v="1"/>
    <n v="11"/>
    <s v="November"/>
    <s v="2025-11"/>
  </r>
  <r>
    <s v="FZ01182"/>
    <n v="45486"/>
    <m/>
    <x v="0"/>
    <n v="1000"/>
    <n v="885.18"/>
    <n v="2.29"/>
    <n v="864909.38"/>
    <x v="2"/>
    <n v="729.2"/>
    <n v="729200"/>
    <n v="18197.599999999999"/>
    <n v="1700.71"/>
    <n v="1386.88"/>
    <n v="750485.19"/>
    <n v="135709.38"/>
    <n v="114424.19"/>
    <s v="Paid"/>
    <n v="864909.38"/>
    <n v="0"/>
    <s v="Pending"/>
    <x v="3"/>
    <x v="1"/>
    <x v="30"/>
    <x v="0"/>
    <n v="0.21"/>
    <n v="114424.19"/>
    <n v="0.13229616032144315"/>
    <n v="0"/>
    <x v="0"/>
    <n v="7"/>
    <s v="July"/>
    <s v="2024-07"/>
  </r>
  <r>
    <s v="FZ01183"/>
    <n v="45775"/>
    <n v="45782"/>
    <x v="0"/>
    <n v="500"/>
    <n v="851.06"/>
    <n v="3.38"/>
    <n v="411147.09"/>
    <x v="1"/>
    <n v="665.52"/>
    <n v="332760"/>
    <n v="10528.1"/>
    <n v="1681.06"/>
    <n v="6773.26"/>
    <n v="351742.42"/>
    <n v="78387.09"/>
    <n v="59404.67"/>
    <s v="Paid"/>
    <n v="411147.09"/>
    <n v="0"/>
    <s v="Delivered"/>
    <x v="5"/>
    <x v="1"/>
    <x v="24"/>
    <x v="0"/>
    <n v="1.1499999999999999"/>
    <n v="59404.67"/>
    <n v="0.14448520114784225"/>
    <n v="0"/>
    <x v="1"/>
    <n v="4"/>
    <s v="April"/>
    <s v="2025-04"/>
  </r>
  <r>
    <s v="FZ01184"/>
    <n v="45404"/>
    <m/>
    <x v="0"/>
    <n v="250"/>
    <n v="913.19"/>
    <n v="1.53"/>
    <n v="224804.55"/>
    <x v="1"/>
    <n v="741.6"/>
    <n v="185400"/>
    <n v="5166.42"/>
    <n v="1297.45"/>
    <n v="7511.41"/>
    <n v="199375.28"/>
    <n v="39404.550000000003"/>
    <n v="25429.27"/>
    <s v="Paid"/>
    <n v="224804.55"/>
    <n v="0"/>
    <s v="Pending"/>
    <x v="0"/>
    <x v="1"/>
    <x v="8"/>
    <x v="5"/>
    <n v="1.5"/>
    <n v="25429.27"/>
    <n v="0.11311723895268135"/>
    <n v="0"/>
    <x v="0"/>
    <n v="4"/>
    <s v="April"/>
    <s v="2024-04"/>
  </r>
  <r>
    <s v="FZ01185"/>
    <n v="45727"/>
    <m/>
    <x v="0"/>
    <n v="150"/>
    <n v="914.32"/>
    <n v="0.33"/>
    <n v="136695.41"/>
    <x v="1"/>
    <n v="691.01"/>
    <n v="103651.5"/>
    <n v="1747.25"/>
    <n v="837.81"/>
    <n v="11961.12"/>
    <n v="118197.68"/>
    <n v="33043.910000000003"/>
    <n v="18497.73"/>
    <s v="Paid"/>
    <n v="136695.41"/>
    <n v="0"/>
    <s v="Pending"/>
    <x v="5"/>
    <x v="0"/>
    <x v="12"/>
    <x v="2"/>
    <n v="0.36"/>
    <n v="18497.73"/>
    <n v="0.13532078363128652"/>
    <n v="0"/>
    <x v="1"/>
    <n v="3"/>
    <s v="March"/>
    <s v="2025-03"/>
  </r>
  <r>
    <s v="FZ01186"/>
    <n v="45880"/>
    <n v="45892"/>
    <x v="0"/>
    <n v="250"/>
    <n v="880.85"/>
    <n v="1.05"/>
    <n v="217900.27"/>
    <x v="1"/>
    <n v="698.09"/>
    <n v="174522.5"/>
    <n v="3982.23"/>
    <n v="1263.53"/>
    <n v="8119.08"/>
    <n v="187887.34"/>
    <n v="43377.77"/>
    <n v="30012.93"/>
    <s v="Paid"/>
    <n v="217900.27"/>
    <n v="0"/>
    <s v="Delivered"/>
    <x v="3"/>
    <x v="2"/>
    <x v="0"/>
    <x v="0"/>
    <n v="1.33"/>
    <n v="30012.93"/>
    <n v="0.13773700234515543"/>
    <n v="0"/>
    <x v="1"/>
    <n v="8"/>
    <s v="August"/>
    <s v="2025-08"/>
  </r>
  <r>
    <s v="FZ01187"/>
    <n v="45786"/>
    <n v="45800"/>
    <x v="2"/>
    <n v="200"/>
    <n v="701.87"/>
    <n v="1.41"/>
    <n v="138394.73000000001"/>
    <x v="1"/>
    <n v="585.09"/>
    <n v="117018"/>
    <n v="2171.92"/>
    <n v="408.02"/>
    <n v="2681.57"/>
    <n v="122279.51"/>
    <n v="21376.73"/>
    <n v="16115.22"/>
    <s v="Paid"/>
    <n v="138394.73000000001"/>
    <n v="0"/>
    <s v="Delivered"/>
    <x v="1"/>
    <x v="4"/>
    <x v="13"/>
    <x v="5"/>
    <n v="0.06"/>
    <n v="16115.22"/>
    <n v="0.11644388482133675"/>
    <n v="0"/>
    <x v="1"/>
    <n v="5"/>
    <s v="May"/>
    <s v="2025-05"/>
  </r>
  <r>
    <s v="FZ01188"/>
    <n v="45351"/>
    <n v="45355"/>
    <x v="0"/>
    <n v="300"/>
    <n v="862.53"/>
    <n v="0.32"/>
    <n v="257930.97"/>
    <x v="2"/>
    <n v="738.64"/>
    <n v="221592"/>
    <n v="6799.1"/>
    <n v="1382.91"/>
    <n v="923.19"/>
    <n v="230697.2"/>
    <n v="36338.97"/>
    <n v="27233.77"/>
    <s v="Part-paid"/>
    <n v="191107.44"/>
    <n v="66823.53"/>
    <s v="Delivered"/>
    <x v="1"/>
    <x v="0"/>
    <x v="19"/>
    <x v="4"/>
    <n v="1.83"/>
    <n v="27233.77"/>
    <n v="0.10558549832150828"/>
    <n v="0"/>
    <x v="0"/>
    <n v="2"/>
    <s v="February"/>
    <s v="2024-02"/>
  </r>
  <r>
    <s v="FZ01189"/>
    <n v="45514"/>
    <n v="45519"/>
    <x v="0"/>
    <n v="50"/>
    <n v="923.98"/>
    <n v="1.72"/>
    <n v="45404.38"/>
    <x v="2"/>
    <n v="719.92"/>
    <n v="35996"/>
    <n v="1131.55"/>
    <n v="167.68"/>
    <n v="7395.91"/>
    <n v="44691.14"/>
    <n v="9408.3799999999992"/>
    <n v="713.24"/>
    <s v="Part-paid"/>
    <n v="17365.25"/>
    <n v="28039.13"/>
    <s v="Delivered"/>
    <x v="0"/>
    <x v="2"/>
    <x v="20"/>
    <x v="2"/>
    <n v="1.45"/>
    <n v="713.24"/>
    <n v="1.5708616657688093E-2"/>
    <n v="0"/>
    <x v="0"/>
    <n v="8"/>
    <s v="August"/>
    <s v="2024-08"/>
  </r>
  <r>
    <s v="FZ01190"/>
    <n v="45675"/>
    <n v="45686"/>
    <x v="0"/>
    <n v="300"/>
    <n v="888.41"/>
    <n v="1.8"/>
    <n v="261725.59"/>
    <x v="2"/>
    <n v="691.57"/>
    <n v="207471"/>
    <n v="6493.98"/>
    <n v="1267.69"/>
    <n v="4483.46"/>
    <n v="219716.13"/>
    <n v="54254.59"/>
    <n v="42009.46"/>
    <s v="Paid"/>
    <n v="261725.59"/>
    <n v="0"/>
    <s v="Delivered"/>
    <x v="5"/>
    <x v="1"/>
    <x v="31"/>
    <x v="1"/>
    <n v="1.2"/>
    <n v="42009.46"/>
    <n v="0.1605095627064973"/>
    <n v="0"/>
    <x v="1"/>
    <n v="1"/>
    <s v="January"/>
    <s v="2025-01"/>
  </r>
  <r>
    <s v="FZ01191"/>
    <n v="45324"/>
    <n v="45327"/>
    <x v="2"/>
    <n v="100"/>
    <n v="705.36"/>
    <n v="0.89"/>
    <n v="69908.23"/>
    <x v="3"/>
    <n v="601.67999999999995"/>
    <n v="60168"/>
    <n v="565.1"/>
    <n v="446.28"/>
    <n v="5827.59"/>
    <n v="67006.97"/>
    <n v="9740.23"/>
    <n v="2901.26"/>
    <s v="Paid"/>
    <n v="69908.23"/>
    <n v="0"/>
    <s v="Collected"/>
    <x v="5"/>
    <x v="0"/>
    <x v="8"/>
    <x v="5"/>
    <n v="1.36"/>
    <n v="2901.26"/>
    <n v="4.1500979212318781E-2"/>
    <n v="0"/>
    <x v="0"/>
    <n v="2"/>
    <s v="February"/>
    <s v="2024-02"/>
  </r>
  <r>
    <s v="FZ01192"/>
    <n v="45715"/>
    <n v="45728"/>
    <x v="0"/>
    <n v="300"/>
    <n v="870.05"/>
    <n v="1.45"/>
    <n v="257230.28"/>
    <x v="2"/>
    <n v="668.02"/>
    <n v="200406"/>
    <n v="5931.85"/>
    <n v="754.18"/>
    <n v="1326.59"/>
    <n v="208418.62"/>
    <n v="56824.28"/>
    <n v="48811.66"/>
    <s v="Part-paid"/>
    <n v="215162.7"/>
    <n v="42067.58"/>
    <s v="Delivered"/>
    <x v="4"/>
    <x v="2"/>
    <x v="11"/>
    <x v="5"/>
    <n v="0.7"/>
    <n v="48811.66"/>
    <n v="0.18975860851218607"/>
    <n v="0"/>
    <x v="1"/>
    <n v="2"/>
    <s v="February"/>
    <s v="2025-02"/>
  </r>
  <r>
    <s v="FZ01193"/>
    <n v="45703"/>
    <m/>
    <x v="2"/>
    <n v="1000"/>
    <n v="690.28"/>
    <n v="1.72"/>
    <n v="678407.18"/>
    <x v="0"/>
    <n v="526.54"/>
    <n v="526540"/>
    <n v="16985.25"/>
    <n v="5215.3"/>
    <n v="2346.13"/>
    <n v="551086.68000000005"/>
    <n v="151867.18"/>
    <n v="127320.5"/>
    <s v="Paid"/>
    <n v="678407.18"/>
    <n v="0"/>
    <s v="Pending"/>
    <x v="5"/>
    <x v="1"/>
    <x v="15"/>
    <x v="3"/>
    <n v="1.36"/>
    <n v="127320.5"/>
    <n v="0.1876756375131525"/>
    <n v="0"/>
    <x v="1"/>
    <n v="2"/>
    <s v="February"/>
    <s v="2025-02"/>
  </r>
  <r>
    <s v="FZ01194"/>
    <n v="45904"/>
    <n v="45907"/>
    <x v="3"/>
    <n v="250"/>
    <n v="961.16"/>
    <n v="1.69"/>
    <n v="236229.1"/>
    <x v="2"/>
    <n v="789.01"/>
    <n v="197252.5"/>
    <n v="5231.33"/>
    <n v="522.87"/>
    <n v="2033.41"/>
    <n v="205040.11"/>
    <n v="38976.6"/>
    <n v="31188.99"/>
    <s v="Paid"/>
    <n v="236229.1"/>
    <n v="0"/>
    <s v="Delivered"/>
    <x v="4"/>
    <x v="2"/>
    <x v="28"/>
    <x v="4"/>
    <n v="0.78"/>
    <n v="31188.99"/>
    <n v="0.13202856887656941"/>
    <n v="0"/>
    <x v="1"/>
    <n v="9"/>
    <s v="September"/>
    <s v="2025-09"/>
  </r>
  <r>
    <s v="FZ01195"/>
    <n v="45560"/>
    <m/>
    <x v="1"/>
    <n v="500"/>
    <n v="1318.07"/>
    <n v="4.8"/>
    <n v="627401.31999999995"/>
    <x v="1"/>
    <n v="980.04"/>
    <n v="490020"/>
    <n v="10081.959999999999"/>
    <n v="2457.2399999999998"/>
    <n v="4709"/>
    <n v="507268.2"/>
    <n v="137381.32"/>
    <n v="120133.12"/>
    <s v="Part-paid"/>
    <n v="309027.56"/>
    <n v="318373.76000000001"/>
    <s v="Pending"/>
    <x v="1"/>
    <x v="4"/>
    <x v="13"/>
    <x v="5"/>
    <n v="1.1299999999999999"/>
    <n v="120133.12"/>
    <n v="0.19147731471141949"/>
    <n v="0"/>
    <x v="0"/>
    <n v="9"/>
    <s v="September"/>
    <s v="2024-09"/>
  </r>
  <r>
    <s v="FZ01196"/>
    <n v="45650"/>
    <n v="45659"/>
    <x v="2"/>
    <n v="200"/>
    <n v="706.31"/>
    <n v="0.8"/>
    <n v="140131.9"/>
    <x v="0"/>
    <n v="587.19000000000005"/>
    <n v="117438"/>
    <n v="1337.7"/>
    <n v="620.14"/>
    <n v="450.88"/>
    <n v="119846.72"/>
    <n v="22693.9"/>
    <n v="20285.18"/>
    <s v="Paid"/>
    <n v="140131.9"/>
    <n v="0"/>
    <s v="Collected"/>
    <x v="1"/>
    <x v="1"/>
    <x v="28"/>
    <x v="4"/>
    <n v="1.17"/>
    <n v="20285.18"/>
    <n v="0.14475776036719692"/>
    <n v="0"/>
    <x v="0"/>
    <n v="12"/>
    <s v="December"/>
    <s v="2024-12"/>
  </r>
  <r>
    <s v="FZ01197"/>
    <n v="45640"/>
    <n v="45646"/>
    <x v="0"/>
    <n v="200"/>
    <n v="880.62"/>
    <n v="1.4"/>
    <n v="173658.26"/>
    <x v="3"/>
    <n v="680.44"/>
    <n v="136088"/>
    <n v="1700.53"/>
    <n v="606.94000000000005"/>
    <n v="6321.58"/>
    <n v="144717.04999999999"/>
    <n v="37570.26"/>
    <n v="28941.21"/>
    <s v="Paid"/>
    <n v="173658.26"/>
    <n v="0"/>
    <s v="Delivered"/>
    <x v="2"/>
    <x v="1"/>
    <x v="0"/>
    <x v="0"/>
    <n v="1.59"/>
    <n v="28941.21"/>
    <n v="0.16665610953374749"/>
    <n v="0"/>
    <x v="0"/>
    <n v="12"/>
    <s v="December"/>
    <s v="2024-12"/>
  </r>
  <r>
    <s v="FZ01198"/>
    <n v="45298"/>
    <n v="45305"/>
    <x v="1"/>
    <n v="150"/>
    <n v="1345.74"/>
    <n v="2.12"/>
    <n v="197581.55"/>
    <x v="1"/>
    <n v="1118.21"/>
    <n v="167731.5"/>
    <n v="1676.12"/>
    <n v="443.35"/>
    <n v="4004.46"/>
    <n v="173855.43"/>
    <n v="29850.05"/>
    <n v="23726.12"/>
    <s v="Part-paid"/>
    <n v="57694.93"/>
    <n v="139886.62"/>
    <s v="Delivered"/>
    <x v="2"/>
    <x v="1"/>
    <x v="22"/>
    <x v="5"/>
    <n v="2.2200000000000002"/>
    <n v="23726.12"/>
    <n v="0.12008266966222302"/>
    <n v="0"/>
    <x v="0"/>
    <n v="1"/>
    <s v="January"/>
    <s v="2024-01"/>
  </r>
  <r>
    <s v="FZ01199"/>
    <n v="45539"/>
    <n v="45545"/>
    <x v="2"/>
    <n v="200"/>
    <n v="689.69"/>
    <n v="1.73"/>
    <n v="135551.67000000001"/>
    <x v="1"/>
    <n v="589.84"/>
    <n v="117968"/>
    <n v="1371.83"/>
    <n v="391.75"/>
    <n v="6300.1"/>
    <n v="126031.67999999999"/>
    <n v="17583.669999999998"/>
    <n v="9519.99"/>
    <s v="Paid"/>
    <n v="135551.67000000001"/>
    <n v="0"/>
    <s v="Delivered"/>
    <x v="3"/>
    <x v="1"/>
    <x v="6"/>
    <x v="2"/>
    <n v="0.23"/>
    <n v="9519.99"/>
    <n v="7.0231447535836322E-2"/>
    <n v="0"/>
    <x v="0"/>
    <n v="9"/>
    <s v="September"/>
    <s v="2024-09"/>
  </r>
  <r>
    <s v="FZ01200"/>
    <n v="45644"/>
    <n v="45658"/>
    <x v="0"/>
    <n v="500"/>
    <n v="875.25"/>
    <n v="2.2799999999999998"/>
    <n v="427647.15"/>
    <x v="0"/>
    <n v="652.29"/>
    <n v="326145"/>
    <n v="7877.48"/>
    <n v="1319.52"/>
    <n v="5726.15"/>
    <n v="341068.15"/>
    <n v="101502.15"/>
    <n v="86579"/>
    <s v="Paid"/>
    <n v="427647.15"/>
    <n v="0"/>
    <s v="Delivered"/>
    <x v="5"/>
    <x v="0"/>
    <x v="8"/>
    <x v="5"/>
    <n v="0.5"/>
    <n v="86579"/>
    <n v="0.20245428971057094"/>
    <n v="0"/>
    <x v="0"/>
    <n v="12"/>
    <s v="December"/>
    <s v="2024-12"/>
  </r>
  <r>
    <s v="FZ01201"/>
    <n v="45435"/>
    <n v="45439"/>
    <x v="1"/>
    <n v="750"/>
    <n v="1277.29"/>
    <n v="1"/>
    <n v="948387.82"/>
    <x v="3"/>
    <n v="1104.98"/>
    <n v="828735"/>
    <n v="5205.5"/>
    <n v="3574.76"/>
    <n v="1668.41"/>
    <n v="839183.67"/>
    <n v="119652.82"/>
    <n v="109204.15"/>
    <s v="Paid"/>
    <n v="948387.82"/>
    <n v="0"/>
    <s v="Delivered"/>
    <x v="5"/>
    <x v="0"/>
    <x v="12"/>
    <x v="2"/>
    <n v="0.49"/>
    <n v="109204.15"/>
    <n v="0.11514714518370765"/>
    <n v="0"/>
    <x v="0"/>
    <n v="5"/>
    <s v="May"/>
    <s v="2024-05"/>
  </r>
  <r>
    <s v="FZ01202"/>
    <n v="45515"/>
    <n v="45521"/>
    <x v="0"/>
    <n v="100"/>
    <n v="856.48"/>
    <n v="1.99"/>
    <n v="83943.6"/>
    <x v="0"/>
    <n v="683.8"/>
    <n v="68380"/>
    <n v="1900.35"/>
    <n v="461.32"/>
    <n v="162.38"/>
    <n v="70904.05"/>
    <n v="15563.6"/>
    <n v="13039.55"/>
    <s v="Part-paid"/>
    <n v="29893.11"/>
    <n v="54050.49"/>
    <s v="Delivered"/>
    <x v="4"/>
    <x v="1"/>
    <x v="20"/>
    <x v="2"/>
    <n v="0.66"/>
    <n v="13039.55"/>
    <n v="0.15533703581928818"/>
    <n v="0"/>
    <x v="0"/>
    <n v="8"/>
    <s v="August"/>
    <s v="2024-08"/>
  </r>
  <r>
    <s v="FZ01203"/>
    <n v="45355"/>
    <n v="45362"/>
    <x v="1"/>
    <n v="200"/>
    <n v="1244.71"/>
    <n v="0.76"/>
    <n v="247050.04"/>
    <x v="1"/>
    <n v="1108.0999999999999"/>
    <n v="221620"/>
    <n v="1453.62"/>
    <n v="614.25"/>
    <n v="11273.93"/>
    <n v="234961.8"/>
    <n v="25430.04"/>
    <n v="12088.24"/>
    <s v="Paid"/>
    <n v="247050.04"/>
    <n v="0"/>
    <s v="Delivered"/>
    <x v="4"/>
    <x v="3"/>
    <x v="10"/>
    <x v="5"/>
    <n v="2.38"/>
    <n v="12088.24"/>
    <n v="4.89303300659251E-2"/>
    <n v="0"/>
    <x v="0"/>
    <n v="3"/>
    <s v="March"/>
    <s v="2024-03"/>
  </r>
  <r>
    <s v="FZ01204"/>
    <n v="45432"/>
    <n v="45432"/>
    <x v="0"/>
    <n v="150"/>
    <n v="886.5"/>
    <n v="1.21"/>
    <n v="131366"/>
    <x v="0"/>
    <n v="724.73"/>
    <n v="108709.5"/>
    <n v="3597.82"/>
    <n v="812.78"/>
    <n v="6420.28"/>
    <n v="119540.38"/>
    <n v="22656.5"/>
    <n v="11825.62"/>
    <s v="Part-paid"/>
    <n v="61292.5"/>
    <n v="70073.5"/>
    <s v="Delivered"/>
    <x v="3"/>
    <x v="0"/>
    <x v="31"/>
    <x v="1"/>
    <n v="2.37"/>
    <n v="11825.62"/>
    <n v="9.0020401017005924E-2"/>
    <n v="0"/>
    <x v="0"/>
    <n v="5"/>
    <s v="May"/>
    <s v="2024-05"/>
  </r>
  <r>
    <s v="FZ01205"/>
    <n v="45319"/>
    <n v="45325"/>
    <x v="0"/>
    <n v="500"/>
    <n v="800.81"/>
    <n v="3.89"/>
    <n v="384829.25"/>
    <x v="3"/>
    <n v="676.11"/>
    <n v="338055"/>
    <n v="5404.82"/>
    <n v="1182.3499999999999"/>
    <n v="1487.45"/>
    <n v="346129.62"/>
    <n v="46774.25"/>
    <n v="38699.629999999997"/>
    <s v="Paid"/>
    <n v="384829.25"/>
    <n v="0"/>
    <s v="Delivered"/>
    <x v="3"/>
    <x v="3"/>
    <x v="22"/>
    <x v="5"/>
    <n v="1.33"/>
    <n v="38699.629999999997"/>
    <n v="0.10056311987719228"/>
    <n v="0"/>
    <x v="0"/>
    <n v="1"/>
    <s v="January"/>
    <s v="2024-01"/>
  </r>
  <r>
    <s v="FZ01206"/>
    <n v="45906"/>
    <n v="45913"/>
    <x v="2"/>
    <n v="1200"/>
    <n v="708.32"/>
    <n v="0.65"/>
    <n v="844459.1"/>
    <x v="2"/>
    <n v="533.24"/>
    <n v="639888"/>
    <n v="18070.900000000001"/>
    <n v="7162.58"/>
    <n v="11339.83"/>
    <n v="676461.31"/>
    <n v="204571.1"/>
    <n v="167997.79"/>
    <s v="Unpaid"/>
    <n v="0"/>
    <n v="844459.1"/>
    <s v="Delivered"/>
    <x v="1"/>
    <x v="2"/>
    <x v="28"/>
    <x v="4"/>
    <n v="1.19"/>
    <n v="167997.79"/>
    <n v="0.19894129863719867"/>
    <n v="0"/>
    <x v="1"/>
    <n v="9"/>
    <s v="September"/>
    <s v="2025-09"/>
  </r>
  <r>
    <s v="FZ01207"/>
    <n v="45474"/>
    <n v="45483"/>
    <x v="0"/>
    <n v="200"/>
    <n v="794.53"/>
    <n v="0.54"/>
    <n v="158047.91"/>
    <x v="3"/>
    <n v="677.56"/>
    <n v="135512"/>
    <n v="4737.9399999999996"/>
    <n v="858.22"/>
    <n v="4666.29"/>
    <n v="145774.45000000001"/>
    <n v="22535.91"/>
    <n v="12273.46"/>
    <s v="Unpaid"/>
    <n v="0"/>
    <n v="158047.91"/>
    <s v="Delivered"/>
    <x v="0"/>
    <x v="4"/>
    <x v="22"/>
    <x v="5"/>
    <n v="0.82"/>
    <n v="12273.46"/>
    <n v="7.7656578944954091E-2"/>
    <n v="0"/>
    <x v="0"/>
    <n v="7"/>
    <s v="July"/>
    <s v="2024-07"/>
  </r>
  <r>
    <s v="FZ01208"/>
    <n v="45598"/>
    <n v="45603"/>
    <x v="0"/>
    <n v="100"/>
    <n v="953.99"/>
    <n v="1.58"/>
    <n v="93891.7"/>
    <x v="0"/>
    <n v="746.51"/>
    <n v="74651"/>
    <n v="662.27"/>
    <n v="576.5"/>
    <n v="1289.33"/>
    <n v="77179.100000000006"/>
    <n v="19240.7"/>
    <n v="16712.599999999999"/>
    <s v="Part-paid"/>
    <n v="62011.31"/>
    <n v="31880.39"/>
    <s v="Delivered"/>
    <x v="5"/>
    <x v="1"/>
    <x v="12"/>
    <x v="2"/>
    <n v="2.0099999999999998"/>
    <n v="16712.599999999999"/>
    <n v="0.17799869424027895"/>
    <n v="0"/>
    <x v="0"/>
    <n v="11"/>
    <s v="November"/>
    <s v="2024-11"/>
  </r>
  <r>
    <s v="FZ01209"/>
    <n v="45843"/>
    <n v="45846"/>
    <x v="0"/>
    <n v="50"/>
    <n v="852.17"/>
    <n v="1.47"/>
    <n v="41982.16"/>
    <x v="0"/>
    <n v="740.98"/>
    <n v="37049"/>
    <n v="957.48"/>
    <n v="297.14"/>
    <n v="1006.87"/>
    <n v="39310.49"/>
    <n v="4933.16"/>
    <n v="2671.67"/>
    <s v="Paid"/>
    <n v="41982.16"/>
    <n v="0"/>
    <s v="Delivered"/>
    <x v="0"/>
    <x v="1"/>
    <x v="30"/>
    <x v="0"/>
    <n v="0.86"/>
    <n v="2671.67"/>
    <n v="6.3638221568399531E-2"/>
    <n v="0"/>
    <x v="1"/>
    <n v="7"/>
    <s v="July"/>
    <s v="2025-07"/>
  </r>
  <r>
    <s v="FZ01210"/>
    <n v="45856"/>
    <n v="45862"/>
    <x v="4"/>
    <n v="50"/>
    <n v="2720.74"/>
    <n v="0.74"/>
    <n v="135030.32999999999"/>
    <x v="3"/>
    <n v="2153.1"/>
    <n v="107655"/>
    <n v="858.68"/>
    <n v="263.18"/>
    <n v="6637.21"/>
    <n v="115414.07"/>
    <n v="27375.33"/>
    <n v="19616.259999999998"/>
    <s v="Unpaid"/>
    <n v="0"/>
    <n v="135030.32999999999"/>
    <s v="Delivered"/>
    <x v="3"/>
    <x v="4"/>
    <x v="22"/>
    <x v="5"/>
    <n v="1.06"/>
    <n v="19616.259999999998"/>
    <n v="0.14527299163084323"/>
    <n v="0"/>
    <x v="1"/>
    <n v="7"/>
    <s v="July"/>
    <s v="2025-07"/>
  </r>
  <r>
    <s v="FZ01211"/>
    <n v="45496"/>
    <n v="45509"/>
    <x v="0"/>
    <n v="250"/>
    <n v="890.25"/>
    <n v="0.47"/>
    <n v="221516.46"/>
    <x v="2"/>
    <n v="675.31"/>
    <n v="168827.5"/>
    <n v="5322.25"/>
    <n v="453.25"/>
    <n v="4761.5"/>
    <n v="179364.5"/>
    <n v="52688.959999999999"/>
    <n v="42151.96"/>
    <s v="Paid"/>
    <n v="221516.46"/>
    <n v="0"/>
    <s v="Delivered"/>
    <x v="2"/>
    <x v="4"/>
    <x v="13"/>
    <x v="5"/>
    <n v="0.39"/>
    <n v="42151.96"/>
    <n v="0.19028816188196579"/>
    <n v="0"/>
    <x v="0"/>
    <n v="7"/>
    <s v="July"/>
    <s v="2024-07"/>
  </r>
  <r>
    <s v="FZ01212"/>
    <n v="45334"/>
    <n v="45339"/>
    <x v="0"/>
    <n v="50"/>
    <n v="902.38"/>
    <n v="2.2599999999999998"/>
    <n v="44099.31"/>
    <x v="1"/>
    <n v="738.53"/>
    <n v="36926.5"/>
    <n v="907.25"/>
    <n v="196.67"/>
    <n v="10324.43"/>
    <n v="48354.85"/>
    <n v="7172.81"/>
    <n v="-4255.54"/>
    <s v="Part-paid"/>
    <n v="22240.55"/>
    <n v="21858.76"/>
    <s v="Delivered"/>
    <x v="3"/>
    <x v="0"/>
    <x v="1"/>
    <x v="1"/>
    <n v="1.48"/>
    <n v="-4255.54"/>
    <n v="-9.6499015517476361E-2"/>
    <n v="0"/>
    <x v="0"/>
    <n v="2"/>
    <s v="February"/>
    <s v="2024-02"/>
  </r>
  <r>
    <s v="FZ01213"/>
    <n v="45932"/>
    <n v="45945"/>
    <x v="1"/>
    <n v="250"/>
    <n v="1235.9000000000001"/>
    <n v="0.56000000000000005"/>
    <n v="307244.74"/>
    <x v="3"/>
    <n v="1067.06"/>
    <n v="266765"/>
    <n v="4578.16"/>
    <n v="1402.56"/>
    <n v="2870.9"/>
    <n v="275616.62"/>
    <n v="40479.74"/>
    <n v="31628.12"/>
    <s v="Paid"/>
    <n v="307244.74"/>
    <n v="0"/>
    <s v="Collected"/>
    <x v="5"/>
    <x v="1"/>
    <x v="5"/>
    <x v="4"/>
    <n v="1.8"/>
    <n v="31628.12"/>
    <n v="0.10294112764957343"/>
    <n v="0"/>
    <x v="1"/>
    <n v="10"/>
    <s v="October"/>
    <s v="2025-10"/>
  </r>
  <r>
    <s v="FZ01214"/>
    <n v="45764"/>
    <n v="45765"/>
    <x v="3"/>
    <n v="500"/>
    <n v="998.61"/>
    <n v="2.95"/>
    <n v="484575.5"/>
    <x v="3"/>
    <n v="794.96"/>
    <n v="397480"/>
    <n v="4565.6000000000004"/>
    <n v="2572.0500000000002"/>
    <n v="5617.92"/>
    <n v="410235.57"/>
    <n v="87095.5"/>
    <n v="74339.929999999993"/>
    <s v="Paid"/>
    <n v="484575.5"/>
    <n v="0"/>
    <s v="Collected"/>
    <x v="2"/>
    <x v="3"/>
    <x v="19"/>
    <x v="4"/>
    <n v="0.09"/>
    <n v="74339.929999999993"/>
    <n v="0.15341248164630691"/>
    <n v="0"/>
    <x v="1"/>
    <n v="4"/>
    <s v="April"/>
    <s v="2025-04"/>
  </r>
  <r>
    <s v="FZ01215"/>
    <n v="45290"/>
    <n v="45292"/>
    <x v="0"/>
    <n v="1000"/>
    <n v="902.69"/>
    <n v="2.12"/>
    <n v="883552.97"/>
    <x v="2"/>
    <n v="706.47"/>
    <n v="706470"/>
    <n v="5764.37"/>
    <n v="2614.77"/>
    <n v="3270.06"/>
    <n v="718119.2"/>
    <n v="177082.97"/>
    <n v="165433.76999999999"/>
    <s v="Paid"/>
    <n v="883552.97"/>
    <n v="0"/>
    <s v="Delivered"/>
    <x v="5"/>
    <x v="0"/>
    <x v="8"/>
    <x v="5"/>
    <n v="1.31"/>
    <n v="165433.76999999999"/>
    <n v="0.18723695762122783"/>
    <n v="0"/>
    <x v="2"/>
    <n v="12"/>
    <s v="December"/>
    <s v="2023-12"/>
  </r>
  <r>
    <s v="FZ01216"/>
    <n v="45530"/>
    <n v="45542"/>
    <x v="1"/>
    <n v="1000"/>
    <n v="1346.03"/>
    <n v="0.74"/>
    <n v="1336069.3799999999"/>
    <x v="1"/>
    <n v="1083.8599999999999"/>
    <n v="1083860"/>
    <n v="9321.24"/>
    <n v="4190.0200000000004"/>
    <n v="1516.77"/>
    <n v="1098888.03"/>
    <n v="252209.38"/>
    <n v="237181.35"/>
    <s v="Unpaid"/>
    <n v="0"/>
    <n v="1336069.3799999999"/>
    <s v="Delivered"/>
    <x v="0"/>
    <x v="4"/>
    <x v="18"/>
    <x v="3"/>
    <n v="0.1"/>
    <n v="237181.35"/>
    <n v="0.17752173169330474"/>
    <n v="0"/>
    <x v="0"/>
    <n v="8"/>
    <s v="August"/>
    <s v="2024-08"/>
  </r>
  <r>
    <s v="FZ01217"/>
    <n v="45793"/>
    <n v="45796"/>
    <x v="0"/>
    <n v="300"/>
    <n v="913.41"/>
    <n v="0.76"/>
    <n v="271940.43"/>
    <x v="1"/>
    <n v="674.42"/>
    <n v="202326"/>
    <n v="5149.17"/>
    <n v="1328.13"/>
    <n v="988.74"/>
    <n v="209792.04"/>
    <n v="69614.429999999993"/>
    <n v="62148.39"/>
    <s v="Paid"/>
    <n v="271940.43"/>
    <n v="0"/>
    <s v="Collected"/>
    <x v="0"/>
    <x v="1"/>
    <x v="19"/>
    <x v="4"/>
    <n v="1.27"/>
    <n v="62148.39"/>
    <n v="0.22853677917623355"/>
    <n v="0"/>
    <x v="1"/>
    <n v="5"/>
    <s v="May"/>
    <s v="2025-05"/>
  </r>
  <r>
    <s v="FZ01218"/>
    <n v="45466"/>
    <n v="45466"/>
    <x v="2"/>
    <n v="100"/>
    <n v="722.29"/>
    <n v="1.1299999999999999"/>
    <n v="71412.81"/>
    <x v="0"/>
    <n v="539.12"/>
    <n v="53912"/>
    <n v="1362.79"/>
    <n v="576.85"/>
    <n v="933.04"/>
    <n v="56784.68"/>
    <n v="17500.810000000001"/>
    <n v="14628.13"/>
    <s v="Paid"/>
    <n v="71412.81"/>
    <n v="0"/>
    <s v="Delivered"/>
    <x v="3"/>
    <x v="1"/>
    <x v="2"/>
    <x v="2"/>
    <n v="0.41"/>
    <n v="14628.13"/>
    <n v="0.20483901977810423"/>
    <n v="0"/>
    <x v="0"/>
    <n v="6"/>
    <s v="June"/>
    <s v="2024-06"/>
  </r>
  <r>
    <s v="FZ01219"/>
    <n v="45858"/>
    <n v="45858"/>
    <x v="0"/>
    <n v="300"/>
    <n v="873.78"/>
    <n v="1.96"/>
    <n v="256996.17"/>
    <x v="2"/>
    <n v="724.78"/>
    <n v="217434"/>
    <n v="4373.24"/>
    <n v="1313.97"/>
    <n v="1412.44"/>
    <n v="224533.65"/>
    <n v="39562.17"/>
    <n v="32462.52"/>
    <s v="Paid"/>
    <n v="256996.17"/>
    <n v="0"/>
    <s v="Delivered"/>
    <x v="5"/>
    <x v="3"/>
    <x v="22"/>
    <x v="5"/>
    <n v="0.75"/>
    <n v="32462.52"/>
    <n v="0.12631518983337378"/>
    <n v="0"/>
    <x v="1"/>
    <n v="7"/>
    <s v="July"/>
    <s v="2025-07"/>
  </r>
  <r>
    <s v="FZ01220"/>
    <n v="45436"/>
    <n v="45443"/>
    <x v="1"/>
    <n v="200"/>
    <n v="1222.22"/>
    <n v="1.92"/>
    <n v="239750.68"/>
    <x v="3"/>
    <n v="1120.21"/>
    <n v="224042"/>
    <n v="2506.84"/>
    <n v="961.53"/>
    <n v="8048.36"/>
    <n v="235558.73"/>
    <n v="15708.68"/>
    <n v="4191.95"/>
    <s v="Unpaid"/>
    <n v="0"/>
    <n v="239750.68"/>
    <s v="Delivered"/>
    <x v="3"/>
    <x v="4"/>
    <x v="22"/>
    <x v="5"/>
    <n v="1.47"/>
    <n v="4191.95"/>
    <n v="1.7484621941426817E-2"/>
    <n v="0"/>
    <x v="0"/>
    <n v="5"/>
    <s v="May"/>
    <s v="2024-05"/>
  </r>
  <r>
    <s v="FZ01221"/>
    <n v="45916"/>
    <n v="45923"/>
    <x v="3"/>
    <n v="1000"/>
    <n v="930.66"/>
    <n v="0.9"/>
    <n v="922284.06"/>
    <x v="1"/>
    <n v="762.01"/>
    <n v="762010"/>
    <n v="13453.39"/>
    <n v="1842.69"/>
    <n v="2379.1799999999998"/>
    <n v="779685.26"/>
    <n v="160274.06"/>
    <n v="142598.79999999999"/>
    <s v="Paid"/>
    <n v="922284.06"/>
    <n v="0"/>
    <s v="Delivered"/>
    <x v="0"/>
    <x v="0"/>
    <x v="15"/>
    <x v="3"/>
    <n v="0.36"/>
    <n v="142598.79999999999"/>
    <n v="0.15461483742872015"/>
    <n v="0"/>
    <x v="1"/>
    <n v="9"/>
    <s v="September"/>
    <s v="2025-09"/>
  </r>
  <r>
    <s v="FZ01222"/>
    <n v="45413"/>
    <m/>
    <x v="1"/>
    <n v="500"/>
    <n v="1238.1400000000001"/>
    <n v="2.0299999999999998"/>
    <n v="606502.88"/>
    <x v="3"/>
    <n v="984.68"/>
    <n v="492340"/>
    <n v="5579.21"/>
    <n v="2604.94"/>
    <n v="2831.17"/>
    <n v="503355.32"/>
    <n v="114162.88"/>
    <n v="103147.56"/>
    <s v="Paid"/>
    <n v="606502.88"/>
    <n v="0"/>
    <s v="Pending"/>
    <x v="5"/>
    <x v="2"/>
    <x v="7"/>
    <x v="5"/>
    <n v="1.89"/>
    <n v="103147.56"/>
    <n v="0.17006936554035817"/>
    <n v="0"/>
    <x v="0"/>
    <n v="5"/>
    <s v="May"/>
    <s v="2024-05"/>
  </r>
  <r>
    <s v="FZ01223"/>
    <n v="45651"/>
    <n v="45660"/>
    <x v="0"/>
    <n v="250"/>
    <n v="859.71"/>
    <n v="1.19"/>
    <n v="212369.86"/>
    <x v="1"/>
    <n v="716.29"/>
    <n v="179072.5"/>
    <n v="3603.4"/>
    <n v="1314.56"/>
    <n v="9546.2900000000009"/>
    <n v="193536.75"/>
    <n v="33297.360000000001"/>
    <n v="18833.11"/>
    <s v="Paid"/>
    <n v="212369.86"/>
    <n v="0"/>
    <s v="Collected"/>
    <x v="5"/>
    <x v="0"/>
    <x v="27"/>
    <x v="2"/>
    <n v="1.61"/>
    <n v="18833.11"/>
    <n v="8.8680710153502956E-2"/>
    <n v="0"/>
    <x v="0"/>
    <n v="12"/>
    <s v="December"/>
    <s v="2024-12"/>
  </r>
  <r>
    <s v="FZ01224"/>
    <n v="45379"/>
    <n v="45391"/>
    <x v="1"/>
    <n v="200"/>
    <n v="1371.85"/>
    <n v="0.17"/>
    <n v="273903.57"/>
    <x v="0"/>
    <n v="973.07"/>
    <n v="194614"/>
    <n v="4655.7700000000004"/>
    <n v="578.66999999999996"/>
    <n v="3357.1"/>
    <n v="203205.54"/>
    <n v="79289.570000000007"/>
    <n v="70698.03"/>
    <s v="Paid"/>
    <n v="273903.57"/>
    <n v="0"/>
    <s v="Collected"/>
    <x v="3"/>
    <x v="1"/>
    <x v="8"/>
    <x v="5"/>
    <n v="0.84"/>
    <n v="70698.03"/>
    <n v="0.25811284606476653"/>
    <n v="0"/>
    <x v="0"/>
    <n v="3"/>
    <s v="March"/>
    <s v="2024-03"/>
  </r>
  <r>
    <s v="FZ01225"/>
    <n v="45460"/>
    <n v="45469"/>
    <x v="0"/>
    <n v="200"/>
    <n v="908.22"/>
    <n v="1.29"/>
    <n v="179300.79"/>
    <x v="0"/>
    <n v="733.45"/>
    <n v="146690"/>
    <n v="4008.79"/>
    <n v="400.38"/>
    <n v="8218.7999999999993"/>
    <n v="159317.97"/>
    <n v="32610.79"/>
    <n v="19982.82"/>
    <s v="Paid"/>
    <n v="179300.79"/>
    <n v="0"/>
    <s v="Collected"/>
    <x v="0"/>
    <x v="1"/>
    <x v="11"/>
    <x v="5"/>
    <n v="0.01"/>
    <n v="19982.82"/>
    <n v="0.11144858870950874"/>
    <n v="0"/>
    <x v="0"/>
    <n v="6"/>
    <s v="June"/>
    <s v="2024-06"/>
  </r>
  <r>
    <s v="FZ01226"/>
    <n v="45638"/>
    <n v="45650"/>
    <x v="2"/>
    <n v="200"/>
    <n v="758.34"/>
    <n v="0.37"/>
    <n v="151106.82999999999"/>
    <x v="1"/>
    <n v="591.59"/>
    <n v="118318"/>
    <n v="2531.4499999999998"/>
    <n v="759.41"/>
    <n v="1.8"/>
    <n v="121610.66"/>
    <n v="32788.83"/>
    <n v="29496.17"/>
    <s v="Paid"/>
    <n v="151106.82999999999"/>
    <n v="0"/>
    <s v="Collected"/>
    <x v="5"/>
    <x v="0"/>
    <x v="8"/>
    <x v="5"/>
    <n v="0.01"/>
    <n v="29496.17"/>
    <n v="0.19520077285718984"/>
    <n v="0"/>
    <x v="0"/>
    <n v="12"/>
    <s v="December"/>
    <s v="2024-12"/>
  </r>
  <r>
    <s v="FZ01227"/>
    <n v="45860"/>
    <m/>
    <x v="0"/>
    <n v="500"/>
    <n v="885.62"/>
    <n v="0.74"/>
    <n v="439533.21"/>
    <x v="1"/>
    <n v="676.92"/>
    <n v="338460"/>
    <n v="7290.41"/>
    <n v="753.43"/>
    <n v="2450.1999999999998"/>
    <n v="348954.04"/>
    <n v="101073.21"/>
    <n v="90579.17"/>
    <s v="Paid"/>
    <n v="439533.21"/>
    <n v="0"/>
    <s v="Pending"/>
    <x v="1"/>
    <x v="0"/>
    <x v="2"/>
    <x v="2"/>
    <n v="1.24"/>
    <n v="90579.17"/>
    <n v="0.20608037786268754"/>
    <n v="0"/>
    <x v="1"/>
    <n v="7"/>
    <s v="July"/>
    <s v="2025-07"/>
  </r>
  <r>
    <s v="FZ01228"/>
    <n v="45858"/>
    <n v="45871"/>
    <x v="0"/>
    <n v="100"/>
    <n v="893.53"/>
    <n v="0.56999999999999995"/>
    <n v="88843.69"/>
    <x v="1"/>
    <n v="720.58"/>
    <n v="72058"/>
    <n v="1208.57"/>
    <n v="291.91000000000003"/>
    <n v="6930.76"/>
    <n v="80489.240000000005"/>
    <n v="16785.689999999999"/>
    <n v="8354.4500000000007"/>
    <s v="Part-paid"/>
    <n v="47526.080000000002"/>
    <n v="41317.61"/>
    <s v="Delivered"/>
    <x v="3"/>
    <x v="3"/>
    <x v="10"/>
    <x v="5"/>
    <n v="1.44"/>
    <n v="8354.4500000000007"/>
    <n v="9.4035378314430665E-2"/>
    <n v="0"/>
    <x v="1"/>
    <n v="7"/>
    <s v="July"/>
    <s v="2025-07"/>
  </r>
  <r>
    <s v="FZ01229"/>
    <n v="45776"/>
    <n v="45782"/>
    <x v="0"/>
    <n v="250"/>
    <n v="931.67"/>
    <n v="1.71"/>
    <n v="228934.61"/>
    <x v="1"/>
    <n v="751.16"/>
    <n v="187790"/>
    <n v="4445.5200000000004"/>
    <n v="716.19"/>
    <n v="8152.14"/>
    <n v="201103.85"/>
    <n v="41144.61"/>
    <n v="27830.76"/>
    <s v="Paid"/>
    <n v="228934.61"/>
    <n v="0"/>
    <s v="Delivered"/>
    <x v="2"/>
    <x v="0"/>
    <x v="26"/>
    <x v="4"/>
    <n v="0.03"/>
    <n v="27830.76"/>
    <n v="0.12156641584249755"/>
    <n v="0"/>
    <x v="1"/>
    <n v="4"/>
    <s v="April"/>
    <s v="2025-04"/>
  </r>
  <r>
    <s v="FZ01230"/>
    <n v="45933"/>
    <n v="45947"/>
    <x v="4"/>
    <n v="100"/>
    <n v="3113.24"/>
    <n v="1.1200000000000001"/>
    <n v="307837.17"/>
    <x v="1"/>
    <n v="2441.2800000000002"/>
    <n v="244128"/>
    <n v="662.59"/>
    <n v="300.14999999999998"/>
    <n v="5486.23"/>
    <n v="250576.97"/>
    <n v="63709.17"/>
    <n v="57260.2"/>
    <s v="Part-paid"/>
    <n v="201723.84"/>
    <n v="106113.33"/>
    <s v="Delivered"/>
    <x v="1"/>
    <x v="1"/>
    <x v="32"/>
    <x v="0"/>
    <n v="1.05"/>
    <n v="57260.2"/>
    <n v="0.18600807693236004"/>
    <n v="0"/>
    <x v="1"/>
    <n v="10"/>
    <s v="October"/>
    <s v="2025-10"/>
  </r>
  <r>
    <s v="FZ01231"/>
    <n v="45650"/>
    <n v="45664"/>
    <x v="1"/>
    <n v="200"/>
    <n v="1304.54"/>
    <n v="0.65"/>
    <n v="259212.1"/>
    <x v="2"/>
    <n v="1052.81"/>
    <n v="210562"/>
    <n v="4386.1499999999996"/>
    <n v="1006.22"/>
    <n v="5300.97"/>
    <n v="221255.34"/>
    <n v="48650.1"/>
    <n v="37956.76"/>
    <s v="Paid"/>
    <n v="259212.1"/>
    <n v="0"/>
    <s v="Delivered"/>
    <x v="4"/>
    <x v="2"/>
    <x v="12"/>
    <x v="2"/>
    <n v="0.85"/>
    <n v="37956.76"/>
    <n v="0.14643128156440227"/>
    <n v="0"/>
    <x v="0"/>
    <n v="12"/>
    <s v="December"/>
    <s v="2024-12"/>
  </r>
  <r>
    <s v="FZ01232"/>
    <n v="45620"/>
    <n v="45625"/>
    <x v="1"/>
    <n v="200"/>
    <n v="1270.4000000000001"/>
    <n v="2.41"/>
    <n v="247956.67"/>
    <x v="2"/>
    <n v="1099.47"/>
    <n v="219894"/>
    <n v="1115.51"/>
    <n v="1054.3800000000001"/>
    <n v="95.07"/>
    <n v="222158.96"/>
    <n v="28062.67"/>
    <n v="25797.71"/>
    <s v="Part-paid"/>
    <n v="173930.38"/>
    <n v="74026.289999999994"/>
    <s v="Collected"/>
    <x v="4"/>
    <x v="2"/>
    <x v="4"/>
    <x v="1"/>
    <n v="0.52"/>
    <n v="25797.71"/>
    <n v="0.10404120203743661"/>
    <n v="0"/>
    <x v="0"/>
    <n v="11"/>
    <s v="November"/>
    <s v="2024-11"/>
  </r>
  <r>
    <s v="FZ01233"/>
    <n v="45298"/>
    <n v="45303"/>
    <x v="0"/>
    <n v="750"/>
    <n v="865.27"/>
    <n v="2.81"/>
    <n v="630716.93000000005"/>
    <x v="2"/>
    <n v="735.97"/>
    <n v="551977.5"/>
    <n v="17889.61"/>
    <n v="3600.55"/>
    <n v="4549.08"/>
    <n v="578016.74"/>
    <n v="78739.429999999993"/>
    <n v="52700.19"/>
    <s v="Paid"/>
    <n v="630716.93000000005"/>
    <n v="0"/>
    <s v="Collected"/>
    <x v="5"/>
    <x v="3"/>
    <x v="1"/>
    <x v="1"/>
    <n v="0.22"/>
    <n v="52700.19"/>
    <n v="8.3556009825200034E-2"/>
    <n v="0"/>
    <x v="0"/>
    <n v="1"/>
    <s v="January"/>
    <s v="2024-01"/>
  </r>
  <r>
    <s v="FZ01234"/>
    <n v="45689"/>
    <n v="45701"/>
    <x v="0"/>
    <n v="250"/>
    <n v="850.62"/>
    <n v="1.97"/>
    <n v="208465.7"/>
    <x v="2"/>
    <n v="735.88"/>
    <n v="183970"/>
    <n v="2313.29"/>
    <n v="1192.4000000000001"/>
    <n v="6226.63"/>
    <n v="193702.32"/>
    <n v="24495.7"/>
    <n v="14763.38"/>
    <s v="Paid"/>
    <n v="208465.7"/>
    <n v="0"/>
    <s v="Collected"/>
    <x v="1"/>
    <x v="2"/>
    <x v="13"/>
    <x v="5"/>
    <n v="0.26"/>
    <n v="14763.38"/>
    <n v="7.0819228295110406E-2"/>
    <n v="0"/>
    <x v="1"/>
    <n v="2"/>
    <s v="February"/>
    <s v="2025-02"/>
  </r>
  <r>
    <s v="FZ01235"/>
    <n v="45856"/>
    <n v="45860"/>
    <x v="1"/>
    <n v="1200"/>
    <n v="1167.7"/>
    <n v="1.8"/>
    <n v="1376017.68"/>
    <x v="2"/>
    <n v="1063.28"/>
    <n v="1275936"/>
    <n v="10238.68"/>
    <n v="5239.88"/>
    <n v="9757.69"/>
    <n v="1301172.25"/>
    <n v="100081.68"/>
    <n v="74845.429999999993"/>
    <s v="Part-paid"/>
    <n v="352932.53"/>
    <n v="1023085.15"/>
    <s v="Delivered"/>
    <x v="0"/>
    <x v="1"/>
    <x v="7"/>
    <x v="5"/>
    <n v="2.19"/>
    <n v="74845.429999999993"/>
    <n v="5.4392782220647043E-2"/>
    <n v="0"/>
    <x v="1"/>
    <n v="7"/>
    <s v="July"/>
    <s v="2025-07"/>
  </r>
  <r>
    <s v="FZ01236"/>
    <n v="45821"/>
    <n v="45824"/>
    <x v="0"/>
    <n v="200"/>
    <n v="876.71"/>
    <n v="2.02"/>
    <n v="171800.09"/>
    <x v="1"/>
    <n v="732.3"/>
    <n v="146460"/>
    <n v="1139.56"/>
    <n v="1136.24"/>
    <n v="1249.3800000000001"/>
    <n v="149985.18"/>
    <n v="25340.09"/>
    <n v="21814.91"/>
    <s v="Paid"/>
    <n v="171800.09"/>
    <n v="0"/>
    <s v="Delivered"/>
    <x v="5"/>
    <x v="4"/>
    <x v="5"/>
    <x v="4"/>
    <n v="2.25"/>
    <n v="21814.91"/>
    <n v="0.12697845501710739"/>
    <n v="0"/>
    <x v="1"/>
    <n v="6"/>
    <s v="June"/>
    <s v="2025-06"/>
  </r>
  <r>
    <s v="FZ01237"/>
    <n v="45646"/>
    <n v="45654"/>
    <x v="0"/>
    <n v="500"/>
    <n v="906.78"/>
    <n v="3.24"/>
    <n v="438700.16"/>
    <x v="2"/>
    <n v="683.89"/>
    <n v="341945"/>
    <n v="4620.42"/>
    <n v="2606.33"/>
    <n v="6989.64"/>
    <n v="356161.39"/>
    <n v="96755.16"/>
    <n v="82538.77"/>
    <s v="Part-paid"/>
    <n v="120274.16"/>
    <n v="318426"/>
    <s v="Collected"/>
    <x v="2"/>
    <x v="2"/>
    <x v="8"/>
    <x v="5"/>
    <n v="2.02"/>
    <n v="82538.77"/>
    <n v="0.18814392499879645"/>
    <n v="0"/>
    <x v="0"/>
    <n v="12"/>
    <s v="December"/>
    <s v="2024-12"/>
  </r>
  <r>
    <s v="FZ01238"/>
    <n v="45480"/>
    <n v="45492"/>
    <x v="1"/>
    <n v="500"/>
    <n v="1234.1400000000001"/>
    <n v="3.8"/>
    <n v="593621.34"/>
    <x v="2"/>
    <n v="991.49"/>
    <n v="495745"/>
    <n v="7863.81"/>
    <n v="1188.6400000000001"/>
    <n v="7502.87"/>
    <n v="512300.32"/>
    <n v="97876.34"/>
    <n v="81321.02"/>
    <s v="Unpaid"/>
    <n v="0"/>
    <n v="593621.34"/>
    <s v="Collected"/>
    <x v="0"/>
    <x v="2"/>
    <x v="2"/>
    <x v="2"/>
    <n v="1.82"/>
    <n v="81321.02"/>
    <n v="0.13699140263387433"/>
    <n v="0"/>
    <x v="0"/>
    <n v="7"/>
    <s v="July"/>
    <s v="2024-07"/>
  </r>
  <r>
    <s v="FZ01239"/>
    <n v="45967"/>
    <n v="45970"/>
    <x v="1"/>
    <n v="50"/>
    <n v="1285.5"/>
    <n v="1.03"/>
    <n v="63612.97"/>
    <x v="2"/>
    <n v="1055.17"/>
    <n v="52758.5"/>
    <n v="1099.4100000000001"/>
    <n v="202.53"/>
    <n v="5852.88"/>
    <n v="59913.32"/>
    <n v="10854.47"/>
    <n v="3699.65"/>
    <s v="Part-paid"/>
    <n v="31730.02"/>
    <n v="31882.95"/>
    <s v="Delivered"/>
    <x v="3"/>
    <x v="0"/>
    <x v="5"/>
    <x v="4"/>
    <n v="2.2000000000000002"/>
    <n v="3699.65"/>
    <n v="5.8158737125463565E-2"/>
    <n v="0"/>
    <x v="1"/>
    <n v="11"/>
    <s v="November"/>
    <s v="2025-11"/>
  </r>
  <r>
    <s v="FZ01240"/>
    <n v="45478"/>
    <n v="45481"/>
    <x v="0"/>
    <n v="300"/>
    <n v="803.51"/>
    <n v="0.53"/>
    <n v="239775.42"/>
    <x v="0"/>
    <n v="735.22"/>
    <n v="220566"/>
    <n v="2922.86"/>
    <n v="707.04"/>
    <n v="749.19"/>
    <n v="224945.09"/>
    <n v="19209.419999999998"/>
    <n v="14830.33"/>
    <s v="Part-paid"/>
    <n v="200093.31"/>
    <n v="39682.11"/>
    <s v="Delivered"/>
    <x v="4"/>
    <x v="2"/>
    <x v="2"/>
    <x v="2"/>
    <n v="1.79"/>
    <n v="14830.33"/>
    <n v="6.185091866380632E-2"/>
    <n v="0"/>
    <x v="0"/>
    <n v="7"/>
    <s v="July"/>
    <s v="2024-07"/>
  </r>
  <r>
    <s v="FZ01241"/>
    <n v="45664"/>
    <n v="45674"/>
    <x v="0"/>
    <n v="1000"/>
    <n v="926.16"/>
    <n v="1.29"/>
    <n v="914212.54"/>
    <x v="1"/>
    <n v="749.3"/>
    <n v="749300"/>
    <n v="18312.849999999999"/>
    <n v="3628.04"/>
    <n v="2151.73"/>
    <n v="773392.62"/>
    <n v="164912.54"/>
    <n v="140819.92000000001"/>
    <s v="Paid"/>
    <n v="914212.54"/>
    <n v="0"/>
    <s v="Delivered"/>
    <x v="5"/>
    <x v="3"/>
    <x v="32"/>
    <x v="0"/>
    <n v="1.04"/>
    <n v="140819.92000000001"/>
    <n v="0.15403411552416466"/>
    <n v="0"/>
    <x v="1"/>
    <n v="1"/>
    <s v="January"/>
    <s v="2025-01"/>
  </r>
  <r>
    <s v="FZ01242"/>
    <n v="45418"/>
    <n v="45420"/>
    <x v="0"/>
    <n v="1000"/>
    <n v="849.63"/>
    <n v="4.3099999999999996"/>
    <n v="813010.95"/>
    <x v="1"/>
    <n v="690.31"/>
    <n v="690310"/>
    <n v="14830.23"/>
    <n v="3348.8"/>
    <n v="2665.31"/>
    <n v="711154.34"/>
    <n v="122700.95"/>
    <n v="101856.61"/>
    <s v="Paid"/>
    <n v="813010.95"/>
    <n v="0"/>
    <s v="Delivered"/>
    <x v="4"/>
    <x v="3"/>
    <x v="2"/>
    <x v="2"/>
    <n v="0.49"/>
    <n v="101856.61"/>
    <n v="0.12528319575523553"/>
    <n v="0"/>
    <x v="0"/>
    <n v="5"/>
    <s v="May"/>
    <s v="2024-05"/>
  </r>
  <r>
    <s v="FZ01243"/>
    <n v="45878"/>
    <n v="45886"/>
    <x v="1"/>
    <n v="50"/>
    <n v="1355.51"/>
    <n v="0.34"/>
    <n v="67545.06"/>
    <x v="1"/>
    <n v="1118.97"/>
    <n v="55948.5"/>
    <n v="809.97"/>
    <n v="233.7"/>
    <n v="5526.42"/>
    <n v="62518.59"/>
    <n v="11596.56"/>
    <n v="5026.47"/>
    <s v="Part-paid"/>
    <n v="43284.51"/>
    <n v="24260.55"/>
    <s v="Delivered"/>
    <x v="2"/>
    <x v="1"/>
    <x v="2"/>
    <x v="2"/>
    <n v="1.34"/>
    <n v="5026.47"/>
    <n v="7.4416545044152752E-2"/>
    <n v="0"/>
    <x v="1"/>
    <n v="8"/>
    <s v="August"/>
    <s v="2025-08"/>
  </r>
  <r>
    <s v="FZ01244"/>
    <n v="45686"/>
    <n v="45692"/>
    <x v="0"/>
    <n v="200"/>
    <n v="888.91"/>
    <n v="1.19"/>
    <n v="175666.39"/>
    <x v="0"/>
    <n v="748.23"/>
    <n v="149646"/>
    <n v="1571.16"/>
    <n v="965.6"/>
    <n v="4141.8599999999997"/>
    <n v="156324.62"/>
    <n v="26020.39"/>
    <n v="19341.77"/>
    <s v="Paid"/>
    <n v="175666.39"/>
    <n v="0"/>
    <s v="Delivered"/>
    <x v="3"/>
    <x v="0"/>
    <x v="25"/>
    <x v="3"/>
    <n v="0.76"/>
    <n v="19341.77"/>
    <n v="0.11010512597202003"/>
    <n v="0"/>
    <x v="1"/>
    <n v="1"/>
    <s v="January"/>
    <s v="2025-01"/>
  </r>
  <r>
    <s v="FZ01245"/>
    <n v="45938"/>
    <n v="45950"/>
    <x v="2"/>
    <n v="750"/>
    <n v="761.35"/>
    <n v="2.93"/>
    <n v="554281.82999999996"/>
    <x v="1"/>
    <n v="542.46"/>
    <n v="406845"/>
    <n v="5055.28"/>
    <n v="1359.73"/>
    <n v="11307.14"/>
    <n v="424567.15"/>
    <n v="147436.82999999999"/>
    <n v="129714.68"/>
    <s v="Paid"/>
    <n v="554281.82999999996"/>
    <n v="0"/>
    <s v="Delivered"/>
    <x v="1"/>
    <x v="1"/>
    <x v="19"/>
    <x v="4"/>
    <n v="0.82"/>
    <n v="129714.68"/>
    <n v="0.23402296986715224"/>
    <n v="0"/>
    <x v="1"/>
    <n v="10"/>
    <s v="October"/>
    <s v="2025-10"/>
  </r>
  <r>
    <s v="FZ01246"/>
    <n v="45454"/>
    <n v="45461"/>
    <x v="0"/>
    <n v="50"/>
    <n v="913.16"/>
    <n v="1.43"/>
    <n v="45005.09"/>
    <x v="1"/>
    <n v="737.09"/>
    <n v="36854.5"/>
    <n v="734.81"/>
    <n v="140.76"/>
    <n v="609.27"/>
    <n v="38339.339999999997"/>
    <n v="8150.59"/>
    <n v="6665.75"/>
    <s v="Paid"/>
    <n v="45005.09"/>
    <n v="0"/>
    <s v="Delivered"/>
    <x v="5"/>
    <x v="4"/>
    <x v="13"/>
    <x v="5"/>
    <n v="1.08"/>
    <n v="6665.75"/>
    <n v="0.14811102477519766"/>
    <n v="0"/>
    <x v="0"/>
    <n v="6"/>
    <s v="June"/>
    <s v="2024-06"/>
  </r>
  <r>
    <s v="FZ01247"/>
    <n v="45586"/>
    <n v="45591"/>
    <x v="1"/>
    <n v="200"/>
    <n v="1240.94"/>
    <n v="1.38"/>
    <n v="244763.01"/>
    <x v="3"/>
    <n v="1106.53"/>
    <n v="221306"/>
    <n v="4496.22"/>
    <n v="763.28"/>
    <n v="1453.89"/>
    <n v="228019.39"/>
    <n v="23457.01"/>
    <n v="16743.62"/>
    <s v="Paid"/>
    <n v="244763.01"/>
    <n v="0"/>
    <s v="Delivered"/>
    <x v="0"/>
    <x v="0"/>
    <x v="1"/>
    <x v="1"/>
    <n v="1.4"/>
    <n v="16743.62"/>
    <n v="6.8407477093863162E-2"/>
    <n v="0"/>
    <x v="0"/>
    <n v="10"/>
    <s v="October"/>
    <s v="2024-10"/>
  </r>
  <r>
    <s v="FZ01248"/>
    <n v="45800"/>
    <n v="45804"/>
    <x v="2"/>
    <n v="200"/>
    <n v="681.34"/>
    <n v="0.81"/>
    <n v="135164.23000000001"/>
    <x v="3"/>
    <n v="560.41"/>
    <n v="112082"/>
    <n v="4320.8599999999997"/>
    <n v="1160.02"/>
    <n v="2876.98"/>
    <n v="120439.86"/>
    <n v="23082.23"/>
    <n v="14724.37"/>
    <s v="Paid"/>
    <n v="135164.23000000001"/>
    <n v="0"/>
    <s v="Collected"/>
    <x v="0"/>
    <x v="2"/>
    <x v="13"/>
    <x v="5"/>
    <n v="0.66"/>
    <n v="14724.37"/>
    <n v="0.10893688367107185"/>
    <n v="0"/>
    <x v="1"/>
    <n v="5"/>
    <s v="May"/>
    <s v="2025-05"/>
  </r>
  <r>
    <s v="FZ01249"/>
    <n v="45681"/>
    <n v="45695"/>
    <x v="0"/>
    <n v="50"/>
    <n v="823.98"/>
    <n v="0.26"/>
    <n v="41091.879999999997"/>
    <x v="1"/>
    <n v="733.47"/>
    <n v="36673.5"/>
    <n v="748.52"/>
    <n v="254.73"/>
    <n v="6734.98"/>
    <n v="44411.73"/>
    <n v="4418.38"/>
    <n v="-3319.85"/>
    <s v="Part-paid"/>
    <n v="11737.97"/>
    <n v="29353.91"/>
    <s v="Delivered"/>
    <x v="4"/>
    <x v="1"/>
    <x v="1"/>
    <x v="1"/>
    <n v="2.06"/>
    <n v="-3319.85"/>
    <n v="-8.0790900781370925E-2"/>
    <n v="0"/>
    <x v="1"/>
    <n v="1"/>
    <s v="January"/>
    <s v="2025-01"/>
  </r>
  <r>
    <s v="FZ01250"/>
    <n v="45763"/>
    <n v="45776"/>
    <x v="0"/>
    <n v="1000"/>
    <n v="944.86"/>
    <n v="2.2200000000000002"/>
    <n v="923884.11"/>
    <x v="3"/>
    <n v="692.81"/>
    <n v="692810"/>
    <n v="23524.240000000002"/>
    <n v="4112.82"/>
    <n v="286"/>
    <n v="720733.06"/>
    <n v="231074.11"/>
    <n v="203151.05"/>
    <s v="Paid"/>
    <n v="923884.11"/>
    <n v="0"/>
    <s v="Collected"/>
    <x v="4"/>
    <x v="4"/>
    <x v="9"/>
    <x v="1"/>
    <n v="1.37"/>
    <n v="203151.05"/>
    <n v="0.2198880225356403"/>
    <n v="0"/>
    <x v="1"/>
    <n v="4"/>
    <s v="April"/>
    <s v="2025-04"/>
  </r>
  <r>
    <s v="FZ01251"/>
    <n v="45767"/>
    <n v="45776"/>
    <x v="0"/>
    <n v="500"/>
    <n v="879.16"/>
    <n v="4.6100000000000003"/>
    <n v="419315.36"/>
    <x v="1"/>
    <n v="699.93"/>
    <n v="349965"/>
    <n v="5648.48"/>
    <n v="2324.2600000000002"/>
    <n v="1364"/>
    <n v="359301.74"/>
    <n v="69350.36"/>
    <n v="60013.62"/>
    <s v="Paid"/>
    <n v="419315.36"/>
    <n v="0"/>
    <s v="Collected"/>
    <x v="0"/>
    <x v="0"/>
    <x v="10"/>
    <x v="5"/>
    <n v="0.32"/>
    <n v="60013.62"/>
    <n v="0.14312287534613569"/>
    <n v="0"/>
    <x v="1"/>
    <n v="4"/>
    <s v="April"/>
    <s v="2025-04"/>
  </r>
  <r>
    <s v="FZ01252"/>
    <n v="45921"/>
    <n v="45921"/>
    <x v="0"/>
    <n v="300"/>
    <n v="887.53"/>
    <n v="0.67"/>
    <n v="264475.06"/>
    <x v="2"/>
    <n v="675.91"/>
    <n v="202773"/>
    <n v="2549.2399999999998"/>
    <n v="1709.34"/>
    <n v="3526.51"/>
    <n v="210558.09"/>
    <n v="61702.06"/>
    <n v="53916.97"/>
    <s v="Part-paid"/>
    <n v="191720.74"/>
    <n v="72754.320000000007"/>
    <s v="Collected"/>
    <x v="2"/>
    <x v="0"/>
    <x v="4"/>
    <x v="1"/>
    <n v="2.31"/>
    <n v="53916.97"/>
    <n v="0.20386409969998684"/>
    <n v="0"/>
    <x v="1"/>
    <n v="9"/>
    <s v="September"/>
    <s v="2025-09"/>
  </r>
  <r>
    <s v="FZ01253"/>
    <n v="45964"/>
    <m/>
    <x v="1"/>
    <n v="50"/>
    <n v="1409.82"/>
    <n v="0.02"/>
    <n v="70476.899999999994"/>
    <x v="0"/>
    <n v="989.86"/>
    <n v="49493"/>
    <n v="468.47"/>
    <n v="278.79000000000002"/>
    <n v="804.09"/>
    <n v="51044.35"/>
    <n v="20983.9"/>
    <n v="19432.55"/>
    <s v="Part-paid"/>
    <n v="19954.95"/>
    <n v="50521.95"/>
    <s v="Pending"/>
    <x v="2"/>
    <x v="4"/>
    <x v="9"/>
    <x v="1"/>
    <n v="0.75"/>
    <n v="19432.55"/>
    <n v="0.2757293524544922"/>
    <n v="0"/>
    <x v="1"/>
    <n v="11"/>
    <s v="November"/>
    <s v="2025-11"/>
  </r>
  <r>
    <s v="FZ01254"/>
    <n v="45446"/>
    <n v="45460"/>
    <x v="0"/>
    <n v="500"/>
    <n v="914.29"/>
    <n v="2"/>
    <n v="448002.1"/>
    <x v="2"/>
    <n v="693.27"/>
    <n v="346635"/>
    <n v="3965.52"/>
    <n v="1831.36"/>
    <n v="5938.61"/>
    <n v="358370.49"/>
    <n v="101367.1"/>
    <n v="89631.61"/>
    <s v="Paid"/>
    <n v="448002.1"/>
    <n v="0"/>
    <s v="Delivered"/>
    <x v="4"/>
    <x v="2"/>
    <x v="33"/>
    <x v="1"/>
    <n v="0.9"/>
    <n v="89631.61"/>
    <n v="0.20006962020936955"/>
    <n v="0"/>
    <x v="0"/>
    <n v="6"/>
    <s v="June"/>
    <s v="2024-06"/>
  </r>
  <r>
    <s v="FZ01255"/>
    <n v="45898"/>
    <n v="45902"/>
    <x v="1"/>
    <n v="1000"/>
    <n v="1270.5"/>
    <n v="3.46"/>
    <n v="1226540.7"/>
    <x v="2"/>
    <n v="970.56"/>
    <n v="970560"/>
    <n v="5234.04"/>
    <n v="4086.27"/>
    <n v="1455.97"/>
    <n v="981336.28"/>
    <n v="255980.7"/>
    <n v="245204.42"/>
    <s v="Part-paid"/>
    <n v="732072.12"/>
    <n v="494468.58"/>
    <s v="Collected"/>
    <x v="0"/>
    <x v="3"/>
    <x v="10"/>
    <x v="5"/>
    <n v="0.14000000000000001"/>
    <n v="245204.42"/>
    <n v="0.19991543696837782"/>
    <n v="0"/>
    <x v="1"/>
    <n v="8"/>
    <s v="August"/>
    <s v="2025-08"/>
  </r>
  <r>
    <s v="FZ01256"/>
    <n v="45829"/>
    <n v="45835"/>
    <x v="4"/>
    <n v="250"/>
    <n v="3011.93"/>
    <n v="1.8"/>
    <n v="739428.82"/>
    <x v="1"/>
    <n v="2226.29"/>
    <n v="556572.5"/>
    <n v="4160.04"/>
    <n v="1085.3699999999999"/>
    <n v="8243.0300000000007"/>
    <n v="570060.93999999994"/>
    <n v="182856.32000000001"/>
    <n v="169367.88"/>
    <s v="Paid"/>
    <n v="739428.82"/>
    <n v="0"/>
    <s v="Collected"/>
    <x v="3"/>
    <x v="3"/>
    <x v="23"/>
    <x v="4"/>
    <n v="1.53"/>
    <n v="169367.88"/>
    <n v="0.22905231094454773"/>
    <n v="0"/>
    <x v="1"/>
    <n v="6"/>
    <s v="June"/>
    <s v="2025-06"/>
  </r>
  <r>
    <s v="FZ01257"/>
    <n v="45767"/>
    <n v="45768"/>
    <x v="0"/>
    <n v="200"/>
    <n v="907.07"/>
    <n v="0.12"/>
    <n v="181196.3"/>
    <x v="3"/>
    <n v="650.13"/>
    <n v="130026"/>
    <n v="4286.3900000000003"/>
    <n v="464.79"/>
    <n v="1539.76"/>
    <n v="136316.94"/>
    <n v="51170.3"/>
    <n v="44879.360000000001"/>
    <s v="Unpaid"/>
    <n v="0"/>
    <n v="181196.3"/>
    <s v="Delivered"/>
    <x v="0"/>
    <x v="0"/>
    <x v="25"/>
    <x v="3"/>
    <n v="1.69"/>
    <n v="44879.360000000001"/>
    <n v="0.24768364475433552"/>
    <n v="0"/>
    <x v="1"/>
    <n v="4"/>
    <s v="April"/>
    <s v="2025-04"/>
  </r>
  <r>
    <s v="FZ01258"/>
    <n v="45500"/>
    <n v="45501"/>
    <x v="4"/>
    <n v="300"/>
    <n v="2774.02"/>
    <n v="1.04"/>
    <n v="823551.06"/>
    <x v="3"/>
    <n v="2121.21"/>
    <n v="636363"/>
    <n v="2247.1"/>
    <n v="814.8"/>
    <n v="11432.44"/>
    <n v="650857.34"/>
    <n v="187188.06"/>
    <n v="172693.72"/>
    <s v="Paid"/>
    <n v="823551.06"/>
    <n v="0"/>
    <s v="Collected"/>
    <x v="0"/>
    <x v="1"/>
    <x v="31"/>
    <x v="1"/>
    <n v="0.85"/>
    <n v="172693.72"/>
    <n v="0.2096940048865944"/>
    <n v="0"/>
    <x v="0"/>
    <n v="7"/>
    <s v="July"/>
    <s v="2024-07"/>
  </r>
  <r>
    <s v="FZ01259"/>
    <n v="45703"/>
    <n v="45705"/>
    <x v="0"/>
    <n v="300"/>
    <n v="803.49"/>
    <n v="0.27"/>
    <n v="240396.17"/>
    <x v="0"/>
    <n v="657.84"/>
    <n v="197352"/>
    <n v="3902.66"/>
    <n v="1508.77"/>
    <n v="3996.27"/>
    <n v="206759.7"/>
    <n v="43044.17"/>
    <n v="33636.47"/>
    <s v="Paid"/>
    <n v="240396.17"/>
    <n v="0"/>
    <s v="Delivered"/>
    <x v="1"/>
    <x v="0"/>
    <x v="13"/>
    <x v="5"/>
    <n v="0.18"/>
    <n v="33636.47"/>
    <n v="0.1399209895898092"/>
    <n v="0"/>
    <x v="1"/>
    <n v="2"/>
    <s v="February"/>
    <s v="2025-02"/>
  </r>
  <r>
    <s v="FZ01260"/>
    <n v="45953"/>
    <n v="45966"/>
    <x v="1"/>
    <n v="150"/>
    <n v="1286.04"/>
    <n v="2.14"/>
    <n v="188777.81"/>
    <x v="1"/>
    <n v="1099.1300000000001"/>
    <n v="164869.5"/>
    <n v="1831.09"/>
    <n v="691.38"/>
    <n v="5966.16"/>
    <n v="173358.13"/>
    <n v="23908.31"/>
    <n v="15419.68"/>
    <s v="Paid"/>
    <n v="188777.81"/>
    <n v="0"/>
    <s v="Delivered"/>
    <x v="0"/>
    <x v="0"/>
    <x v="23"/>
    <x v="4"/>
    <n v="0.37"/>
    <n v="15419.68"/>
    <n v="8.1681634086124846E-2"/>
    <n v="0"/>
    <x v="1"/>
    <n v="10"/>
    <s v="October"/>
    <s v="2025-10"/>
  </r>
  <r>
    <s v="FZ01261"/>
    <n v="46014"/>
    <n v="46022"/>
    <x v="1"/>
    <n v="300"/>
    <n v="1378.04"/>
    <n v="0.91"/>
    <n v="409649.95"/>
    <x v="1"/>
    <n v="1042.74"/>
    <n v="312822"/>
    <n v="6585.12"/>
    <n v="1115.05"/>
    <n v="402.49"/>
    <n v="320924.65999999997"/>
    <n v="96827.95"/>
    <n v="88725.29"/>
    <s v="Paid"/>
    <n v="409649.95"/>
    <n v="0"/>
    <s v="Delivered"/>
    <x v="0"/>
    <x v="3"/>
    <x v="10"/>
    <x v="5"/>
    <n v="2.12"/>
    <n v="88725.29"/>
    <n v="0.21658806500525629"/>
    <n v="0"/>
    <x v="1"/>
    <n v="12"/>
    <s v="December"/>
    <s v="2025-12"/>
  </r>
  <r>
    <s v="FZ01262"/>
    <n v="45687"/>
    <m/>
    <x v="1"/>
    <n v="500"/>
    <n v="1321.57"/>
    <n v="3.17"/>
    <n v="639838.12"/>
    <x v="0"/>
    <n v="1063.8"/>
    <n v="531900"/>
    <n v="9472.76"/>
    <n v="2197.39"/>
    <n v="5404.24"/>
    <n v="548974.39"/>
    <n v="107938.12"/>
    <n v="90863.73"/>
    <s v="Paid"/>
    <n v="639838.12"/>
    <n v="0"/>
    <s v="Pending"/>
    <x v="4"/>
    <x v="2"/>
    <x v="36"/>
    <x v="3"/>
    <n v="0.59"/>
    <n v="90863.73"/>
    <n v="0.14201049790531392"/>
    <n v="0"/>
    <x v="1"/>
    <n v="1"/>
    <s v="January"/>
    <s v="2025-01"/>
  </r>
  <r>
    <s v="FZ01263"/>
    <n v="45701"/>
    <n v="45712"/>
    <x v="1"/>
    <n v="1000"/>
    <n v="1189.28"/>
    <n v="4.76"/>
    <n v="1132670.27"/>
    <x v="2"/>
    <n v="1023.32"/>
    <n v="1023320"/>
    <n v="19927.73"/>
    <n v="2332.4299999999998"/>
    <n v="3392.47"/>
    <n v="1048972.6299999999"/>
    <n v="109350.27"/>
    <n v="83697.64"/>
    <s v="Paid"/>
    <n v="1132670.27"/>
    <n v="0"/>
    <s v="Delivered"/>
    <x v="1"/>
    <x v="0"/>
    <x v="28"/>
    <x v="4"/>
    <n v="2.23"/>
    <n v="83697.64"/>
    <n v="7.3894090996137821E-2"/>
    <n v="0"/>
    <x v="1"/>
    <n v="2"/>
    <s v="February"/>
    <s v="2025-02"/>
  </r>
  <r>
    <s v="FZ01264"/>
    <n v="45298"/>
    <n v="45299"/>
    <x v="1"/>
    <n v="100"/>
    <n v="1298.68"/>
    <n v="1.1299999999999999"/>
    <n v="128400.49"/>
    <x v="0"/>
    <n v="1070.55"/>
    <n v="107055"/>
    <n v="1239.26"/>
    <n v="229.42"/>
    <n v="11970.46"/>
    <n v="120494.14"/>
    <n v="21345.49"/>
    <n v="7906.35"/>
    <s v="Paid"/>
    <n v="128400.49"/>
    <n v="0"/>
    <s v="Collected"/>
    <x v="1"/>
    <x v="2"/>
    <x v="8"/>
    <x v="5"/>
    <n v="0.22"/>
    <n v="7906.35"/>
    <n v="6.1575699594292828E-2"/>
    <n v="0"/>
    <x v="0"/>
    <n v="1"/>
    <s v="January"/>
    <s v="2024-01"/>
  </r>
  <r>
    <s v="FZ01265"/>
    <n v="45907"/>
    <n v="45919"/>
    <x v="0"/>
    <n v="200"/>
    <n v="918.09"/>
    <n v="0.53"/>
    <n v="182644.82"/>
    <x v="1"/>
    <n v="705.3"/>
    <n v="141060"/>
    <n v="4140.6099999999997"/>
    <n v="824.39"/>
    <n v="8241.14"/>
    <n v="154266.14000000001"/>
    <n v="41584.82"/>
    <n v="28378.68"/>
    <s v="Paid"/>
    <n v="182644.82"/>
    <n v="0"/>
    <s v="Delivered"/>
    <x v="4"/>
    <x v="1"/>
    <x v="14"/>
    <x v="1"/>
    <n v="0.1"/>
    <n v="28378.68"/>
    <n v="0.15537632000732349"/>
    <n v="0"/>
    <x v="1"/>
    <n v="9"/>
    <s v="September"/>
    <s v="2025-09"/>
  </r>
  <r>
    <s v="FZ01266"/>
    <n v="45605"/>
    <n v="45609"/>
    <x v="0"/>
    <n v="250"/>
    <n v="913.51"/>
    <n v="0.93"/>
    <n v="226253.59"/>
    <x v="0"/>
    <n v="663.06"/>
    <n v="165765"/>
    <n v="1477.1"/>
    <n v="801.5"/>
    <n v="1110.8900000000001"/>
    <n v="169154.49"/>
    <n v="60488.59"/>
    <n v="57099.1"/>
    <s v="Paid"/>
    <n v="226253.59"/>
    <n v="0"/>
    <s v="Collected"/>
    <x v="1"/>
    <x v="2"/>
    <x v="22"/>
    <x v="5"/>
    <n v="2.4700000000000002"/>
    <n v="57099.1"/>
    <n v="0.25236770828697125"/>
    <n v="0"/>
    <x v="0"/>
    <n v="11"/>
    <s v="November"/>
    <s v="2024-11"/>
  </r>
  <r>
    <s v="FZ01267"/>
    <n v="45884"/>
    <n v="45884"/>
    <x v="0"/>
    <n v="50"/>
    <n v="876.03"/>
    <n v="2.14"/>
    <n v="42864.15"/>
    <x v="2"/>
    <n v="662.64"/>
    <n v="33132"/>
    <n v="507.54"/>
    <n v="154.11000000000001"/>
    <n v="7064.74"/>
    <n v="40858.39"/>
    <n v="9732.15"/>
    <n v="2005.76"/>
    <s v="Paid"/>
    <n v="42864.15"/>
    <n v="0"/>
    <s v="Collected"/>
    <x v="3"/>
    <x v="0"/>
    <x v="7"/>
    <x v="5"/>
    <n v="0.37"/>
    <n v="2005.76"/>
    <n v="4.6793415943159958E-2"/>
    <n v="0"/>
    <x v="1"/>
    <n v="8"/>
    <s v="August"/>
    <s v="2025-08"/>
  </r>
  <r>
    <s v="FZ01268"/>
    <n v="45424"/>
    <n v="45434"/>
    <x v="1"/>
    <n v="50"/>
    <n v="1360.57"/>
    <n v="0.05"/>
    <n v="67994.490000000005"/>
    <x v="0"/>
    <n v="1118.49"/>
    <n v="55924.5"/>
    <n v="300.45"/>
    <n v="177.43"/>
    <n v="4896.3500000000004"/>
    <n v="61298.73"/>
    <n v="12069.99"/>
    <n v="6695.76"/>
    <s v="Paid"/>
    <n v="67994.490000000005"/>
    <n v="0"/>
    <s v="Delivered"/>
    <x v="0"/>
    <x v="1"/>
    <x v="36"/>
    <x v="3"/>
    <n v="0.48"/>
    <n v="6695.76"/>
    <n v="9.8475038197948089E-2"/>
    <n v="0"/>
    <x v="0"/>
    <n v="5"/>
    <s v="May"/>
    <s v="2024-05"/>
  </r>
  <r>
    <s v="FZ01269"/>
    <n v="45610"/>
    <m/>
    <x v="4"/>
    <n v="150"/>
    <n v="2972.36"/>
    <n v="0.19"/>
    <n v="445006.88"/>
    <x v="0"/>
    <n v="2403.62"/>
    <n v="360543"/>
    <n v="982.88"/>
    <n v="235.7"/>
    <n v="4101.18"/>
    <n v="365862.76"/>
    <n v="84463.88"/>
    <n v="79144.12"/>
    <s v="Paid"/>
    <n v="445006.88"/>
    <n v="0"/>
    <s v="Pending"/>
    <x v="0"/>
    <x v="0"/>
    <x v="12"/>
    <x v="2"/>
    <n v="1.03"/>
    <n v="79144.12"/>
    <n v="0.17784920538756613"/>
    <n v="0"/>
    <x v="0"/>
    <n v="11"/>
    <s v="November"/>
    <s v="2024-11"/>
  </r>
  <r>
    <s v="FZ01270"/>
    <n v="45963"/>
    <n v="45973"/>
    <x v="0"/>
    <n v="300"/>
    <n v="896.73"/>
    <n v="1.0900000000000001"/>
    <n v="266086.69"/>
    <x v="2"/>
    <n v="726.1"/>
    <n v="217830"/>
    <n v="4793.3999999999996"/>
    <n v="1439.84"/>
    <n v="7353.3"/>
    <n v="231416.54"/>
    <n v="48256.69"/>
    <n v="34670.15"/>
    <s v="Paid"/>
    <n v="266086.69"/>
    <n v="0"/>
    <s v="Collected"/>
    <x v="3"/>
    <x v="3"/>
    <x v="6"/>
    <x v="2"/>
    <n v="1.02"/>
    <n v="34670.15"/>
    <n v="0.13029644586882569"/>
    <n v="0"/>
    <x v="1"/>
    <n v="11"/>
    <s v="November"/>
    <s v="2025-11"/>
  </r>
  <r>
    <s v="FZ01271"/>
    <n v="45496"/>
    <n v="45501"/>
    <x v="0"/>
    <n v="500"/>
    <n v="882.27"/>
    <n v="2.27"/>
    <n v="431121.24"/>
    <x v="0"/>
    <n v="652.5"/>
    <n v="326250"/>
    <n v="3282.89"/>
    <n v="2139.87"/>
    <n v="4506"/>
    <n v="336178.76"/>
    <n v="104871.24"/>
    <n v="94942.48"/>
    <s v="Paid"/>
    <n v="431121.24"/>
    <n v="0"/>
    <s v="Collected"/>
    <x v="4"/>
    <x v="1"/>
    <x v="11"/>
    <x v="5"/>
    <n v="2.39"/>
    <n v="94942.48"/>
    <n v="0.2202222279746644"/>
    <n v="0"/>
    <x v="0"/>
    <n v="7"/>
    <s v="July"/>
    <s v="2024-07"/>
  </r>
  <r>
    <s v="FZ01272"/>
    <n v="45330"/>
    <n v="45343"/>
    <x v="1"/>
    <n v="200"/>
    <n v="1269.67"/>
    <n v="0.28999999999999998"/>
    <n v="253197.59"/>
    <x v="2"/>
    <n v="1081.83"/>
    <n v="216366"/>
    <n v="2729.34"/>
    <n v="447.45"/>
    <n v="10886.19"/>
    <n v="230428.98"/>
    <n v="36831.589999999997"/>
    <n v="22768.61"/>
    <s v="Paid"/>
    <n v="253197.59"/>
    <n v="0"/>
    <s v="Collected"/>
    <x v="3"/>
    <x v="4"/>
    <x v="11"/>
    <x v="5"/>
    <n v="1.3"/>
    <n v="22768.61"/>
    <n v="8.9924276135487702E-2"/>
    <n v="0"/>
    <x v="0"/>
    <n v="2"/>
    <s v="February"/>
    <s v="2024-02"/>
  </r>
  <r>
    <s v="FZ01273"/>
    <n v="45468"/>
    <n v="45478"/>
    <x v="0"/>
    <n v="250"/>
    <n v="801.77"/>
    <n v="1.22"/>
    <n v="197997.1"/>
    <x v="1"/>
    <n v="731.01"/>
    <n v="182752.5"/>
    <n v="2152.38"/>
    <n v="1225.56"/>
    <n v="11145.83"/>
    <n v="197276.27"/>
    <n v="15244.6"/>
    <n v="720.83"/>
    <s v="Part-paid"/>
    <n v="124489.55"/>
    <n v="73507.55"/>
    <s v="Collected"/>
    <x v="0"/>
    <x v="4"/>
    <x v="25"/>
    <x v="3"/>
    <n v="2.2599999999999998"/>
    <n v="720.83"/>
    <n v="3.6406088776047732E-3"/>
    <n v="0"/>
    <x v="0"/>
    <n v="6"/>
    <s v="June"/>
    <s v="2024-06"/>
  </r>
  <r>
    <s v="FZ01274"/>
    <n v="45967"/>
    <n v="45974"/>
    <x v="1"/>
    <n v="100"/>
    <n v="1333.28"/>
    <n v="1.1599999999999999"/>
    <n v="131781.4"/>
    <x v="1"/>
    <n v="1006.97"/>
    <n v="100697"/>
    <n v="1375.94"/>
    <n v="375.22"/>
    <n v="8039.79"/>
    <n v="110487.95"/>
    <n v="31084.400000000001"/>
    <n v="21293.45"/>
    <s v="Paid"/>
    <n v="131781.4"/>
    <n v="0"/>
    <s v="Collected"/>
    <x v="1"/>
    <x v="2"/>
    <x v="22"/>
    <x v="5"/>
    <n v="1.91"/>
    <n v="21293.45"/>
    <n v="0.1615816040806973"/>
    <n v="0"/>
    <x v="1"/>
    <n v="11"/>
    <s v="November"/>
    <s v="2025-11"/>
  </r>
  <r>
    <s v="FZ01275"/>
    <n v="45519"/>
    <n v="45531"/>
    <x v="0"/>
    <n v="500"/>
    <n v="838.16"/>
    <n v="0.73"/>
    <n v="416020.72"/>
    <x v="1"/>
    <n v="732.58"/>
    <n v="366290"/>
    <n v="5891.06"/>
    <n v="1423.31"/>
    <n v="4614.71"/>
    <n v="378219.08"/>
    <n v="49730.720000000001"/>
    <n v="37801.64"/>
    <s v="Paid"/>
    <n v="416020.72"/>
    <n v="0"/>
    <s v="Delivered"/>
    <x v="3"/>
    <x v="1"/>
    <x v="36"/>
    <x v="3"/>
    <n v="1.1100000000000001"/>
    <n v="37801.64"/>
    <n v="9.0864801157019295E-2"/>
    <n v="0"/>
    <x v="0"/>
    <n v="8"/>
    <s v="August"/>
    <s v="2024-08"/>
  </r>
  <r>
    <s v="FZ01276"/>
    <n v="45533"/>
    <n v="45543"/>
    <x v="4"/>
    <n v="750"/>
    <n v="3112.91"/>
    <n v="0.09"/>
    <n v="2332581.29"/>
    <x v="1"/>
    <n v="2282.89"/>
    <n v="1712167.5"/>
    <n v="9110.9"/>
    <n v="3916.13"/>
    <n v="4997.75"/>
    <n v="1730192.28"/>
    <n v="620413.79"/>
    <n v="602389.01"/>
    <s v="Paid"/>
    <n v="2332581.29"/>
    <n v="0"/>
    <s v="Delivered"/>
    <x v="1"/>
    <x v="1"/>
    <x v="11"/>
    <x v="5"/>
    <n v="0.53"/>
    <n v="602389.01"/>
    <n v="0.25824995363827169"/>
    <n v="0"/>
    <x v="0"/>
    <n v="8"/>
    <s v="August"/>
    <s v="2024-08"/>
  </r>
  <r>
    <s v="FZ01277"/>
    <n v="45540"/>
    <n v="45540"/>
    <x v="3"/>
    <n v="150"/>
    <n v="929.92"/>
    <n v="1.94"/>
    <n v="136781.93"/>
    <x v="2"/>
    <n v="780.89"/>
    <n v="117133.5"/>
    <n v="3520.32"/>
    <n v="762.71"/>
    <n v="1795.59"/>
    <n v="123212.12"/>
    <n v="19648.43"/>
    <n v="13569.81"/>
    <s v="Paid"/>
    <n v="136781.93"/>
    <n v="0"/>
    <s v="Delivered"/>
    <x v="0"/>
    <x v="2"/>
    <x v="4"/>
    <x v="1"/>
    <n v="0.98"/>
    <n v="13569.81"/>
    <n v="9.92076219424598E-2"/>
    <n v="0"/>
    <x v="0"/>
    <n v="9"/>
    <s v="September"/>
    <s v="2024-09"/>
  </r>
  <r>
    <s v="FZ01278"/>
    <n v="45393"/>
    <n v="45400"/>
    <x v="0"/>
    <n v="150"/>
    <n v="845.04"/>
    <n v="1.74"/>
    <n v="124550.45"/>
    <x v="3"/>
    <n v="699.16"/>
    <n v="104874"/>
    <n v="1910.9"/>
    <n v="252.89"/>
    <n v="8706.75"/>
    <n v="115744.54"/>
    <n v="19676.45"/>
    <n v="8805.91"/>
    <s v="Paid"/>
    <n v="124550.45"/>
    <n v="0"/>
    <s v="Delivered"/>
    <x v="0"/>
    <x v="1"/>
    <x v="7"/>
    <x v="5"/>
    <n v="1.65"/>
    <n v="8805.91"/>
    <n v="7.0701551058225801E-2"/>
    <n v="0"/>
    <x v="0"/>
    <n v="4"/>
    <s v="April"/>
    <s v="2024-04"/>
  </r>
  <r>
    <s v="FZ01279"/>
    <n v="45869"/>
    <n v="45882"/>
    <x v="0"/>
    <n v="150"/>
    <n v="812.24"/>
    <n v="1.7"/>
    <n v="119764.79"/>
    <x v="2"/>
    <n v="653.07000000000005"/>
    <n v="97960.5"/>
    <n v="2190.9499999999998"/>
    <n v="426.34"/>
    <n v="1247.6099999999999"/>
    <n v="101825.4"/>
    <n v="21804.29"/>
    <n v="17939.39"/>
    <s v="Paid"/>
    <n v="119764.79"/>
    <n v="0"/>
    <s v="Delivered"/>
    <x v="2"/>
    <x v="1"/>
    <x v="36"/>
    <x v="3"/>
    <n v="1.64"/>
    <n v="17939.39"/>
    <n v="0.14978851463773285"/>
    <n v="0"/>
    <x v="1"/>
    <n v="7"/>
    <s v="July"/>
    <s v="2025-07"/>
  </r>
  <r>
    <s v="FZ01280"/>
    <n v="45863"/>
    <n v="45868"/>
    <x v="3"/>
    <n v="750"/>
    <n v="958.78"/>
    <n v="4.1500000000000004"/>
    <n v="689242.97"/>
    <x v="1"/>
    <n v="744.71"/>
    <n v="558532.5"/>
    <n v="13905.35"/>
    <n v="1452.37"/>
    <n v="4253.51"/>
    <n v="578143.73"/>
    <n v="130710.47"/>
    <n v="111099.24"/>
    <s v="Paid"/>
    <n v="689242.97"/>
    <n v="0"/>
    <s v="Delivered"/>
    <x v="4"/>
    <x v="2"/>
    <x v="2"/>
    <x v="2"/>
    <n v="0.57999999999999996"/>
    <n v="111099.24"/>
    <n v="0.16119024035892598"/>
    <n v="0"/>
    <x v="1"/>
    <n v="7"/>
    <s v="July"/>
    <s v="2025-07"/>
  </r>
  <r>
    <s v="FZ01281"/>
    <n v="45758"/>
    <n v="45765"/>
    <x v="1"/>
    <n v="100"/>
    <n v="1320.56"/>
    <n v="2.04"/>
    <n v="129362.06"/>
    <x v="1"/>
    <n v="1054.82"/>
    <n v="105482"/>
    <n v="2062.29"/>
    <n v="357.67"/>
    <n v="2156.59"/>
    <n v="110058.55"/>
    <n v="23880.06"/>
    <n v="19303.509999999998"/>
    <s v="Paid"/>
    <n v="129362.06"/>
    <n v="0"/>
    <s v="Collected"/>
    <x v="4"/>
    <x v="2"/>
    <x v="28"/>
    <x v="4"/>
    <n v="1.1399999999999999"/>
    <n v="19303.509999999998"/>
    <n v="0.14922079935956492"/>
    <n v="0"/>
    <x v="1"/>
    <n v="4"/>
    <s v="April"/>
    <s v="2025-04"/>
  </r>
  <r>
    <s v="FZ01282"/>
    <n v="45986"/>
    <n v="45999"/>
    <x v="0"/>
    <n v="750"/>
    <n v="976.8"/>
    <n v="0.3"/>
    <n v="730402.2"/>
    <x v="0"/>
    <n v="713.65"/>
    <n v="535237.5"/>
    <n v="4617.62"/>
    <n v="2835.87"/>
    <n v="7311.93"/>
    <n v="550002.92000000004"/>
    <n v="195164.7"/>
    <n v="180399.28"/>
    <s v="Paid"/>
    <n v="730402.2"/>
    <n v="0"/>
    <s v="Delivered"/>
    <x v="2"/>
    <x v="0"/>
    <x v="15"/>
    <x v="3"/>
    <n v="1.74"/>
    <n v="180399.28"/>
    <n v="0.24698622211159826"/>
    <n v="0"/>
    <x v="1"/>
    <n v="11"/>
    <s v="November"/>
    <s v="2025-11"/>
  </r>
  <r>
    <s v="FZ01283"/>
    <n v="45479"/>
    <n v="45492"/>
    <x v="0"/>
    <n v="200"/>
    <n v="808.91"/>
    <n v="2.09"/>
    <n v="158400.76"/>
    <x v="1"/>
    <n v="688.42"/>
    <n v="137684"/>
    <n v="3906.74"/>
    <n v="489.49"/>
    <n v="5601.98"/>
    <n v="147682.21"/>
    <n v="20716.759999999998"/>
    <n v="10718.55"/>
    <s v="Paid"/>
    <n v="158400.76"/>
    <n v="0"/>
    <s v="Delivered"/>
    <x v="5"/>
    <x v="2"/>
    <x v="11"/>
    <x v="5"/>
    <n v="0.26"/>
    <n v="10718.55"/>
    <n v="6.7667288970078163E-2"/>
    <n v="0"/>
    <x v="0"/>
    <n v="7"/>
    <s v="July"/>
    <s v="2024-07"/>
  </r>
  <r>
    <s v="FZ01284"/>
    <n v="45378"/>
    <n v="45387"/>
    <x v="0"/>
    <n v="750"/>
    <n v="950.35"/>
    <n v="1.07"/>
    <n v="705135.94"/>
    <x v="1"/>
    <n v="737.63"/>
    <n v="553222.5"/>
    <n v="16942.48"/>
    <n v="4182.79"/>
    <n v="11338.79"/>
    <n v="585686.56000000006"/>
    <n v="151913.44"/>
    <n v="119449.38"/>
    <s v="Part-paid"/>
    <n v="250158.89"/>
    <n v="454977.05"/>
    <s v="Delivered"/>
    <x v="0"/>
    <x v="3"/>
    <x v="5"/>
    <x v="4"/>
    <n v="1.46"/>
    <n v="119449.38"/>
    <n v="0.16939908069357523"/>
    <n v="0"/>
    <x v="0"/>
    <n v="3"/>
    <s v="March"/>
    <s v="2024-03"/>
  </r>
  <r>
    <s v="FZ01285"/>
    <n v="45743"/>
    <n v="45756"/>
    <x v="1"/>
    <n v="200"/>
    <n v="1375.97"/>
    <n v="0.38"/>
    <n v="274148.26"/>
    <x v="0"/>
    <n v="1003.12"/>
    <n v="200624"/>
    <n v="4652.99"/>
    <n v="694.73"/>
    <n v="11873.4"/>
    <n v="217845.12"/>
    <n v="73524.259999999995"/>
    <n v="56303.14"/>
    <s v="Part-paid"/>
    <n v="138516.09"/>
    <n v="135632.17000000001"/>
    <s v="Delivered"/>
    <x v="4"/>
    <x v="0"/>
    <x v="35"/>
    <x v="4"/>
    <n v="1.66"/>
    <n v="56303.14"/>
    <n v="0.20537478516186825"/>
    <n v="0"/>
    <x v="1"/>
    <n v="3"/>
    <s v="March"/>
    <s v="2025-03"/>
  </r>
  <r>
    <s v="FZ01286"/>
    <n v="45388"/>
    <n v="45388"/>
    <x v="0"/>
    <n v="500"/>
    <n v="874.56"/>
    <n v="3.82"/>
    <n v="420575.9"/>
    <x v="0"/>
    <n v="683.45"/>
    <n v="341725"/>
    <n v="8236.66"/>
    <n v="1856.11"/>
    <n v="8.89"/>
    <n v="351826.66"/>
    <n v="78850.899999999994"/>
    <n v="68749.240000000005"/>
    <s v="Paid"/>
    <n v="420575.9"/>
    <n v="0"/>
    <s v="Delivered"/>
    <x v="0"/>
    <x v="1"/>
    <x v="16"/>
    <x v="1"/>
    <n v="1.59"/>
    <n v="68749.240000000005"/>
    <n v="0.16346452566587863"/>
    <n v="0"/>
    <x v="0"/>
    <n v="4"/>
    <s v="April"/>
    <s v="2024-04"/>
  </r>
  <r>
    <s v="FZ01287"/>
    <n v="45737"/>
    <n v="45747"/>
    <x v="0"/>
    <n v="100"/>
    <n v="900.21"/>
    <n v="0.95"/>
    <n v="89165.8"/>
    <x v="0"/>
    <n v="748.91"/>
    <n v="74891"/>
    <n v="1853.71"/>
    <n v="546.67999999999995"/>
    <n v="7664.42"/>
    <n v="84955.81"/>
    <n v="14274.8"/>
    <n v="4209.99"/>
    <s v="Unpaid"/>
    <n v="0"/>
    <n v="89165.8"/>
    <s v="Delivered"/>
    <x v="1"/>
    <x v="0"/>
    <x v="36"/>
    <x v="3"/>
    <n v="1.87"/>
    <n v="4209.99"/>
    <n v="4.7215300036561096E-2"/>
    <n v="0"/>
    <x v="1"/>
    <n v="3"/>
    <s v="March"/>
    <s v="2025-03"/>
  </r>
  <r>
    <s v="FZ01288"/>
    <n v="45842"/>
    <n v="45848"/>
    <x v="2"/>
    <n v="500"/>
    <n v="739.1"/>
    <n v="1.31"/>
    <n v="364708.9"/>
    <x v="2"/>
    <n v="586.96"/>
    <n v="293480"/>
    <n v="7344.09"/>
    <n v="763.42"/>
    <n v="357.19"/>
    <n v="301944.7"/>
    <n v="71228.899999999994"/>
    <n v="62764.2"/>
    <s v="Paid"/>
    <n v="364708.9"/>
    <n v="0"/>
    <s v="Delivered"/>
    <x v="5"/>
    <x v="0"/>
    <x v="29"/>
    <x v="0"/>
    <n v="2.2400000000000002"/>
    <n v="62764.2"/>
    <n v="0.17209396315801451"/>
    <n v="0"/>
    <x v="1"/>
    <n v="7"/>
    <s v="July"/>
    <s v="2025-07"/>
  </r>
  <r>
    <s v="FZ01289"/>
    <n v="45902"/>
    <n v="45908"/>
    <x v="1"/>
    <n v="1000"/>
    <n v="1249.6600000000001"/>
    <n v="1.56"/>
    <n v="1230165.3"/>
    <x v="0"/>
    <n v="1090.67"/>
    <n v="1090670"/>
    <n v="9007.4"/>
    <n v="5425.07"/>
    <n v="6622.06"/>
    <n v="1111724.53"/>
    <n v="139495.29999999999"/>
    <n v="118440.77"/>
    <s v="Paid"/>
    <n v="1230165.3"/>
    <n v="0"/>
    <s v="Delivered"/>
    <x v="0"/>
    <x v="1"/>
    <x v="30"/>
    <x v="0"/>
    <n v="1.77"/>
    <n v="118440.77"/>
    <n v="9.6280369800708893E-2"/>
    <n v="0"/>
    <x v="1"/>
    <n v="9"/>
    <s v="September"/>
    <s v="2025-09"/>
  </r>
  <r>
    <s v="FZ01290"/>
    <n v="45802"/>
    <n v="45814"/>
    <x v="1"/>
    <n v="300"/>
    <n v="1323.73"/>
    <n v="0.12"/>
    <n v="396642.46"/>
    <x v="2"/>
    <n v="1116.8699999999999"/>
    <n v="335061"/>
    <n v="4307.33"/>
    <n v="1017.13"/>
    <n v="5966.57"/>
    <n v="346352.03"/>
    <n v="61581.46"/>
    <n v="50290.43"/>
    <s v="Paid"/>
    <n v="396642.46"/>
    <n v="0"/>
    <s v="Delivered"/>
    <x v="0"/>
    <x v="1"/>
    <x v="13"/>
    <x v="5"/>
    <n v="1.86"/>
    <n v="50290.43"/>
    <n v="0.12679033404542719"/>
    <n v="0"/>
    <x v="1"/>
    <n v="5"/>
    <s v="May"/>
    <s v="2025-05"/>
  </r>
  <r>
    <s v="FZ01291"/>
    <n v="45584"/>
    <n v="45588"/>
    <x v="0"/>
    <n v="1200"/>
    <n v="857.44"/>
    <n v="3.88"/>
    <n v="989005.59"/>
    <x v="0"/>
    <n v="669.64"/>
    <n v="803568"/>
    <n v="15200.32"/>
    <n v="6504.8"/>
    <n v="10376.790000000001"/>
    <n v="835649.91"/>
    <n v="185437.59"/>
    <n v="153355.68"/>
    <s v="Unpaid"/>
    <n v="0"/>
    <n v="989005.59"/>
    <s v="Delivered"/>
    <x v="1"/>
    <x v="2"/>
    <x v="11"/>
    <x v="5"/>
    <n v="1.45"/>
    <n v="153355.68"/>
    <n v="0.155060478475152"/>
    <n v="0"/>
    <x v="0"/>
    <n v="10"/>
    <s v="October"/>
    <s v="2024-10"/>
  </r>
  <r>
    <s v="FZ01292"/>
    <n v="45803"/>
    <n v="45808"/>
    <x v="0"/>
    <n v="200"/>
    <n v="859.05"/>
    <n v="0.87"/>
    <n v="170315.25"/>
    <x v="1"/>
    <n v="709.88"/>
    <n v="141976"/>
    <n v="3303.79"/>
    <n v="412.76"/>
    <n v="2542.08"/>
    <n v="148234.63"/>
    <n v="28339.25"/>
    <n v="22080.62"/>
    <s v="Part-paid"/>
    <n v="101256.48"/>
    <n v="69058.77"/>
    <s v="Delivered"/>
    <x v="0"/>
    <x v="3"/>
    <x v="13"/>
    <x v="5"/>
    <n v="2.0299999999999998"/>
    <n v="22080.62"/>
    <n v="0.12964558370433651"/>
    <n v="0"/>
    <x v="1"/>
    <n v="5"/>
    <s v="May"/>
    <s v="2025-05"/>
  </r>
  <r>
    <s v="FZ01293"/>
    <n v="45599"/>
    <m/>
    <x v="3"/>
    <n v="1000"/>
    <n v="1074.03"/>
    <n v="3.88"/>
    <n v="1032357.64"/>
    <x v="1"/>
    <n v="816.91"/>
    <n v="816910"/>
    <n v="12008.6"/>
    <n v="3744.93"/>
    <n v="6375.06"/>
    <n v="839038.59"/>
    <n v="215447.64"/>
    <n v="193319.05"/>
    <s v="Unpaid"/>
    <n v="0"/>
    <n v="1032357.64"/>
    <s v="Pending"/>
    <x v="1"/>
    <x v="0"/>
    <x v="23"/>
    <x v="4"/>
    <n v="1.22"/>
    <n v="193319.05"/>
    <n v="0.18725976590825635"/>
    <n v="0"/>
    <x v="0"/>
    <n v="11"/>
    <s v="November"/>
    <s v="2024-11"/>
  </r>
  <r>
    <s v="FZ01294"/>
    <n v="45563"/>
    <n v="45573"/>
    <x v="1"/>
    <n v="750"/>
    <n v="1289.56"/>
    <n v="2.35"/>
    <n v="944441.5"/>
    <x v="1"/>
    <n v="1039.9100000000001"/>
    <n v="779932.5"/>
    <n v="7725.17"/>
    <n v="4464.3599999999997"/>
    <n v="8984.93"/>
    <n v="801106.96"/>
    <n v="164509"/>
    <n v="143334.54"/>
    <s v="Part-paid"/>
    <n v="796384.15"/>
    <n v="148057.35"/>
    <s v="Delivered"/>
    <x v="0"/>
    <x v="1"/>
    <x v="31"/>
    <x v="1"/>
    <n v="0.12"/>
    <n v="143334.54"/>
    <n v="0.15176645668365907"/>
    <n v="0"/>
    <x v="0"/>
    <n v="9"/>
    <s v="September"/>
    <s v="2024-09"/>
  </r>
  <r>
    <s v="FZ01295"/>
    <n v="45525"/>
    <n v="45534"/>
    <x v="1"/>
    <n v="300"/>
    <n v="1284.1300000000001"/>
    <n v="2.35"/>
    <n v="376185.88"/>
    <x v="3"/>
    <n v="1050.28"/>
    <n v="315084"/>
    <n v="5678.92"/>
    <n v="689.97"/>
    <n v="1764.86"/>
    <n v="323217.75"/>
    <n v="61101.88"/>
    <n v="52968.13"/>
    <s v="Paid"/>
    <n v="376185.88"/>
    <n v="0"/>
    <s v="Delivered"/>
    <x v="1"/>
    <x v="1"/>
    <x v="36"/>
    <x v="3"/>
    <n v="1"/>
    <n v="52968.13"/>
    <n v="0.14080307852065047"/>
    <n v="0"/>
    <x v="0"/>
    <n v="8"/>
    <s v="August"/>
    <s v="2024-08"/>
  </r>
  <r>
    <s v="FZ01296"/>
    <n v="45586"/>
    <n v="45592"/>
    <x v="1"/>
    <n v="100"/>
    <n v="1270.1099999999999"/>
    <n v="1.33"/>
    <n v="125321.75"/>
    <x v="2"/>
    <n v="1059.19"/>
    <n v="105919"/>
    <n v="1938.93"/>
    <n v="301.32"/>
    <n v="7287.71"/>
    <n v="115446.96"/>
    <n v="19402.75"/>
    <n v="9874.7900000000009"/>
    <s v="Paid"/>
    <n v="125321.75"/>
    <n v="0"/>
    <s v="Collected"/>
    <x v="4"/>
    <x v="1"/>
    <x v="36"/>
    <x v="3"/>
    <n v="2.15"/>
    <n v="9874.7900000000009"/>
    <n v="7.87955003820167E-2"/>
    <n v="0"/>
    <x v="0"/>
    <n v="10"/>
    <s v="October"/>
    <s v="2024-10"/>
  </r>
  <r>
    <s v="FZ01297"/>
    <n v="45879"/>
    <n v="45893"/>
    <x v="0"/>
    <n v="100"/>
    <n v="901"/>
    <n v="0.26"/>
    <n v="89865.74"/>
    <x v="3"/>
    <n v="665.6"/>
    <n v="66560"/>
    <n v="2239.09"/>
    <n v="214.52"/>
    <n v="1868.77"/>
    <n v="70882.38"/>
    <n v="23305.74"/>
    <n v="18983.36"/>
    <s v="Paid"/>
    <n v="89865.74"/>
    <n v="0"/>
    <s v="Delivered"/>
    <x v="4"/>
    <x v="1"/>
    <x v="22"/>
    <x v="5"/>
    <n v="0.39"/>
    <n v="18983.36"/>
    <n v="0.21124134736997657"/>
    <n v="0"/>
    <x v="1"/>
    <n v="8"/>
    <s v="August"/>
    <s v="2025-08"/>
  </r>
  <r>
    <s v="FZ01298"/>
    <n v="45768"/>
    <n v="45774"/>
    <x v="1"/>
    <n v="200"/>
    <n v="1343.67"/>
    <n v="0.57999999999999996"/>
    <n v="267175.34000000003"/>
    <x v="1"/>
    <n v="989.8"/>
    <n v="197960"/>
    <n v="1992.43"/>
    <n v="592.03"/>
    <n v="4577.1000000000004"/>
    <n v="205121.56"/>
    <n v="69215.34"/>
    <n v="62053.78"/>
    <s v="Paid"/>
    <n v="267175.34000000003"/>
    <n v="0"/>
    <s v="Delivered"/>
    <x v="2"/>
    <x v="2"/>
    <x v="9"/>
    <x v="1"/>
    <n v="0.39"/>
    <n v="62053.78"/>
    <n v="0.23225863584565848"/>
    <n v="0"/>
    <x v="1"/>
    <n v="4"/>
    <s v="April"/>
    <s v="2025-04"/>
  </r>
  <r>
    <s v="FZ01299"/>
    <n v="45664"/>
    <n v="45675"/>
    <x v="0"/>
    <n v="150"/>
    <n v="897.4"/>
    <n v="2.02"/>
    <n v="131890.88"/>
    <x v="2"/>
    <n v="658.22"/>
    <n v="98733"/>
    <n v="3213.77"/>
    <n v="888.53"/>
    <n v="5170.5200000000004"/>
    <n v="108005.82"/>
    <n v="33157.879999999997"/>
    <n v="23885.06"/>
    <s v="Paid"/>
    <n v="131890.88"/>
    <n v="0"/>
    <s v="Delivered"/>
    <x v="5"/>
    <x v="2"/>
    <x v="8"/>
    <x v="5"/>
    <n v="1.03"/>
    <n v="23885.06"/>
    <n v="0.18109713120421975"/>
    <n v="0"/>
    <x v="1"/>
    <n v="1"/>
    <s v="January"/>
    <s v="2025-01"/>
  </r>
  <r>
    <s v="FZ01300"/>
    <n v="45852"/>
    <m/>
    <x v="2"/>
    <n v="200"/>
    <n v="708.75"/>
    <n v="0.85"/>
    <n v="140545.12"/>
    <x v="2"/>
    <n v="576.79"/>
    <n v="115358"/>
    <n v="1820.19"/>
    <n v="345.95"/>
    <n v="10668.22"/>
    <n v="128192.36"/>
    <n v="25187.119999999999"/>
    <n v="12352.76"/>
    <s v="Part-paid"/>
    <n v="94727.09"/>
    <n v="45818.03"/>
    <s v="Pending"/>
    <x v="1"/>
    <x v="4"/>
    <x v="22"/>
    <x v="5"/>
    <n v="0.3"/>
    <n v="12352.76"/>
    <n v="8.7891774541869541E-2"/>
    <n v="0"/>
    <x v="1"/>
    <n v="7"/>
    <s v="July"/>
    <s v="2025-07"/>
  </r>
  <r>
    <s v="FZ01301"/>
    <n v="45301"/>
    <n v="45306"/>
    <x v="4"/>
    <n v="300"/>
    <n v="2900.69"/>
    <n v="2.4700000000000002"/>
    <n v="848712.89"/>
    <x v="3"/>
    <n v="2331.0300000000002"/>
    <n v="699309"/>
    <n v="5281.97"/>
    <n v="1102.2"/>
    <n v="1352.71"/>
    <n v="707045.88"/>
    <n v="149403.89000000001"/>
    <n v="141667.01"/>
    <s v="Paid"/>
    <n v="848712.89"/>
    <n v="0"/>
    <s v="Delivered"/>
    <x v="2"/>
    <x v="1"/>
    <x v="30"/>
    <x v="0"/>
    <n v="0.93"/>
    <n v="141667.01"/>
    <n v="0.16691982844752129"/>
    <n v="0"/>
    <x v="0"/>
    <n v="1"/>
    <s v="January"/>
    <s v="2024-01"/>
  </r>
  <r>
    <s v="FZ01302"/>
    <n v="45600"/>
    <n v="45613"/>
    <x v="0"/>
    <n v="300"/>
    <n v="971.28"/>
    <n v="0.79"/>
    <n v="289082.07"/>
    <x v="2"/>
    <n v="656.28"/>
    <n v="196884"/>
    <n v="3559.94"/>
    <n v="1697.09"/>
    <n v="10719.54"/>
    <n v="212860.57"/>
    <n v="92198.07"/>
    <n v="76221.5"/>
    <s v="Part-paid"/>
    <n v="76595.7"/>
    <n v="212486.37"/>
    <s v="Delivered"/>
    <x v="0"/>
    <x v="1"/>
    <x v="22"/>
    <x v="5"/>
    <n v="0.92"/>
    <n v="76221.5"/>
    <n v="0.26366733848280521"/>
    <n v="0"/>
    <x v="0"/>
    <n v="11"/>
    <s v="November"/>
    <s v="2024-11"/>
  </r>
  <r>
    <s v="FZ01303"/>
    <n v="45425"/>
    <m/>
    <x v="2"/>
    <n v="100"/>
    <n v="695.45"/>
    <n v="1.46"/>
    <n v="68529.64"/>
    <x v="2"/>
    <n v="568.91999999999996"/>
    <n v="56892"/>
    <n v="1902.78"/>
    <n v="407.39"/>
    <n v="9510.9599999999991"/>
    <n v="68713.13"/>
    <n v="11637.64"/>
    <n v="-183.49"/>
    <s v="Paid"/>
    <n v="68529.64"/>
    <n v="0"/>
    <s v="Pending"/>
    <x v="0"/>
    <x v="1"/>
    <x v="7"/>
    <x v="5"/>
    <n v="2.15"/>
    <n v="-183.49"/>
    <n v="-2.6775275632558411E-3"/>
    <n v="0"/>
    <x v="0"/>
    <n v="5"/>
    <s v="May"/>
    <s v="2024-05"/>
  </r>
  <r>
    <s v="FZ01304"/>
    <n v="45489"/>
    <n v="45496"/>
    <x v="0"/>
    <n v="300"/>
    <n v="867.77"/>
    <n v="0.53"/>
    <n v="258951.25"/>
    <x v="2"/>
    <n v="734.97"/>
    <n v="220491"/>
    <n v="1785.25"/>
    <n v="759.68"/>
    <n v="7586.53"/>
    <n v="230622.46"/>
    <n v="38460.25"/>
    <n v="28328.79"/>
    <s v="Paid"/>
    <n v="258951.25"/>
    <n v="0"/>
    <s v="Delivered"/>
    <x v="4"/>
    <x v="3"/>
    <x v="9"/>
    <x v="1"/>
    <n v="2.3199999999999998"/>
    <n v="28328.79"/>
    <n v="0.10939815891987392"/>
    <n v="0"/>
    <x v="0"/>
    <n v="7"/>
    <s v="July"/>
    <s v="2024-07"/>
  </r>
  <r>
    <s v="FZ01305"/>
    <n v="45804"/>
    <m/>
    <x v="3"/>
    <n v="150"/>
    <n v="980.02"/>
    <n v="1.62"/>
    <n v="0"/>
    <x v="1"/>
    <n v="719.73"/>
    <n v="0"/>
    <n v="0"/>
    <n v="0"/>
    <n v="0"/>
    <n v="0"/>
    <n v="0"/>
    <n v="0"/>
    <s v="Paid"/>
    <n v="0"/>
    <n v="0"/>
    <s v="Cancelled"/>
    <x v="0"/>
    <x v="1"/>
    <x v="1"/>
    <x v="1"/>
    <n v="0.24"/>
    <n v="0"/>
    <e v="#DIV/0!"/>
    <n v="0"/>
    <x v="1"/>
    <n v="5"/>
    <s v="May"/>
    <s v="2025-05"/>
  </r>
  <r>
    <s v="FZ01306"/>
    <n v="45742"/>
    <n v="45752"/>
    <x v="0"/>
    <n v="500"/>
    <n v="928.13"/>
    <n v="4.2699999999999996"/>
    <n v="444249.42"/>
    <x v="1"/>
    <n v="723.44"/>
    <n v="361720"/>
    <n v="9528.15"/>
    <n v="2490.33"/>
    <n v="1325.29"/>
    <n v="375063.77"/>
    <n v="82529.42"/>
    <n v="69185.649999999994"/>
    <s v="Paid"/>
    <n v="444249.42"/>
    <n v="0"/>
    <s v="Delivered"/>
    <x v="1"/>
    <x v="1"/>
    <x v="34"/>
    <x v="4"/>
    <n v="1.74"/>
    <n v="69185.649999999994"/>
    <n v="0.15573605025753326"/>
    <n v="0"/>
    <x v="1"/>
    <n v="3"/>
    <s v="March"/>
    <s v="2025-03"/>
  </r>
  <r>
    <s v="FZ01307"/>
    <n v="45363"/>
    <n v="45363"/>
    <x v="0"/>
    <n v="150"/>
    <n v="852.67"/>
    <n v="0.21"/>
    <n v="127631.91"/>
    <x v="2"/>
    <n v="664.6"/>
    <n v="99690"/>
    <n v="3252.35"/>
    <n v="775.94"/>
    <n v="6912.1"/>
    <n v="110630.39"/>
    <n v="27941.91"/>
    <n v="17001.52"/>
    <s v="Paid"/>
    <n v="127631.91"/>
    <n v="0"/>
    <s v="Delivered"/>
    <x v="0"/>
    <x v="2"/>
    <x v="14"/>
    <x v="1"/>
    <n v="1.17"/>
    <n v="17001.52"/>
    <n v="0.13320744005162971"/>
    <n v="0"/>
    <x v="0"/>
    <n v="3"/>
    <s v="March"/>
    <s v="2024-03"/>
  </r>
  <r>
    <s v="FZ01308"/>
    <n v="45703"/>
    <n v="45713"/>
    <x v="3"/>
    <n v="300"/>
    <n v="931.19"/>
    <n v="0.56000000000000005"/>
    <n v="277792.59999999998"/>
    <x v="1"/>
    <n v="769.87"/>
    <n v="230961"/>
    <n v="2583.5500000000002"/>
    <n v="670.14"/>
    <n v="7357.32"/>
    <n v="241572.01"/>
    <n v="46831.6"/>
    <n v="36220.589999999997"/>
    <s v="Paid"/>
    <n v="277792.59999999998"/>
    <n v="0"/>
    <s v="Delivered"/>
    <x v="0"/>
    <x v="0"/>
    <x v="6"/>
    <x v="2"/>
    <n v="1.93"/>
    <n v="36220.589999999997"/>
    <n v="0.13038716654079338"/>
    <n v="0"/>
    <x v="1"/>
    <n v="2"/>
    <s v="February"/>
    <s v="2025-02"/>
  </r>
  <r>
    <s v="FZ01309"/>
    <n v="45948"/>
    <n v="45958"/>
    <x v="0"/>
    <n v="200"/>
    <n v="911.47"/>
    <n v="1.81"/>
    <n v="178994.48"/>
    <x v="1"/>
    <n v="748.84"/>
    <n v="149768"/>
    <n v="3913.9"/>
    <n v="928.66"/>
    <n v="3437.39"/>
    <n v="158047.95000000001"/>
    <n v="29226.48"/>
    <n v="20946.53"/>
    <s v="Paid"/>
    <n v="178994.48"/>
    <n v="0"/>
    <s v="Delivered"/>
    <x v="5"/>
    <x v="1"/>
    <x v="19"/>
    <x v="4"/>
    <n v="0.79"/>
    <n v="20946.53"/>
    <n v="0.11702332943451663"/>
    <n v="0"/>
    <x v="1"/>
    <n v="10"/>
    <s v="October"/>
    <s v="2025-10"/>
  </r>
  <r>
    <s v="FZ01310"/>
    <n v="45397"/>
    <n v="45401"/>
    <x v="3"/>
    <n v="50"/>
    <n v="977.88"/>
    <n v="1.44"/>
    <n v="48189.93"/>
    <x v="1"/>
    <n v="793.32"/>
    <n v="39666"/>
    <n v="422.86"/>
    <n v="83.45"/>
    <n v="6705.88"/>
    <n v="46878.19"/>
    <n v="8523.93"/>
    <n v="1311.74"/>
    <s v="Part-paid"/>
    <n v="14443.85"/>
    <n v="33746.080000000002"/>
    <s v="Delivered"/>
    <x v="2"/>
    <x v="0"/>
    <x v="22"/>
    <x v="5"/>
    <n v="1.99"/>
    <n v="1311.74"/>
    <n v="2.7220209699412305E-2"/>
    <n v="0"/>
    <x v="0"/>
    <n v="4"/>
    <s v="April"/>
    <s v="2024-04"/>
  </r>
  <r>
    <s v="FZ01311"/>
    <n v="45634"/>
    <n v="45641"/>
    <x v="2"/>
    <n v="500"/>
    <n v="731.46"/>
    <n v="3.57"/>
    <n v="352673.44"/>
    <x v="2"/>
    <n v="584.17999999999995"/>
    <n v="292090"/>
    <n v="7698.8"/>
    <n v="779.01"/>
    <n v="3819.57"/>
    <n v="304387.38"/>
    <n v="60583.44"/>
    <n v="48286.06"/>
    <s v="Paid"/>
    <n v="352673.44"/>
    <n v="0"/>
    <s v="Delivered"/>
    <x v="5"/>
    <x v="2"/>
    <x v="16"/>
    <x v="1"/>
    <n v="0.15"/>
    <n v="48286.06"/>
    <n v="0.13691436474490395"/>
    <n v="0"/>
    <x v="0"/>
    <n v="12"/>
    <s v="December"/>
    <s v="2024-12"/>
  </r>
  <r>
    <s v="FZ01312"/>
    <n v="45483"/>
    <n v="45495"/>
    <x v="0"/>
    <n v="50"/>
    <n v="908.64"/>
    <n v="0"/>
    <n v="45432"/>
    <x v="2"/>
    <n v="707.03"/>
    <n v="35351.5"/>
    <n v="306.52"/>
    <n v="267.73"/>
    <n v="3990.66"/>
    <n v="39916.410000000003"/>
    <n v="10080.5"/>
    <n v="5515.59"/>
    <s v="Paid"/>
    <n v="45432"/>
    <n v="0"/>
    <s v="Delivered"/>
    <x v="0"/>
    <x v="2"/>
    <x v="35"/>
    <x v="4"/>
    <n v="0.56000000000000005"/>
    <n v="5515.59"/>
    <n v="0.12140319598520867"/>
    <n v="0"/>
    <x v="0"/>
    <n v="7"/>
    <s v="July"/>
    <s v="2024-07"/>
  </r>
  <r>
    <s v="FZ01313"/>
    <n v="45662"/>
    <n v="45664"/>
    <x v="0"/>
    <n v="200"/>
    <n v="865.26"/>
    <n v="2.2799999999999998"/>
    <n v="169106.41"/>
    <x v="1"/>
    <n v="745.48"/>
    <n v="149096"/>
    <n v="3919.38"/>
    <n v="419.49"/>
    <n v="5389.89"/>
    <n v="158824.76"/>
    <n v="20010.41"/>
    <n v="10281.65"/>
    <s v="Paid"/>
    <n v="169106.41"/>
    <n v="0"/>
    <s v="Delivered"/>
    <x v="0"/>
    <x v="2"/>
    <x v="8"/>
    <x v="5"/>
    <n v="0.03"/>
    <n v="10281.65"/>
    <n v="6.0799883339726739E-2"/>
    <n v="0"/>
    <x v="1"/>
    <n v="1"/>
    <s v="January"/>
    <s v="2025-01"/>
  </r>
  <r>
    <s v="FZ01314"/>
    <n v="45356"/>
    <n v="45360"/>
    <x v="0"/>
    <n v="200"/>
    <n v="904.68"/>
    <n v="1.78"/>
    <n v="177715.34"/>
    <x v="2"/>
    <n v="700.83"/>
    <n v="140166"/>
    <n v="4140.8500000000004"/>
    <n v="1129.5999999999999"/>
    <n v="11591.43"/>
    <n v="157027.88"/>
    <n v="37549.339999999997"/>
    <n v="20687.46"/>
    <s v="Paid"/>
    <n v="177715.34"/>
    <n v="0"/>
    <s v="Delivered"/>
    <x v="2"/>
    <x v="1"/>
    <x v="21"/>
    <x v="0"/>
    <n v="0.81"/>
    <n v="20687.46"/>
    <n v="0.11640784639075051"/>
    <n v="0"/>
    <x v="0"/>
    <n v="3"/>
    <s v="March"/>
    <s v="2024-03"/>
  </r>
  <r>
    <s v="FZ01315"/>
    <n v="45351"/>
    <n v="45364"/>
    <x v="0"/>
    <n v="200"/>
    <n v="899.48"/>
    <n v="2.23"/>
    <n v="175884.32"/>
    <x v="1"/>
    <n v="748.1"/>
    <n v="149620"/>
    <n v="4400.01"/>
    <n v="734.26"/>
    <n v="1308.2"/>
    <n v="156062.47"/>
    <n v="26264.32"/>
    <n v="19821.849999999999"/>
    <s v="Unpaid"/>
    <n v="0"/>
    <n v="175884.32"/>
    <s v="Collected"/>
    <x v="3"/>
    <x v="4"/>
    <x v="31"/>
    <x v="1"/>
    <n v="0.47"/>
    <n v="19821.849999999999"/>
    <n v="0.11269822119447599"/>
    <n v="0"/>
    <x v="0"/>
    <n v="2"/>
    <s v="February"/>
    <s v="2024-02"/>
  </r>
  <r>
    <s v="FZ01316"/>
    <n v="45356"/>
    <n v="45368"/>
    <x v="0"/>
    <n v="1000"/>
    <n v="938.95"/>
    <n v="4.2300000000000004"/>
    <n v="899232.42"/>
    <x v="1"/>
    <n v="690.83"/>
    <n v="690830"/>
    <n v="16649.82"/>
    <n v="2741.87"/>
    <n v="6012.56"/>
    <n v="716234.25"/>
    <n v="208402.42"/>
    <n v="182998.17"/>
    <s v="Paid"/>
    <n v="899232.42"/>
    <n v="0"/>
    <s v="Delivered"/>
    <x v="4"/>
    <x v="3"/>
    <x v="27"/>
    <x v="2"/>
    <n v="1.58"/>
    <n v="182998.17"/>
    <n v="0.20350486251374256"/>
    <n v="0"/>
    <x v="0"/>
    <n v="3"/>
    <s v="March"/>
    <s v="2024-03"/>
  </r>
  <r>
    <s v="FZ01317"/>
    <n v="45791"/>
    <n v="45798"/>
    <x v="1"/>
    <n v="50"/>
    <n v="1281.56"/>
    <n v="1.31"/>
    <n v="63238.58"/>
    <x v="0"/>
    <n v="1002.97"/>
    <n v="50148.5"/>
    <n v="565.79"/>
    <n v="269.44"/>
    <n v="8839.1"/>
    <n v="59822.83"/>
    <n v="13090.08"/>
    <n v="3415.75"/>
    <s v="Paid"/>
    <n v="63238.58"/>
    <n v="0"/>
    <s v="Delivered"/>
    <x v="0"/>
    <x v="3"/>
    <x v="33"/>
    <x v="1"/>
    <n v="1.57"/>
    <n v="3415.75"/>
    <n v="5.4013704925063147E-2"/>
    <n v="0"/>
    <x v="1"/>
    <n v="5"/>
    <s v="May"/>
    <s v="2025-05"/>
  </r>
  <r>
    <s v="FZ01318"/>
    <n v="45976"/>
    <n v="45983"/>
    <x v="0"/>
    <n v="500"/>
    <n v="964.28"/>
    <n v="2.5099999999999998"/>
    <n v="470038.29"/>
    <x v="0"/>
    <n v="665.09"/>
    <n v="332545"/>
    <n v="4690.21"/>
    <n v="2354.41"/>
    <n v="8477.6200000000008"/>
    <n v="348067.24"/>
    <n v="137493.29"/>
    <n v="121971.05"/>
    <s v="Paid"/>
    <n v="470038.29"/>
    <n v="0"/>
    <s v="Delivered"/>
    <x v="0"/>
    <x v="1"/>
    <x v="25"/>
    <x v="3"/>
    <n v="0.72"/>
    <n v="121971.05"/>
    <n v="0.25949173204591486"/>
    <n v="0"/>
    <x v="1"/>
    <n v="11"/>
    <s v="November"/>
    <s v="2025-11"/>
  </r>
  <r>
    <s v="FZ01319"/>
    <n v="45779"/>
    <n v="45789"/>
    <x v="1"/>
    <n v="300"/>
    <n v="1269.55"/>
    <n v="2.14"/>
    <n v="372714.49"/>
    <x v="1"/>
    <n v="1029.18"/>
    <n v="308754"/>
    <n v="4925.83"/>
    <n v="1719.85"/>
    <n v="2120.48"/>
    <n v="317520.15999999997"/>
    <n v="63960.49"/>
    <n v="55194.33"/>
    <s v="Paid"/>
    <n v="372714.49"/>
    <n v="0"/>
    <s v="Delivered"/>
    <x v="0"/>
    <x v="0"/>
    <x v="13"/>
    <x v="5"/>
    <n v="1.61"/>
    <n v="55194.33"/>
    <n v="0.1480874274568719"/>
    <n v="0"/>
    <x v="1"/>
    <n v="5"/>
    <s v="May"/>
    <s v="2025-05"/>
  </r>
  <r>
    <s v="FZ01320"/>
    <n v="45459"/>
    <n v="45470"/>
    <x v="3"/>
    <n v="1000"/>
    <n v="937.78"/>
    <n v="2.2400000000000002"/>
    <n v="916773.73"/>
    <x v="2"/>
    <n v="738.85"/>
    <n v="738850"/>
    <n v="8668.7900000000009"/>
    <n v="2147.15"/>
    <n v="6070.33"/>
    <n v="755736.27"/>
    <n v="177923.73"/>
    <n v="161037.46"/>
    <s v="Paid"/>
    <n v="916773.73"/>
    <n v="0"/>
    <s v="Collected"/>
    <x v="0"/>
    <x v="2"/>
    <x v="30"/>
    <x v="0"/>
    <n v="2.25"/>
    <n v="161037.46"/>
    <n v="0.17565671302557939"/>
    <n v="0"/>
    <x v="0"/>
    <n v="6"/>
    <s v="June"/>
    <s v="2024-06"/>
  </r>
  <r>
    <s v="FZ01321"/>
    <n v="45864"/>
    <n v="45868"/>
    <x v="0"/>
    <n v="200"/>
    <n v="901.59"/>
    <n v="0.24"/>
    <n v="179885.24"/>
    <x v="1"/>
    <n v="684.44"/>
    <n v="136888"/>
    <n v="1836.96"/>
    <n v="1009.9"/>
    <n v="5665.78"/>
    <n v="145400.64000000001"/>
    <n v="42997.24"/>
    <n v="34484.6"/>
    <s v="Paid"/>
    <n v="179885.24"/>
    <n v="0"/>
    <s v="Collected"/>
    <x v="3"/>
    <x v="2"/>
    <x v="7"/>
    <x v="5"/>
    <n v="1.4"/>
    <n v="34484.6"/>
    <n v="0.19170333263585163"/>
    <n v="0"/>
    <x v="1"/>
    <n v="7"/>
    <s v="July"/>
    <s v="2025-07"/>
  </r>
  <r>
    <s v="FZ01322"/>
    <n v="45961"/>
    <n v="45972"/>
    <x v="3"/>
    <n v="300"/>
    <n v="1043.1199999999999"/>
    <n v="1.32"/>
    <n v="308805.24"/>
    <x v="1"/>
    <n v="815.5"/>
    <n v="244650"/>
    <n v="5888.67"/>
    <n v="1772.76"/>
    <n v="2897.84"/>
    <n v="255209.27"/>
    <n v="64155.24"/>
    <n v="53595.97"/>
    <s v="Paid"/>
    <n v="308805.24"/>
    <n v="0"/>
    <s v="Delivered"/>
    <x v="0"/>
    <x v="1"/>
    <x v="11"/>
    <x v="5"/>
    <n v="7.0000000000000007E-2"/>
    <n v="53595.97"/>
    <n v="0.1735591339058884"/>
    <n v="0"/>
    <x v="1"/>
    <n v="10"/>
    <s v="October"/>
    <s v="2025-10"/>
  </r>
  <r>
    <s v="FZ01323"/>
    <n v="45973"/>
    <n v="45978"/>
    <x v="4"/>
    <n v="750"/>
    <n v="3089.7"/>
    <n v="4.0999999999999996"/>
    <n v="2222266.7200000002"/>
    <x v="2"/>
    <n v="2248.9899999999998"/>
    <n v="1686742.5"/>
    <n v="4123.22"/>
    <n v="1126.32"/>
    <n v="11304.86"/>
    <n v="1703296.9"/>
    <n v="535524.22"/>
    <n v="518969.82"/>
    <s v="Unpaid"/>
    <n v="0"/>
    <n v="2222266.7200000002"/>
    <s v="Delivered"/>
    <x v="5"/>
    <x v="2"/>
    <x v="14"/>
    <x v="1"/>
    <n v="1.18"/>
    <n v="518969.82"/>
    <n v="0.23353174276038294"/>
    <n v="0"/>
    <x v="1"/>
    <n v="11"/>
    <s v="November"/>
    <s v="2025-11"/>
  </r>
  <r>
    <s v="FZ01324"/>
    <n v="45756"/>
    <n v="45758"/>
    <x v="1"/>
    <n v="500"/>
    <n v="1384.81"/>
    <n v="3.55"/>
    <n v="667824.62"/>
    <x v="2"/>
    <n v="976.18"/>
    <n v="488090"/>
    <n v="11541.29"/>
    <n v="778.02"/>
    <n v="2249.46"/>
    <n v="502658.77"/>
    <n v="179734.62"/>
    <n v="165165.85"/>
    <s v="Paid"/>
    <n v="667824.62"/>
    <n v="0"/>
    <s v="Delivered"/>
    <x v="2"/>
    <x v="1"/>
    <x v="13"/>
    <x v="5"/>
    <n v="0.17"/>
    <n v="165165.85"/>
    <n v="0.24731919886391732"/>
    <n v="0"/>
    <x v="1"/>
    <n v="4"/>
    <s v="April"/>
    <s v="2025-04"/>
  </r>
  <r>
    <s v="FZ01325"/>
    <n v="45745"/>
    <n v="45758"/>
    <x v="0"/>
    <n v="100"/>
    <n v="862.76"/>
    <n v="2.2000000000000002"/>
    <n v="84377.93"/>
    <x v="1"/>
    <n v="714.88"/>
    <n v="71488"/>
    <n v="1339.52"/>
    <n v="498.47"/>
    <n v="6840.19"/>
    <n v="80166.179999999993"/>
    <n v="12889.93"/>
    <n v="4211.75"/>
    <s v="Paid"/>
    <n v="84377.93"/>
    <n v="0"/>
    <s v="Collected"/>
    <x v="1"/>
    <x v="1"/>
    <x v="22"/>
    <x v="5"/>
    <n v="2.1800000000000002"/>
    <n v="4211.75"/>
    <n v="4.9915303681898816E-2"/>
    <n v="0"/>
    <x v="1"/>
    <n v="3"/>
    <s v="March"/>
    <s v="2025-03"/>
  </r>
  <r>
    <s v="FZ01326"/>
    <n v="46000"/>
    <n v="46005"/>
    <x v="0"/>
    <n v="200"/>
    <n v="867.34"/>
    <n v="2.13"/>
    <n v="169773.13"/>
    <x v="3"/>
    <n v="650.38"/>
    <n v="130076"/>
    <n v="1488.94"/>
    <n v="457.5"/>
    <n v="7968.73"/>
    <n v="139991.17000000001"/>
    <n v="39697.129999999997"/>
    <n v="29781.96"/>
    <s v="Paid"/>
    <n v="169773.13"/>
    <n v="0"/>
    <s v="Delivered"/>
    <x v="1"/>
    <x v="1"/>
    <x v="7"/>
    <x v="5"/>
    <n v="1.63"/>
    <n v="29781.96"/>
    <n v="0.17542210595987714"/>
    <n v="0"/>
    <x v="1"/>
    <n v="12"/>
    <s v="December"/>
    <s v="2025-12"/>
  </r>
  <r>
    <s v="FZ01327"/>
    <n v="45562"/>
    <n v="45564"/>
    <x v="0"/>
    <n v="100"/>
    <n v="893.72"/>
    <n v="0.53"/>
    <n v="88898.33"/>
    <x v="1"/>
    <n v="731.02"/>
    <n v="73102"/>
    <n v="1190.95"/>
    <n v="565.79999999999995"/>
    <n v="2729.03"/>
    <n v="77587.78"/>
    <n v="15796.33"/>
    <n v="11310.55"/>
    <s v="Paid"/>
    <n v="88898.33"/>
    <n v="0"/>
    <s v="Delivered"/>
    <x v="4"/>
    <x v="3"/>
    <x v="19"/>
    <x v="4"/>
    <n v="0.17"/>
    <n v="11310.55"/>
    <n v="0.12723017406513709"/>
    <n v="0"/>
    <x v="0"/>
    <n v="9"/>
    <s v="September"/>
    <s v="2024-09"/>
  </r>
  <r>
    <s v="FZ01328"/>
    <n v="45431"/>
    <n v="45432"/>
    <x v="1"/>
    <n v="100"/>
    <n v="1256.3800000000001"/>
    <n v="2.0499999999999998"/>
    <n v="123062.42"/>
    <x v="1"/>
    <n v="989.06"/>
    <n v="98906"/>
    <n v="2280.23"/>
    <n v="477.22"/>
    <n v="6316.79"/>
    <n v="107980.24"/>
    <n v="24156.42"/>
    <n v="15082.18"/>
    <s v="Paid"/>
    <n v="123062.42"/>
    <n v="0"/>
    <s v="Collected"/>
    <x v="0"/>
    <x v="1"/>
    <x v="0"/>
    <x v="0"/>
    <n v="1.93"/>
    <n v="15082.18"/>
    <n v="0.12255715432867322"/>
    <n v="0"/>
    <x v="0"/>
    <n v="5"/>
    <s v="May"/>
    <s v="2024-05"/>
  </r>
  <r>
    <s v="FZ01329"/>
    <n v="45470"/>
    <n v="45479"/>
    <x v="0"/>
    <n v="250"/>
    <n v="869.96"/>
    <n v="1.42"/>
    <n v="214401.64"/>
    <x v="2"/>
    <n v="650.09"/>
    <n v="162522.5"/>
    <n v="3088.12"/>
    <n v="925.09"/>
    <n v="9581.0499999999993"/>
    <n v="176116.76"/>
    <n v="51879.14"/>
    <n v="38284.879999999997"/>
    <s v="Paid"/>
    <n v="214401.64"/>
    <n v="0"/>
    <s v="Delivered"/>
    <x v="0"/>
    <x v="2"/>
    <x v="28"/>
    <x v="4"/>
    <n v="1.43"/>
    <n v="38284.879999999997"/>
    <n v="0.17856617141547981"/>
    <n v="0"/>
    <x v="0"/>
    <n v="6"/>
    <s v="June"/>
    <s v="2024-06"/>
  </r>
  <r>
    <s v="FZ01330"/>
    <n v="45985"/>
    <n v="45987"/>
    <x v="0"/>
    <n v="200"/>
    <n v="904.25"/>
    <n v="1.49"/>
    <n v="178155.34"/>
    <x v="2"/>
    <n v="713.89"/>
    <n v="142778"/>
    <n v="2171.7800000000002"/>
    <n v="1189.6400000000001"/>
    <n v="7873.93"/>
    <n v="154013.35"/>
    <n v="35377.339999999997"/>
    <n v="24141.99"/>
    <s v="Paid"/>
    <n v="178155.34"/>
    <n v="0"/>
    <s v="Delivered"/>
    <x v="2"/>
    <x v="4"/>
    <x v="11"/>
    <x v="5"/>
    <n v="0.26"/>
    <n v="24141.99"/>
    <n v="0.13551089739998814"/>
    <n v="0"/>
    <x v="1"/>
    <n v="11"/>
    <s v="November"/>
    <s v="2025-11"/>
  </r>
  <r>
    <s v="FZ01331"/>
    <n v="45918"/>
    <n v="45919"/>
    <x v="1"/>
    <n v="100"/>
    <n v="1340.11"/>
    <n v="0.53"/>
    <n v="133300.74"/>
    <x v="1"/>
    <n v="1053.0999999999999"/>
    <n v="105310"/>
    <n v="1849.29"/>
    <n v="400.06"/>
    <n v="5856.66"/>
    <n v="113416.01"/>
    <n v="27990.74"/>
    <n v="19884.73"/>
    <s v="Paid"/>
    <n v="133300.74"/>
    <n v="0"/>
    <s v="Delivered"/>
    <x v="3"/>
    <x v="1"/>
    <x v="25"/>
    <x v="3"/>
    <n v="1.69"/>
    <n v="19884.73"/>
    <n v="0.14917194008075274"/>
    <n v="0"/>
    <x v="1"/>
    <n v="9"/>
    <s v="September"/>
    <s v="2025-09"/>
  </r>
  <r>
    <s v="FZ01332"/>
    <n v="45509"/>
    <n v="45518"/>
    <x v="1"/>
    <n v="150"/>
    <n v="1326.85"/>
    <n v="0.23"/>
    <n v="198569.74"/>
    <x v="2"/>
    <n v="982.02"/>
    <n v="147303"/>
    <n v="3515.97"/>
    <n v="486.59"/>
    <n v="827.87"/>
    <n v="152133.43"/>
    <n v="51266.74"/>
    <n v="46436.31"/>
    <s v="Paid"/>
    <n v="198569.74"/>
    <n v="0"/>
    <s v="Delivered"/>
    <x v="0"/>
    <x v="0"/>
    <x v="15"/>
    <x v="3"/>
    <n v="0.01"/>
    <n v="46436.31"/>
    <n v="0.2338539094627409"/>
    <n v="0"/>
    <x v="0"/>
    <n v="8"/>
    <s v="August"/>
    <s v="2024-08"/>
  </r>
  <r>
    <s v="FZ01333"/>
    <n v="45373"/>
    <n v="45374"/>
    <x v="1"/>
    <n v="300"/>
    <n v="1264.3599999999999"/>
    <n v="2.11"/>
    <n v="371304.6"/>
    <x v="1"/>
    <n v="1025.49"/>
    <n v="307647"/>
    <n v="5030.08"/>
    <n v="1157.5"/>
    <n v="11039.52"/>
    <n v="324874.09999999998"/>
    <n v="63657.599999999999"/>
    <n v="46430.5"/>
    <s v="Part-paid"/>
    <n v="162845.06"/>
    <n v="208459.54"/>
    <s v="Collected"/>
    <x v="3"/>
    <x v="1"/>
    <x v="22"/>
    <x v="5"/>
    <n v="0.35"/>
    <n v="46430.5"/>
    <n v="0.12504692912503643"/>
    <n v="0"/>
    <x v="0"/>
    <n v="3"/>
    <s v="March"/>
    <s v="2024-03"/>
  </r>
  <r>
    <s v="FZ01334"/>
    <n v="46007"/>
    <n v="46008"/>
    <x v="0"/>
    <n v="500"/>
    <n v="898.41"/>
    <n v="4.1399999999999997"/>
    <n v="430607.91"/>
    <x v="1"/>
    <n v="702.38"/>
    <n v="351190"/>
    <n v="11973.99"/>
    <n v="2906.85"/>
    <n v="3745.97"/>
    <n v="369816.81"/>
    <n v="79417.91"/>
    <n v="60791.1"/>
    <s v="Unpaid"/>
    <n v="0"/>
    <n v="430607.91"/>
    <s v="Delivered"/>
    <x v="5"/>
    <x v="0"/>
    <x v="13"/>
    <x v="5"/>
    <n v="2.3199999999999998"/>
    <n v="60791.1"/>
    <n v="0.14117506573439398"/>
    <n v="0"/>
    <x v="1"/>
    <n v="12"/>
    <s v="December"/>
    <s v="2025-12"/>
  </r>
  <r>
    <s v="FZ01335"/>
    <n v="45331"/>
    <n v="45332"/>
    <x v="3"/>
    <n v="500"/>
    <n v="896.09"/>
    <n v="1.53"/>
    <n v="441189.91"/>
    <x v="2"/>
    <n v="746.92"/>
    <n v="373460"/>
    <n v="9608.11"/>
    <n v="2224.39"/>
    <n v="1180.7"/>
    <n v="386473.2"/>
    <n v="67729.91"/>
    <n v="54716.71"/>
    <s v="Paid"/>
    <n v="441189.91"/>
    <n v="0"/>
    <s v="Delivered"/>
    <x v="0"/>
    <x v="3"/>
    <x v="8"/>
    <x v="5"/>
    <n v="0.02"/>
    <n v="54716.71"/>
    <n v="0.12402076466345298"/>
    <n v="0"/>
    <x v="0"/>
    <n v="2"/>
    <s v="February"/>
    <s v="2024-02"/>
  </r>
  <r>
    <s v="FZ01336"/>
    <n v="45454"/>
    <n v="45467"/>
    <x v="3"/>
    <n v="300"/>
    <n v="990.66"/>
    <n v="1.87"/>
    <n v="291640.40000000002"/>
    <x v="0"/>
    <n v="775.4"/>
    <n v="232620"/>
    <n v="5030.4799999999996"/>
    <n v="1272.21"/>
    <n v="7521.42"/>
    <n v="246444.11"/>
    <n v="59020.4"/>
    <n v="45196.29"/>
    <s v="Part-paid"/>
    <n v="218815.74"/>
    <n v="72824.66"/>
    <s v="Collected"/>
    <x v="0"/>
    <x v="3"/>
    <x v="7"/>
    <x v="5"/>
    <n v="2.0499999999999998"/>
    <n v="45196.29"/>
    <n v="0.15497266496685644"/>
    <n v="0"/>
    <x v="0"/>
    <n v="6"/>
    <s v="June"/>
    <s v="2024-06"/>
  </r>
  <r>
    <s v="FZ01337"/>
    <n v="45599"/>
    <n v="45613"/>
    <x v="0"/>
    <n v="50"/>
    <n v="890.99"/>
    <n v="1.45"/>
    <n v="43903.53"/>
    <x v="1"/>
    <n v="696.08"/>
    <n v="34804"/>
    <n v="1180.27"/>
    <n v="126.87"/>
    <n v="3054.55"/>
    <n v="39165.69"/>
    <n v="9099.5300000000007"/>
    <n v="4737.84"/>
    <s v="Paid"/>
    <n v="43903.53"/>
    <n v="0"/>
    <s v="Delivered"/>
    <x v="4"/>
    <x v="0"/>
    <x v="11"/>
    <x v="5"/>
    <n v="0.76"/>
    <n v="4737.84"/>
    <n v="0.10791478498425981"/>
    <n v="0"/>
    <x v="0"/>
    <n v="11"/>
    <s v="November"/>
    <s v="2024-11"/>
  </r>
  <r>
    <s v="FZ01338"/>
    <n v="45701"/>
    <n v="45709"/>
    <x v="1"/>
    <n v="100"/>
    <n v="1192.4100000000001"/>
    <n v="2.2999999999999998"/>
    <n v="116498.46"/>
    <x v="2"/>
    <n v="1088.47"/>
    <n v="108847"/>
    <n v="695"/>
    <n v="483.12"/>
    <n v="377.3"/>
    <n v="110402.42"/>
    <n v="7651.46"/>
    <n v="6096.04"/>
    <s v="Part-paid"/>
    <n v="30003.95"/>
    <n v="86494.51"/>
    <s v="Delivered"/>
    <x v="0"/>
    <x v="2"/>
    <x v="10"/>
    <x v="5"/>
    <n v="0.34"/>
    <n v="6096.04"/>
    <n v="5.2327215312545756E-2"/>
    <n v="0"/>
    <x v="1"/>
    <n v="2"/>
    <s v="February"/>
    <s v="2025-02"/>
  </r>
  <r>
    <s v="FZ01339"/>
    <n v="45777"/>
    <m/>
    <x v="0"/>
    <n v="50"/>
    <n v="823.94"/>
    <n v="0.08"/>
    <n v="41164.04"/>
    <x v="3"/>
    <n v="707.07"/>
    <n v="35353.5"/>
    <n v="1009.95"/>
    <n v="185.14"/>
    <n v="7962.38"/>
    <n v="44510.97"/>
    <n v="5810.54"/>
    <n v="-3346.93"/>
    <s v="Unpaid"/>
    <n v="0"/>
    <n v="41164.04"/>
    <s v="Pending"/>
    <x v="4"/>
    <x v="1"/>
    <x v="11"/>
    <x v="5"/>
    <n v="1.48"/>
    <n v="-3346.93"/>
    <n v="-8.1307131175657188E-2"/>
    <n v="0"/>
    <x v="1"/>
    <n v="4"/>
    <s v="April"/>
    <s v="2025-04"/>
  </r>
  <r>
    <s v="FZ01340"/>
    <n v="45950"/>
    <n v="45954"/>
    <x v="0"/>
    <n v="250"/>
    <n v="951.07"/>
    <n v="1.6"/>
    <n v="233963.22"/>
    <x v="0"/>
    <n v="711.64"/>
    <n v="177910"/>
    <n v="4877.21"/>
    <n v="1236.4000000000001"/>
    <n v="10332.77"/>
    <n v="194356.38"/>
    <n v="56053.22"/>
    <n v="39606.839999999997"/>
    <s v="Unpaid"/>
    <n v="0"/>
    <n v="233963.22"/>
    <s v="Collected"/>
    <x v="1"/>
    <x v="4"/>
    <x v="20"/>
    <x v="2"/>
    <n v="1.66"/>
    <n v="39606.839999999997"/>
    <n v="0.16928660838229187"/>
    <n v="0"/>
    <x v="1"/>
    <n v="10"/>
    <s v="October"/>
    <s v="2025-10"/>
  </r>
  <r>
    <s v="FZ01341"/>
    <n v="45616"/>
    <n v="45624"/>
    <x v="3"/>
    <n v="1000"/>
    <n v="977.63"/>
    <n v="0.82"/>
    <n v="969613.43"/>
    <x v="1"/>
    <n v="790.09"/>
    <n v="790090"/>
    <n v="18763.759999999998"/>
    <n v="4314.8"/>
    <n v="11142.11"/>
    <n v="824310.67"/>
    <n v="179523.43"/>
    <n v="145302.76"/>
    <s v="Paid"/>
    <n v="969613.43"/>
    <n v="0"/>
    <s v="Collected"/>
    <x v="0"/>
    <x v="4"/>
    <x v="11"/>
    <x v="5"/>
    <n v="2.2599999999999998"/>
    <n v="145302.76"/>
    <n v="0.1498563814240898"/>
    <n v="0"/>
    <x v="0"/>
    <n v="11"/>
    <s v="November"/>
    <s v="2024-11"/>
  </r>
  <r>
    <s v="FZ01342"/>
    <n v="45354"/>
    <n v="45354"/>
    <x v="4"/>
    <n v="750"/>
    <n v="2962.62"/>
    <n v="3.7"/>
    <n v="2139752.2999999998"/>
    <x v="3"/>
    <n v="2145.0300000000002"/>
    <n v="1608772.5"/>
    <n v="9866.93"/>
    <n v="3607.01"/>
    <n v="9692.2000000000007"/>
    <n v="1631938.64"/>
    <n v="530979.80000000005"/>
    <n v="507813.66"/>
    <s v="Paid"/>
    <n v="2139752.2999999998"/>
    <n v="0"/>
    <s v="Delivered"/>
    <x v="3"/>
    <x v="2"/>
    <x v="13"/>
    <x v="5"/>
    <n v="1.28"/>
    <n v="507813.66"/>
    <n v="0.2373235724527554"/>
    <n v="0"/>
    <x v="0"/>
    <n v="3"/>
    <s v="March"/>
    <s v="2024-03"/>
  </r>
  <r>
    <s v="FZ01343"/>
    <n v="45389"/>
    <n v="45395"/>
    <x v="0"/>
    <n v="150"/>
    <n v="934.27"/>
    <n v="1.81"/>
    <n v="137603.96"/>
    <x v="1"/>
    <n v="717.57"/>
    <n v="107635.5"/>
    <n v="1440.46"/>
    <n v="394.05"/>
    <n v="7008.41"/>
    <n v="116478.42"/>
    <n v="29968.46"/>
    <n v="21125.54"/>
    <s v="Part-paid"/>
    <n v="58600.92"/>
    <n v="79003.039999999994"/>
    <s v="Delivered"/>
    <x v="1"/>
    <x v="4"/>
    <x v="22"/>
    <x v="5"/>
    <n v="0.32"/>
    <n v="21125.54"/>
    <n v="0.15352421543682321"/>
    <n v="0"/>
    <x v="0"/>
    <n v="4"/>
    <s v="April"/>
    <s v="2024-04"/>
  </r>
  <r>
    <s v="FZ01344"/>
    <n v="45894"/>
    <n v="45896"/>
    <x v="0"/>
    <n v="200"/>
    <n v="913.45"/>
    <n v="1.92"/>
    <n v="179182.35"/>
    <x v="1"/>
    <n v="745.16"/>
    <n v="149032"/>
    <n v="3608.05"/>
    <n v="323.7"/>
    <n v="1909.2"/>
    <n v="154872.95000000001"/>
    <n v="30150.35"/>
    <n v="24309.4"/>
    <s v="Part-paid"/>
    <n v="108619.84"/>
    <n v="70562.509999999995"/>
    <s v="Delivered"/>
    <x v="3"/>
    <x v="4"/>
    <x v="21"/>
    <x v="0"/>
    <n v="0.52"/>
    <n v="24309.4"/>
    <n v="0.13566849636696918"/>
    <n v="0"/>
    <x v="1"/>
    <n v="8"/>
    <s v="August"/>
    <s v="2025-08"/>
  </r>
  <r>
    <s v="FZ01345"/>
    <n v="45745"/>
    <n v="45757"/>
    <x v="1"/>
    <n v="200"/>
    <n v="1273.68"/>
    <n v="1.73"/>
    <n v="250329.07"/>
    <x v="3"/>
    <n v="1009.28"/>
    <n v="201856"/>
    <n v="3801.04"/>
    <n v="704.59"/>
    <n v="1690.48"/>
    <n v="208052.11"/>
    <n v="48473.07"/>
    <n v="42276.959999999999"/>
    <s v="Paid"/>
    <n v="250329.07"/>
    <n v="0"/>
    <s v="Collected"/>
    <x v="0"/>
    <x v="2"/>
    <x v="32"/>
    <x v="0"/>
    <n v="0.14000000000000001"/>
    <n v="42276.959999999999"/>
    <n v="0.16888553934227454"/>
    <n v="0"/>
    <x v="1"/>
    <n v="3"/>
    <s v="March"/>
    <s v="2025-03"/>
  </r>
  <r>
    <s v="FZ01346"/>
    <n v="45769"/>
    <n v="45774"/>
    <x v="0"/>
    <n v="1000"/>
    <n v="905.25"/>
    <n v="0.9"/>
    <n v="897102.75"/>
    <x v="1"/>
    <n v="703.82"/>
    <n v="703820"/>
    <n v="23002.7"/>
    <n v="4083.8"/>
    <n v="10377.42"/>
    <n v="741283.92"/>
    <n v="193282.75"/>
    <n v="155818.82999999999"/>
    <s v="Paid"/>
    <n v="897102.75"/>
    <n v="0"/>
    <s v="Delivered"/>
    <x v="2"/>
    <x v="0"/>
    <x v="1"/>
    <x v="1"/>
    <n v="2.08"/>
    <n v="155818.82999999999"/>
    <n v="0.17369117417152047"/>
    <n v="0"/>
    <x v="1"/>
    <n v="4"/>
    <s v="April"/>
    <s v="2025-04"/>
  </r>
  <r>
    <s v="FZ01347"/>
    <n v="45324"/>
    <n v="45333"/>
    <x v="0"/>
    <n v="500"/>
    <n v="891.89"/>
    <n v="2.6"/>
    <n v="434350.43"/>
    <x v="2"/>
    <n v="718.39"/>
    <n v="359195"/>
    <n v="10844.63"/>
    <n v="1415.71"/>
    <n v="557.66"/>
    <n v="372013"/>
    <n v="75155.429999999993"/>
    <n v="62337.43"/>
    <s v="Paid"/>
    <n v="434350.43"/>
    <n v="0"/>
    <s v="Collected"/>
    <x v="2"/>
    <x v="4"/>
    <x v="13"/>
    <x v="5"/>
    <n v="1.02"/>
    <n v="62337.43"/>
    <n v="0.14351874821443139"/>
    <n v="0"/>
    <x v="0"/>
    <n v="2"/>
    <s v="February"/>
    <s v="2024-02"/>
  </r>
  <r>
    <s v="FZ01348"/>
    <n v="45957"/>
    <n v="45969"/>
    <x v="1"/>
    <n v="1000"/>
    <n v="1302.5899999999999"/>
    <n v="2.81"/>
    <n v="1265987.22"/>
    <x v="2"/>
    <n v="1015.55"/>
    <n v="1015550"/>
    <n v="12003.85"/>
    <n v="4614.8999999999996"/>
    <n v="308.95999999999998"/>
    <n v="1032477.71"/>
    <n v="250437.22"/>
    <n v="233509.51"/>
    <s v="Paid"/>
    <n v="1265987.22"/>
    <n v="0"/>
    <s v="Collected"/>
    <x v="0"/>
    <x v="2"/>
    <x v="34"/>
    <x v="4"/>
    <n v="0.47"/>
    <n v="233509.51"/>
    <n v="0.18444855233214758"/>
    <n v="0"/>
    <x v="1"/>
    <n v="10"/>
    <s v="October"/>
    <s v="2025-10"/>
  </r>
  <r>
    <s v="FZ01349"/>
    <n v="46007"/>
    <n v="46017"/>
    <x v="3"/>
    <n v="200"/>
    <n v="1044.31"/>
    <n v="2.06"/>
    <n v="204559.44"/>
    <x v="1"/>
    <n v="734.07"/>
    <n v="146814"/>
    <n v="3130.26"/>
    <n v="996.19"/>
    <n v="9311.11"/>
    <n v="160251.56"/>
    <n v="57745.440000000002"/>
    <n v="44307.88"/>
    <s v="Paid"/>
    <n v="204559.44"/>
    <n v="0"/>
    <s v="Delivered"/>
    <x v="2"/>
    <x v="1"/>
    <x v="6"/>
    <x v="2"/>
    <n v="0.31"/>
    <n v="44307.88"/>
    <n v="0.21660149245617799"/>
    <n v="0"/>
    <x v="1"/>
    <n v="12"/>
    <s v="December"/>
    <s v="2025-12"/>
  </r>
  <r>
    <s v="FZ01350"/>
    <n v="46004"/>
    <n v="46013"/>
    <x v="2"/>
    <n v="100"/>
    <n v="720.27"/>
    <n v="0.77"/>
    <n v="71472.39"/>
    <x v="0"/>
    <n v="572.55999999999995"/>
    <n v="57256"/>
    <n v="830.73"/>
    <n v="580.6"/>
    <n v="8716.42"/>
    <n v="67383.75"/>
    <n v="14216.39"/>
    <n v="4088.64"/>
    <s v="Paid"/>
    <n v="71472.39"/>
    <n v="0"/>
    <s v="Delivered"/>
    <x v="5"/>
    <x v="2"/>
    <x v="19"/>
    <x v="4"/>
    <n v="0.9"/>
    <n v="4088.64"/>
    <n v="5.7205866489143567E-2"/>
    <n v="0"/>
    <x v="1"/>
    <n v="12"/>
    <s v="December"/>
    <s v="2025-12"/>
  </r>
  <r>
    <s v="FZ01351"/>
    <n v="45407"/>
    <m/>
    <x v="0"/>
    <n v="250"/>
    <n v="853.85"/>
    <n v="1.17"/>
    <n v="210964.99"/>
    <x v="2"/>
    <n v="648.75"/>
    <n v="162187.5"/>
    <n v="5165.54"/>
    <n v="667.48"/>
    <n v="4846.96"/>
    <n v="172867.48"/>
    <n v="48777.49"/>
    <n v="38097.51"/>
    <s v="Paid"/>
    <n v="210964.99"/>
    <n v="0"/>
    <s v="Pending"/>
    <x v="1"/>
    <x v="4"/>
    <x v="8"/>
    <x v="5"/>
    <n v="2.14"/>
    <n v="38097.51"/>
    <n v="0.18058688316009214"/>
    <n v="0"/>
    <x v="0"/>
    <n v="4"/>
    <s v="April"/>
    <s v="2024-04"/>
  </r>
  <r>
    <s v="FZ01352"/>
    <n v="45651"/>
    <m/>
    <x v="1"/>
    <n v="750"/>
    <n v="1345.58"/>
    <n v="2.74"/>
    <n v="981533.33"/>
    <x v="1"/>
    <n v="996.28"/>
    <n v="747210"/>
    <n v="16581.830000000002"/>
    <n v="4360.04"/>
    <n v="2796.03"/>
    <n v="770947.9"/>
    <n v="234323.33"/>
    <n v="210585.43"/>
    <s v="Paid"/>
    <n v="981533.33"/>
    <n v="0"/>
    <s v="Pending"/>
    <x v="2"/>
    <x v="4"/>
    <x v="22"/>
    <x v="5"/>
    <n v="0.26"/>
    <n v="210585.43"/>
    <n v="0.2145474061487041"/>
    <n v="0"/>
    <x v="0"/>
    <n v="12"/>
    <s v="December"/>
    <s v="2024-12"/>
  </r>
  <r>
    <s v="FZ01353"/>
    <n v="45803"/>
    <n v="45814"/>
    <x v="0"/>
    <n v="200"/>
    <n v="913.09"/>
    <n v="2.4300000000000002"/>
    <n v="178180.38"/>
    <x v="1"/>
    <n v="667.61"/>
    <n v="133522"/>
    <n v="4471.6899999999996"/>
    <n v="1145.2"/>
    <n v="2186.8200000000002"/>
    <n v="141325.71"/>
    <n v="44658.38"/>
    <n v="36854.67"/>
    <s v="Paid"/>
    <n v="178180.38"/>
    <n v="0"/>
    <s v="Delivered"/>
    <x v="0"/>
    <x v="2"/>
    <x v="36"/>
    <x v="3"/>
    <n v="0.01"/>
    <n v="36854.67"/>
    <n v="0.20683910316051632"/>
    <n v="0"/>
    <x v="1"/>
    <n v="5"/>
    <s v="May"/>
    <s v="2025-05"/>
  </r>
  <r>
    <s v="FZ01354"/>
    <n v="45896"/>
    <n v="45903"/>
    <x v="0"/>
    <n v="500"/>
    <n v="872.69"/>
    <n v="3.49"/>
    <n v="421116.56"/>
    <x v="2"/>
    <n v="700.36"/>
    <n v="350180"/>
    <n v="7773.14"/>
    <n v="2972.04"/>
    <n v="9418.34"/>
    <n v="370343.52"/>
    <n v="70936.56"/>
    <n v="50773.04"/>
    <s v="Paid"/>
    <n v="421116.56"/>
    <n v="0"/>
    <s v="Collected"/>
    <x v="0"/>
    <x v="0"/>
    <x v="19"/>
    <x v="4"/>
    <n v="1"/>
    <n v="50773.04"/>
    <n v="0.12056766421154276"/>
    <n v="0"/>
    <x v="1"/>
    <n v="8"/>
    <s v="August"/>
    <s v="2025-08"/>
  </r>
  <r>
    <s v="FZ01355"/>
    <n v="45641"/>
    <n v="45651"/>
    <x v="0"/>
    <n v="50"/>
    <n v="923.28"/>
    <n v="0.16"/>
    <n v="46090.14"/>
    <x v="3"/>
    <n v="680.51"/>
    <n v="34025.5"/>
    <n v="638.11"/>
    <n v="121.47"/>
    <n v="7226.5"/>
    <n v="42011.58"/>
    <n v="12064.64"/>
    <n v="4078.56"/>
    <s v="Unpaid"/>
    <n v="0"/>
    <n v="46090.14"/>
    <s v="Delivered"/>
    <x v="5"/>
    <x v="4"/>
    <x v="23"/>
    <x v="4"/>
    <n v="1.92"/>
    <n v="4078.56"/>
    <n v="8.8490944050072309E-2"/>
    <n v="0"/>
    <x v="0"/>
    <n v="12"/>
    <s v="December"/>
    <s v="2024-12"/>
  </r>
  <r>
    <s v="FZ01356"/>
    <n v="45296"/>
    <n v="45296"/>
    <x v="0"/>
    <n v="200"/>
    <n v="855.11"/>
    <n v="2.39"/>
    <n v="166934.57"/>
    <x v="2"/>
    <n v="728.04"/>
    <n v="145608"/>
    <n v="1495.88"/>
    <n v="1006.21"/>
    <n v="9990.01"/>
    <n v="158100.1"/>
    <n v="21326.57"/>
    <n v="8834.4699999999993"/>
    <s v="Part-paid"/>
    <n v="77387.11"/>
    <n v="89547.46"/>
    <s v="Delivered"/>
    <x v="3"/>
    <x v="0"/>
    <x v="19"/>
    <x v="4"/>
    <n v="0.19"/>
    <n v="8834.4699999999993"/>
    <n v="5.292175251656981E-2"/>
    <n v="0"/>
    <x v="0"/>
    <n v="1"/>
    <s v="January"/>
    <s v="2024-01"/>
  </r>
  <r>
    <s v="FZ01357"/>
    <n v="45881"/>
    <n v="45883"/>
    <x v="0"/>
    <n v="100"/>
    <n v="917.26"/>
    <n v="0.46"/>
    <n v="91304.06"/>
    <x v="1"/>
    <n v="738.29"/>
    <n v="73829"/>
    <n v="1463.21"/>
    <n v="521.89"/>
    <n v="7065.52"/>
    <n v="82879.62"/>
    <n v="17475.060000000001"/>
    <n v="8424.44"/>
    <s v="Paid"/>
    <n v="91304.06"/>
    <n v="0"/>
    <s v="Collected"/>
    <x v="5"/>
    <x v="0"/>
    <x v="2"/>
    <x v="2"/>
    <n v="1.8"/>
    <n v="8424.44"/>
    <n v="9.2267967054258049E-2"/>
    <n v="0"/>
    <x v="1"/>
    <n v="8"/>
    <s v="August"/>
    <s v="2025-08"/>
  </r>
  <r>
    <s v="FZ01358"/>
    <n v="45903"/>
    <m/>
    <x v="1"/>
    <n v="200"/>
    <n v="1245.6099999999999"/>
    <n v="0.7"/>
    <n v="247378.15"/>
    <x v="0"/>
    <n v="1089.26"/>
    <n v="217852"/>
    <n v="4715.78"/>
    <n v="748.78"/>
    <n v="970.29"/>
    <n v="224286.85"/>
    <n v="29526.15"/>
    <n v="23091.3"/>
    <s v="Unpaid"/>
    <n v="0"/>
    <n v="247378.15"/>
    <s v="Pending"/>
    <x v="0"/>
    <x v="0"/>
    <x v="15"/>
    <x v="3"/>
    <n v="1.7"/>
    <n v="23091.3"/>
    <n v="9.3344137305578528E-2"/>
    <n v="0"/>
    <x v="1"/>
    <n v="9"/>
    <s v="September"/>
    <s v="2025-09"/>
  </r>
  <r>
    <s v="FZ01359"/>
    <n v="45519"/>
    <n v="45522"/>
    <x v="3"/>
    <n v="100"/>
    <n v="965.26"/>
    <n v="0.4"/>
    <n v="96139.9"/>
    <x v="0"/>
    <n v="736.77"/>
    <n v="73677"/>
    <n v="1910.84"/>
    <n v="228.33"/>
    <n v="2360.94"/>
    <n v="78177.11"/>
    <n v="22462.9"/>
    <n v="17962.79"/>
    <s v="Paid"/>
    <n v="96139.9"/>
    <n v="0"/>
    <s v="Delivered"/>
    <x v="5"/>
    <x v="1"/>
    <x v="2"/>
    <x v="2"/>
    <n v="1.06"/>
    <n v="17962.79"/>
    <n v="0.18684011529032174"/>
    <n v="0"/>
    <x v="0"/>
    <n v="8"/>
    <s v="August"/>
    <s v="2024-08"/>
  </r>
  <r>
    <s v="FZ01360"/>
    <n v="46013"/>
    <n v="46014"/>
    <x v="0"/>
    <n v="250"/>
    <n v="991.25"/>
    <n v="1.04"/>
    <n v="245235.25"/>
    <x v="3"/>
    <n v="657.51"/>
    <n v="164377.5"/>
    <n v="4362.3500000000004"/>
    <n v="486.59"/>
    <n v="5852.13"/>
    <n v="175078.57"/>
    <n v="80857.75"/>
    <n v="70156.679999999993"/>
    <s v="Paid"/>
    <n v="245235.25"/>
    <n v="0"/>
    <s v="Delivered"/>
    <x v="4"/>
    <x v="1"/>
    <x v="15"/>
    <x v="3"/>
    <n v="0.62"/>
    <n v="70156.679999999993"/>
    <n v="0.28607910159734373"/>
    <n v="0"/>
    <x v="1"/>
    <n v="12"/>
    <s v="December"/>
    <s v="2025-12"/>
  </r>
  <r>
    <s v="FZ01361"/>
    <n v="45454"/>
    <n v="45468"/>
    <x v="0"/>
    <n v="100"/>
    <n v="829.86"/>
    <n v="2.13"/>
    <n v="81218.399999999994"/>
    <x v="2"/>
    <n v="684.54"/>
    <n v="68454"/>
    <n v="2019.26"/>
    <n v="321.87"/>
    <n v="5917.65"/>
    <n v="76712.78"/>
    <n v="12764.4"/>
    <n v="4505.62"/>
    <s v="Paid"/>
    <n v="81218.399999999994"/>
    <n v="0"/>
    <s v="Collected"/>
    <x v="3"/>
    <x v="1"/>
    <x v="13"/>
    <x v="5"/>
    <n v="1.3"/>
    <n v="4505.62"/>
    <n v="5.5475360263191595E-2"/>
    <n v="0"/>
    <x v="0"/>
    <n v="6"/>
    <s v="June"/>
    <s v="2024-06"/>
  </r>
  <r>
    <s v="FZ01362"/>
    <n v="45602"/>
    <n v="45613"/>
    <x v="1"/>
    <n v="500"/>
    <n v="1410.14"/>
    <n v="1.7"/>
    <n v="693083.81"/>
    <x v="1"/>
    <n v="1008.09"/>
    <n v="504045"/>
    <n v="3145.73"/>
    <n v="1888.9"/>
    <n v="9216.85"/>
    <n v="518296.48"/>
    <n v="189038.81"/>
    <n v="174787.33"/>
    <s v="Paid"/>
    <n v="693083.81"/>
    <n v="0"/>
    <s v="Delivered"/>
    <x v="0"/>
    <x v="1"/>
    <x v="27"/>
    <x v="2"/>
    <n v="0.94"/>
    <n v="174787.33"/>
    <n v="0.25218787032408096"/>
    <n v="0"/>
    <x v="0"/>
    <n v="11"/>
    <s v="November"/>
    <s v="2024-11"/>
  </r>
  <r>
    <s v="FZ01363"/>
    <n v="45759"/>
    <m/>
    <x v="0"/>
    <n v="500"/>
    <n v="857.77"/>
    <n v="0.83"/>
    <n v="425325.25"/>
    <x v="1"/>
    <n v="663.26"/>
    <n v="331630"/>
    <n v="7017.19"/>
    <n v="784.23"/>
    <n v="4545.7"/>
    <n v="343977.12"/>
    <n v="93695.25"/>
    <n v="81348.13"/>
    <s v="Unpaid"/>
    <n v="0"/>
    <n v="425325.25"/>
    <s v="Pending"/>
    <x v="1"/>
    <x v="1"/>
    <x v="22"/>
    <x v="5"/>
    <n v="0.21"/>
    <n v="81348.13"/>
    <n v="0.19126099379239772"/>
    <n v="0"/>
    <x v="1"/>
    <n v="4"/>
    <s v="April"/>
    <s v="2025-04"/>
  </r>
  <r>
    <s v="FZ01364"/>
    <n v="45366"/>
    <n v="45380"/>
    <x v="0"/>
    <n v="250"/>
    <n v="917.1"/>
    <n v="0.88"/>
    <n v="227257.38"/>
    <x v="1"/>
    <n v="731.63"/>
    <n v="182907.5"/>
    <n v="5321.32"/>
    <n v="403.09"/>
    <n v="3149.45"/>
    <n v="191781.36"/>
    <n v="44349.88"/>
    <n v="35476.019999999997"/>
    <s v="Paid"/>
    <n v="227257.38"/>
    <n v="0"/>
    <s v="Delivered"/>
    <x v="2"/>
    <x v="1"/>
    <x v="14"/>
    <x v="1"/>
    <n v="0.3"/>
    <n v="35476.019999999997"/>
    <n v="0.1561050294604294"/>
    <n v="0"/>
    <x v="0"/>
    <n v="3"/>
    <s v="March"/>
    <s v="2024-03"/>
  </r>
  <r>
    <s v="FZ01365"/>
    <n v="45653"/>
    <m/>
    <x v="0"/>
    <n v="500"/>
    <n v="919.32"/>
    <n v="2.17"/>
    <n v="449685.38"/>
    <x v="2"/>
    <n v="682.76"/>
    <n v="341380"/>
    <n v="6383.96"/>
    <n v="1788.89"/>
    <n v="4931.5600000000004"/>
    <n v="354484.41"/>
    <n v="108305.38"/>
    <n v="95200.97"/>
    <s v="Part-paid"/>
    <n v="259998.12"/>
    <n v="189687.26"/>
    <s v="Pending"/>
    <x v="3"/>
    <x v="0"/>
    <x v="34"/>
    <x v="4"/>
    <n v="1.75"/>
    <n v="95200.97"/>
    <n v="0.21170572634582871"/>
    <n v="0"/>
    <x v="0"/>
    <n v="12"/>
    <s v="December"/>
    <s v="2024-12"/>
  </r>
  <r>
    <s v="FZ01366"/>
    <n v="45322"/>
    <m/>
    <x v="0"/>
    <n v="100"/>
    <n v="809.46"/>
    <n v="0.3"/>
    <n v="80703.16"/>
    <x v="1"/>
    <n v="718.59"/>
    <n v="71859"/>
    <n v="1035.71"/>
    <n v="452.86"/>
    <n v="1324.98"/>
    <n v="74672.55"/>
    <n v="8844.16"/>
    <n v="6030.61"/>
    <s v="Paid"/>
    <n v="80703.16"/>
    <n v="0"/>
    <s v="Pending"/>
    <x v="2"/>
    <x v="2"/>
    <x v="10"/>
    <x v="5"/>
    <n v="1.1000000000000001"/>
    <n v="6030.61"/>
    <n v="7.4725822384154469E-2"/>
    <n v="0"/>
    <x v="0"/>
    <n v="1"/>
    <s v="January"/>
    <s v="2024-01"/>
  </r>
  <r>
    <s v="FZ01367"/>
    <n v="45913"/>
    <n v="45924"/>
    <x v="0"/>
    <n v="150"/>
    <n v="852.29"/>
    <n v="0.48"/>
    <n v="127229.85"/>
    <x v="2"/>
    <n v="711.7"/>
    <n v="106755"/>
    <n v="1179.9000000000001"/>
    <n v="660.38"/>
    <n v="1025.6300000000001"/>
    <n v="109620.91"/>
    <n v="20474.849999999999"/>
    <n v="17608.939999999999"/>
    <s v="Paid"/>
    <n v="127229.85"/>
    <n v="0"/>
    <s v="Delivered"/>
    <x v="0"/>
    <x v="0"/>
    <x v="17"/>
    <x v="3"/>
    <n v="0.3"/>
    <n v="17608.939999999999"/>
    <n v="0.13840258398481173"/>
    <n v="0"/>
    <x v="1"/>
    <n v="9"/>
    <s v="September"/>
    <s v="2025-09"/>
  </r>
  <r>
    <s v="FZ01368"/>
    <n v="45867"/>
    <n v="45879"/>
    <x v="0"/>
    <n v="250"/>
    <n v="816.4"/>
    <n v="2.48"/>
    <n v="199038.32"/>
    <x v="1"/>
    <n v="662.45"/>
    <n v="165612.5"/>
    <n v="4980.21"/>
    <n v="1477.66"/>
    <n v="931.63"/>
    <n v="173002"/>
    <n v="33425.82"/>
    <n v="26036.32"/>
    <s v="Paid"/>
    <n v="199038.32"/>
    <n v="0"/>
    <s v="Delivered"/>
    <x v="4"/>
    <x v="1"/>
    <x v="18"/>
    <x v="3"/>
    <n v="0.9"/>
    <n v="26036.32"/>
    <n v="0.13081058963922124"/>
    <n v="0"/>
    <x v="1"/>
    <n v="7"/>
    <s v="July"/>
    <s v="2025-07"/>
  </r>
  <r>
    <s v="FZ01369"/>
    <n v="45466"/>
    <n v="45470"/>
    <x v="0"/>
    <n v="1200"/>
    <n v="820.88"/>
    <n v="2.38"/>
    <n v="961611.67"/>
    <x v="3"/>
    <n v="663.45"/>
    <n v="796140"/>
    <n v="28448.560000000001"/>
    <n v="2510.83"/>
    <n v="7670.11"/>
    <n v="834769.5"/>
    <n v="165471.67000000001"/>
    <n v="126842.17"/>
    <s v="Unpaid"/>
    <n v="0"/>
    <n v="961611.67"/>
    <s v="Delivered"/>
    <x v="1"/>
    <x v="3"/>
    <x v="10"/>
    <x v="5"/>
    <n v="1.33"/>
    <n v="126842.17"/>
    <n v="0.13190581391342723"/>
    <n v="0"/>
    <x v="0"/>
    <n v="6"/>
    <s v="June"/>
    <s v="2024-06"/>
  </r>
  <r>
    <s v="FZ01370"/>
    <n v="45913"/>
    <n v="45926"/>
    <x v="3"/>
    <n v="1200"/>
    <n v="940.33"/>
    <n v="3.34"/>
    <n v="1090707.57"/>
    <x v="2"/>
    <n v="818.46"/>
    <n v="982152"/>
    <n v="13241.72"/>
    <n v="2332.42"/>
    <n v="8339.4"/>
    <n v="1006065.54"/>
    <n v="108555.57"/>
    <n v="84642.03"/>
    <s v="Part-paid"/>
    <n v="732455.15"/>
    <n v="358252.42"/>
    <s v="Delivered"/>
    <x v="4"/>
    <x v="2"/>
    <x v="25"/>
    <x v="3"/>
    <n v="2.38"/>
    <n v="84642.03"/>
    <n v="7.7602862882853188E-2"/>
    <n v="0"/>
    <x v="1"/>
    <n v="9"/>
    <s v="September"/>
    <s v="2025-09"/>
  </r>
  <r>
    <s v="FZ01371"/>
    <n v="45475"/>
    <n v="45475"/>
    <x v="2"/>
    <n v="50"/>
    <n v="737.72"/>
    <n v="1.86"/>
    <n v="36199.919999999998"/>
    <x v="2"/>
    <n v="560.14"/>
    <n v="28007"/>
    <n v="373.04"/>
    <n v="211.2"/>
    <n v="6130.39"/>
    <n v="34721.629999999997"/>
    <n v="8192.92"/>
    <n v="1478.29"/>
    <s v="Paid"/>
    <n v="36199.919999999998"/>
    <n v="0"/>
    <s v="Delivered"/>
    <x v="1"/>
    <x v="4"/>
    <x v="17"/>
    <x v="3"/>
    <n v="0.52"/>
    <n v="1478.29"/>
    <n v="4.0836830578631113E-2"/>
    <n v="0"/>
    <x v="0"/>
    <n v="7"/>
    <s v="July"/>
    <s v="2024-07"/>
  </r>
  <r>
    <s v="FZ01372"/>
    <n v="46013"/>
    <n v="46020"/>
    <x v="0"/>
    <n v="150"/>
    <n v="881.04"/>
    <n v="0.41"/>
    <n v="131614.16"/>
    <x v="1"/>
    <n v="725.04"/>
    <n v="108756"/>
    <n v="3171.47"/>
    <n v="866.25"/>
    <n v="6039.74"/>
    <n v="118833.46"/>
    <n v="22858.16"/>
    <n v="12780.7"/>
    <s v="Paid"/>
    <n v="131614.16"/>
    <n v="0"/>
    <s v="Delivered"/>
    <x v="2"/>
    <x v="1"/>
    <x v="7"/>
    <x v="5"/>
    <n v="1.0900000000000001"/>
    <n v="12780.7"/>
    <n v="9.7107332524099227E-2"/>
    <n v="0"/>
    <x v="1"/>
    <n v="12"/>
    <s v="December"/>
    <s v="2025-12"/>
  </r>
  <r>
    <s v="FZ01373"/>
    <n v="45950"/>
    <n v="45950"/>
    <x v="4"/>
    <n v="750"/>
    <n v="3139.97"/>
    <n v="0.32"/>
    <n v="2347441.5699999998"/>
    <x v="3"/>
    <n v="2286.6799999999998"/>
    <n v="1715010"/>
    <n v="11187.37"/>
    <n v="3699.79"/>
    <n v="6703.68"/>
    <n v="1736600.84"/>
    <n v="632431.56999999995"/>
    <n v="610840.73"/>
    <s v="Paid"/>
    <n v="2347441.5699999998"/>
    <n v="0"/>
    <s v="Delivered"/>
    <x v="0"/>
    <x v="0"/>
    <x v="29"/>
    <x v="0"/>
    <n v="1.74"/>
    <n v="610840.73"/>
    <n v="0.26021552050814201"/>
    <n v="0"/>
    <x v="1"/>
    <n v="10"/>
    <s v="October"/>
    <s v="2025-10"/>
  </r>
  <r>
    <s v="FZ01374"/>
    <n v="45473"/>
    <n v="45473"/>
    <x v="0"/>
    <n v="100"/>
    <n v="806.57"/>
    <n v="0.87"/>
    <n v="79955.28"/>
    <x v="1"/>
    <n v="662.7"/>
    <n v="66270"/>
    <n v="2060.14"/>
    <n v="538.85"/>
    <n v="4235.1000000000004"/>
    <n v="73104.09"/>
    <n v="13685.28"/>
    <n v="6851.19"/>
    <s v="Part-paid"/>
    <n v="43323.89"/>
    <n v="36631.39"/>
    <s v="Delivered"/>
    <x v="2"/>
    <x v="0"/>
    <x v="22"/>
    <x v="5"/>
    <n v="1.34"/>
    <n v="6851.19"/>
    <n v="8.5687774465926445E-2"/>
    <n v="0"/>
    <x v="0"/>
    <n v="6"/>
    <s v="June"/>
    <s v="2024-06"/>
  </r>
  <r>
    <s v="FZ01375"/>
    <n v="45956"/>
    <n v="45960"/>
    <x v="1"/>
    <n v="50"/>
    <n v="1267.55"/>
    <n v="1.83"/>
    <n v="62217.69"/>
    <x v="0"/>
    <n v="1114.04"/>
    <n v="55702"/>
    <n v="552.65"/>
    <n v="196.84"/>
    <n v="5619.99"/>
    <n v="62071.48"/>
    <n v="6515.69"/>
    <n v="146.21"/>
    <s v="Paid"/>
    <n v="62217.69"/>
    <n v="0"/>
    <s v="Delivered"/>
    <x v="5"/>
    <x v="1"/>
    <x v="5"/>
    <x v="4"/>
    <n v="2.06"/>
    <n v="146.21"/>
    <n v="2.3499747419102189E-3"/>
    <n v="0"/>
    <x v="1"/>
    <n v="10"/>
    <s v="October"/>
    <s v="2025-10"/>
  </r>
  <r>
    <s v="FZ01376"/>
    <n v="45834"/>
    <n v="45844"/>
    <x v="0"/>
    <n v="1000"/>
    <n v="803.73"/>
    <n v="3.94"/>
    <n v="772063.04"/>
    <x v="2"/>
    <n v="661.35"/>
    <n v="661350"/>
    <n v="8652.91"/>
    <n v="4325.68"/>
    <n v="8535.25"/>
    <n v="682863.84"/>
    <n v="110713.04"/>
    <n v="89199.2"/>
    <s v="Part-paid"/>
    <n v="378770.45"/>
    <n v="393292.59"/>
    <s v="Collected"/>
    <x v="5"/>
    <x v="1"/>
    <x v="20"/>
    <x v="2"/>
    <n v="2.44"/>
    <n v="89199.2"/>
    <n v="0.11553357093741981"/>
    <n v="0"/>
    <x v="1"/>
    <n v="6"/>
    <s v="June"/>
    <s v="2025-06"/>
  </r>
  <r>
    <s v="FZ01377"/>
    <n v="45926"/>
    <m/>
    <x v="3"/>
    <n v="50"/>
    <n v="1028.8399999999999"/>
    <n v="0.84"/>
    <n v="0"/>
    <x v="1"/>
    <n v="762.83"/>
    <n v="0"/>
    <n v="0"/>
    <n v="0"/>
    <n v="0"/>
    <n v="0"/>
    <n v="0"/>
    <n v="0"/>
    <s v="Paid"/>
    <n v="0"/>
    <n v="0"/>
    <s v="Cancelled"/>
    <x v="0"/>
    <x v="1"/>
    <x v="13"/>
    <x v="5"/>
    <n v="2.44"/>
    <n v="0"/>
    <e v="#DIV/0!"/>
    <n v="0"/>
    <x v="1"/>
    <n v="9"/>
    <s v="September"/>
    <s v="2025-09"/>
  </r>
  <r>
    <s v="FZ01378"/>
    <n v="45303"/>
    <n v="45317"/>
    <x v="3"/>
    <n v="250"/>
    <n v="946.43"/>
    <n v="0.52"/>
    <n v="235377.14"/>
    <x v="1"/>
    <n v="765.09"/>
    <n v="191272.5"/>
    <n v="3599.37"/>
    <n v="1161.22"/>
    <n v="6407.44"/>
    <n v="202440.53"/>
    <n v="44104.639999999999"/>
    <n v="32936.61"/>
    <s v="Paid"/>
    <n v="235377.14"/>
    <n v="0"/>
    <s v="Delivered"/>
    <x v="0"/>
    <x v="0"/>
    <x v="22"/>
    <x v="5"/>
    <n v="0.5"/>
    <n v="32936.61"/>
    <n v="0.13993121846921922"/>
    <n v="0"/>
    <x v="0"/>
    <n v="1"/>
    <s v="January"/>
    <s v="2024-01"/>
  </r>
  <r>
    <s v="FZ01379"/>
    <n v="45374"/>
    <n v="45375"/>
    <x v="3"/>
    <n v="150"/>
    <n v="948.94"/>
    <n v="1.74"/>
    <n v="139864.26999999999"/>
    <x v="1"/>
    <n v="813.9"/>
    <n v="122085"/>
    <n v="1956"/>
    <n v="311.67"/>
    <n v="4841.38"/>
    <n v="129194.05"/>
    <n v="17779.27"/>
    <n v="10670.22"/>
    <s v="Paid"/>
    <n v="139864.26999999999"/>
    <n v="0"/>
    <s v="Delivered"/>
    <x v="3"/>
    <x v="1"/>
    <x v="6"/>
    <x v="2"/>
    <n v="1.82"/>
    <n v="10670.22"/>
    <n v="7.6289820123466842E-2"/>
    <n v="0"/>
    <x v="0"/>
    <n v="3"/>
    <s v="March"/>
    <s v="2024-03"/>
  </r>
  <r>
    <s v="FZ01380"/>
    <n v="45841"/>
    <n v="45855"/>
    <x v="0"/>
    <n v="500"/>
    <n v="825.28"/>
    <n v="0.13"/>
    <n v="412103.57"/>
    <x v="0"/>
    <n v="659.76"/>
    <n v="329880"/>
    <n v="9954.8700000000008"/>
    <n v="2440.54"/>
    <n v="4494.71"/>
    <n v="346770.12"/>
    <n v="82223.570000000007"/>
    <n v="65333.45"/>
    <s v="Paid"/>
    <n v="412103.57"/>
    <n v="0"/>
    <s v="Delivered"/>
    <x v="0"/>
    <x v="0"/>
    <x v="10"/>
    <x v="5"/>
    <n v="2.17"/>
    <n v="65333.45"/>
    <n v="0.15853648149662958"/>
    <n v="0"/>
    <x v="1"/>
    <n v="7"/>
    <s v="July"/>
    <s v="2025-07"/>
  </r>
  <r>
    <s v="FZ01381"/>
    <n v="45636"/>
    <n v="45638"/>
    <x v="0"/>
    <n v="500"/>
    <n v="874.05"/>
    <n v="3.58"/>
    <n v="421379.5"/>
    <x v="2"/>
    <n v="748.42"/>
    <n v="374210"/>
    <n v="6244.82"/>
    <n v="1542.18"/>
    <n v="7518.17"/>
    <n v="389515.17"/>
    <n v="47169.5"/>
    <n v="31864.33"/>
    <s v="Paid"/>
    <n v="421379.5"/>
    <n v="0"/>
    <s v="Delivered"/>
    <x v="0"/>
    <x v="0"/>
    <x v="9"/>
    <x v="1"/>
    <n v="2.2200000000000002"/>
    <n v="31864.33"/>
    <n v="7.561907971318016E-2"/>
    <n v="0"/>
    <x v="0"/>
    <n v="12"/>
    <s v="December"/>
    <s v="2024-12"/>
  </r>
  <r>
    <s v="FZ01382"/>
    <n v="45937"/>
    <m/>
    <x v="0"/>
    <n v="150"/>
    <n v="913.64"/>
    <n v="0.03"/>
    <n v="137004.89000000001"/>
    <x v="1"/>
    <n v="722.75"/>
    <n v="108412.5"/>
    <n v="1010.21"/>
    <n v="348.43"/>
    <n v="9444.9599999999991"/>
    <n v="119216.1"/>
    <n v="28592.39"/>
    <n v="17788.79"/>
    <s v="Paid"/>
    <n v="137004.89000000001"/>
    <n v="0"/>
    <s v="Pending"/>
    <x v="0"/>
    <x v="1"/>
    <x v="35"/>
    <x v="4"/>
    <n v="1.54"/>
    <n v="17788.79"/>
    <n v="0.12984054802715436"/>
    <n v="0"/>
    <x v="1"/>
    <n v="10"/>
    <s v="October"/>
    <s v="2025-10"/>
  </r>
  <r>
    <s v="FZ01383"/>
    <n v="45598"/>
    <n v="45599"/>
    <x v="3"/>
    <n v="250"/>
    <n v="999.96"/>
    <n v="1.62"/>
    <n v="245940.16"/>
    <x v="1"/>
    <n v="768.43"/>
    <n v="192107.5"/>
    <n v="3256.8"/>
    <n v="1291.0999999999999"/>
    <n v="5212.17"/>
    <n v="201867.57"/>
    <n v="53832.66"/>
    <n v="44072.59"/>
    <s v="Part-paid"/>
    <n v="130371.08"/>
    <n v="115569.08"/>
    <s v="Delivered"/>
    <x v="0"/>
    <x v="1"/>
    <x v="27"/>
    <x v="2"/>
    <n v="1.31"/>
    <n v="44072.59"/>
    <n v="0.17920046079501614"/>
    <n v="0"/>
    <x v="0"/>
    <n v="11"/>
    <s v="November"/>
    <s v="2024-11"/>
  </r>
  <r>
    <s v="FZ01384"/>
    <n v="45478"/>
    <m/>
    <x v="0"/>
    <n v="300"/>
    <n v="797.81"/>
    <n v="0.86"/>
    <n v="237284.65"/>
    <x v="1"/>
    <n v="705.55"/>
    <n v="211665"/>
    <n v="5852.87"/>
    <n v="1590.17"/>
    <n v="6991.67"/>
    <n v="226099.71"/>
    <n v="25619.65"/>
    <n v="11184.94"/>
    <s v="Paid"/>
    <n v="237284.65"/>
    <n v="0"/>
    <s v="Pending"/>
    <x v="3"/>
    <x v="1"/>
    <x v="21"/>
    <x v="0"/>
    <n v="2.25"/>
    <n v="11184.94"/>
    <n v="4.7137225269312619E-2"/>
    <n v="0"/>
    <x v="0"/>
    <n v="7"/>
    <s v="July"/>
    <s v="2024-07"/>
  </r>
  <r>
    <s v="FZ01385"/>
    <n v="45290"/>
    <n v="45300"/>
    <x v="3"/>
    <n v="1000"/>
    <n v="934.94"/>
    <n v="2.99"/>
    <n v="906985.29"/>
    <x v="2"/>
    <n v="817.42"/>
    <n v="817420"/>
    <n v="7506.17"/>
    <n v="3110.03"/>
    <n v="1874.3"/>
    <n v="829910.5"/>
    <n v="89565.29"/>
    <n v="77074.789999999994"/>
    <s v="Paid"/>
    <n v="906985.29"/>
    <n v="0"/>
    <s v="Delivered"/>
    <x v="3"/>
    <x v="2"/>
    <x v="4"/>
    <x v="1"/>
    <n v="2.2799999999999998"/>
    <n v="77074.789999999994"/>
    <n v="8.4979095967477034E-2"/>
    <n v="0"/>
    <x v="2"/>
    <n v="12"/>
    <s v="December"/>
    <s v="2023-12"/>
  </r>
  <r>
    <s v="FZ01386"/>
    <n v="45876"/>
    <n v="45879"/>
    <x v="1"/>
    <n v="50"/>
    <n v="1334.87"/>
    <n v="1.99"/>
    <n v="65415.3"/>
    <x v="1"/>
    <n v="1047.99"/>
    <n v="52399.5"/>
    <n v="311.45999999999998"/>
    <n v="148.68"/>
    <n v="7120.88"/>
    <n v="59980.52"/>
    <n v="13015.8"/>
    <n v="5434.78"/>
    <s v="Paid"/>
    <n v="65415.3"/>
    <n v="0"/>
    <s v="Delivered"/>
    <x v="2"/>
    <x v="0"/>
    <x v="11"/>
    <x v="5"/>
    <n v="2.08"/>
    <n v="5434.78"/>
    <n v="8.3081175199074209E-2"/>
    <n v="0"/>
    <x v="1"/>
    <n v="8"/>
    <s v="August"/>
    <s v="2025-08"/>
  </r>
  <r>
    <s v="FZ01387"/>
    <n v="45319"/>
    <n v="45333"/>
    <x v="0"/>
    <n v="500"/>
    <n v="894.73"/>
    <n v="3.7"/>
    <n v="430812.5"/>
    <x v="1"/>
    <n v="750.08"/>
    <n v="375040"/>
    <n v="4942.05"/>
    <n v="1260.98"/>
    <n v="5323.98"/>
    <n v="386567.01"/>
    <n v="55772.5"/>
    <n v="44245.49"/>
    <s v="Unpaid"/>
    <n v="0"/>
    <n v="430812.5"/>
    <s v="Delivered"/>
    <x v="3"/>
    <x v="1"/>
    <x v="12"/>
    <x v="2"/>
    <n v="2.15"/>
    <n v="44245.49"/>
    <n v="0.10270242855070361"/>
    <n v="0"/>
    <x v="0"/>
    <n v="1"/>
    <s v="January"/>
    <s v="2024-01"/>
  </r>
  <r>
    <s v="FZ01388"/>
    <n v="46005"/>
    <n v="46019"/>
    <x v="1"/>
    <n v="300"/>
    <n v="1375.56"/>
    <n v="0.45"/>
    <n v="410810.99"/>
    <x v="1"/>
    <n v="974.94"/>
    <n v="292482"/>
    <n v="4890.51"/>
    <n v="817.84"/>
    <n v="1526.83"/>
    <n v="299717.18"/>
    <n v="118328.99"/>
    <n v="111093.81"/>
    <s v="Paid"/>
    <n v="410810.99"/>
    <n v="0"/>
    <s v="Delivered"/>
    <x v="0"/>
    <x v="1"/>
    <x v="33"/>
    <x v="1"/>
    <n v="0.73"/>
    <n v="111093.81"/>
    <n v="0.27042560375514785"/>
    <n v="0"/>
    <x v="1"/>
    <n v="12"/>
    <s v="December"/>
    <s v="2025-12"/>
  </r>
  <r>
    <s v="FZ01389"/>
    <n v="45557"/>
    <m/>
    <x v="3"/>
    <n v="250"/>
    <n v="1027.17"/>
    <n v="0.32"/>
    <n v="255970.76"/>
    <x v="2"/>
    <n v="802.6"/>
    <n v="200650"/>
    <n v="1390.02"/>
    <n v="1361.49"/>
    <n v="4430.24"/>
    <n v="207831.75"/>
    <n v="55320.76"/>
    <n v="48139.01"/>
    <s v="Paid"/>
    <n v="255970.76"/>
    <n v="0"/>
    <s v="Pending"/>
    <x v="0"/>
    <x v="3"/>
    <x v="26"/>
    <x v="4"/>
    <n v="0.92"/>
    <n v="48139.01"/>
    <n v="0.18806448830327338"/>
    <n v="0"/>
    <x v="0"/>
    <n v="9"/>
    <s v="September"/>
    <s v="2024-09"/>
  </r>
  <r>
    <s v="FZ01390"/>
    <n v="45642"/>
    <n v="45648"/>
    <x v="1"/>
    <n v="250"/>
    <n v="1432.75"/>
    <n v="2.4500000000000002"/>
    <n v="349411.91"/>
    <x v="1"/>
    <n v="983.51"/>
    <n v="245877.5"/>
    <n v="3988.64"/>
    <n v="1134.31"/>
    <n v="2962.28"/>
    <n v="253962.73"/>
    <n v="103534.41"/>
    <n v="95449.18"/>
    <s v="Paid"/>
    <n v="349411.91"/>
    <n v="0"/>
    <s v="Delivered"/>
    <x v="0"/>
    <x v="1"/>
    <x v="22"/>
    <x v="5"/>
    <n v="1.89"/>
    <n v="95449.18"/>
    <n v="0.2731709402807706"/>
    <n v="0"/>
    <x v="0"/>
    <n v="12"/>
    <s v="December"/>
    <s v="2024-12"/>
  </r>
  <r>
    <s v="FZ01391"/>
    <n v="45671"/>
    <n v="45671"/>
    <x v="0"/>
    <n v="750"/>
    <n v="906.51"/>
    <n v="1.93"/>
    <n v="666760.77"/>
    <x v="2"/>
    <n v="707.43"/>
    <n v="530572.5"/>
    <n v="6682.17"/>
    <n v="1317.08"/>
    <n v="1682.27"/>
    <n v="540254.02"/>
    <n v="136188.26999999999"/>
    <n v="126506.75"/>
    <s v="Part-paid"/>
    <n v="369401.95"/>
    <n v="297358.82"/>
    <s v="Delivered"/>
    <x v="5"/>
    <x v="2"/>
    <x v="7"/>
    <x v="5"/>
    <n v="0.73"/>
    <n v="126506.75"/>
    <n v="0.18973334318994201"/>
    <n v="0"/>
    <x v="1"/>
    <n v="1"/>
    <s v="January"/>
    <s v="2025-01"/>
  </r>
  <r>
    <s v="FZ01392"/>
    <n v="45676"/>
    <n v="45686"/>
    <x v="3"/>
    <n v="1000"/>
    <n v="967.13"/>
    <n v="0.41"/>
    <n v="963164.77"/>
    <x v="2"/>
    <n v="823.56"/>
    <n v="823560"/>
    <n v="22587.39"/>
    <n v="3911.83"/>
    <n v="7333.22"/>
    <n v="857392.44"/>
    <n v="139604.76999999999"/>
    <n v="105772.33"/>
    <s v="Part-paid"/>
    <n v="324532.05"/>
    <n v="638632.72"/>
    <s v="Delivered"/>
    <x v="0"/>
    <x v="3"/>
    <x v="25"/>
    <x v="3"/>
    <n v="1.8"/>
    <n v="105772.33"/>
    <n v="0.10981748221542613"/>
    <n v="0"/>
    <x v="1"/>
    <n v="1"/>
    <s v="January"/>
    <s v="2025-01"/>
  </r>
  <r>
    <s v="FZ01393"/>
    <n v="45642"/>
    <n v="45652"/>
    <x v="1"/>
    <n v="50"/>
    <n v="1317.01"/>
    <n v="0.77"/>
    <n v="65343.45"/>
    <x v="0"/>
    <n v="1010.81"/>
    <n v="50540.5"/>
    <n v="658.77"/>
    <n v="168.52"/>
    <n v="4815.9399999999996"/>
    <n v="56183.73"/>
    <n v="14802.95"/>
    <n v="9159.7199999999993"/>
    <s v="Paid"/>
    <n v="65343.45"/>
    <n v="0"/>
    <s v="Delivered"/>
    <x v="4"/>
    <x v="0"/>
    <x v="8"/>
    <x v="5"/>
    <n v="0.37"/>
    <n v="9159.7199999999993"/>
    <n v="0.14017808977028301"/>
    <n v="0"/>
    <x v="0"/>
    <n v="12"/>
    <s v="December"/>
    <s v="2024-12"/>
  </r>
  <r>
    <s v="FZ01394"/>
    <n v="45617"/>
    <n v="45631"/>
    <x v="3"/>
    <n v="750"/>
    <n v="1006.64"/>
    <n v="1.95"/>
    <n v="740257.89"/>
    <x v="0"/>
    <n v="749.52"/>
    <n v="562140"/>
    <n v="12588.3"/>
    <n v="3498.95"/>
    <n v="9242.23"/>
    <n v="587469.48"/>
    <n v="178117.89"/>
    <n v="152788.41"/>
    <s v="Paid"/>
    <n v="740257.89"/>
    <n v="0"/>
    <s v="Delivered"/>
    <x v="4"/>
    <x v="4"/>
    <x v="27"/>
    <x v="2"/>
    <n v="2.17"/>
    <n v="152788.41"/>
    <n v="0.20639889430965741"/>
    <n v="0"/>
    <x v="0"/>
    <n v="11"/>
    <s v="November"/>
    <s v="2024-11"/>
  </r>
  <r>
    <s v="FZ01395"/>
    <n v="46003"/>
    <m/>
    <x v="3"/>
    <n v="200"/>
    <n v="1043.42"/>
    <n v="1.37"/>
    <n v="205825.03"/>
    <x v="2"/>
    <n v="715.43"/>
    <n v="143086"/>
    <n v="1946.27"/>
    <n v="354.42"/>
    <n v="2421.59"/>
    <n v="147808.28"/>
    <n v="62739.03"/>
    <n v="58016.75"/>
    <s v="Paid"/>
    <n v="205825.03"/>
    <n v="0"/>
    <s v="Pending"/>
    <x v="0"/>
    <x v="1"/>
    <x v="27"/>
    <x v="2"/>
    <n v="1.04"/>
    <n v="58016.75"/>
    <n v="0.28187412386141764"/>
    <n v="0"/>
    <x v="1"/>
    <n v="12"/>
    <s v="December"/>
    <s v="2025-12"/>
  </r>
  <r>
    <s v="FZ01396"/>
    <n v="45844"/>
    <n v="45846"/>
    <x v="0"/>
    <n v="500"/>
    <n v="832.6"/>
    <n v="4.18"/>
    <n v="398898.66"/>
    <x v="2"/>
    <n v="741"/>
    <n v="370500"/>
    <n v="8665.5"/>
    <n v="1837.66"/>
    <n v="9966.76"/>
    <n v="390969.92"/>
    <n v="28398.66"/>
    <n v="7928.74"/>
    <s v="Paid"/>
    <n v="398898.66"/>
    <n v="0"/>
    <s v="Collected"/>
    <x v="4"/>
    <x v="0"/>
    <x v="21"/>
    <x v="0"/>
    <n v="0.54"/>
    <n v="7928.74"/>
    <n v="1.9876577173761376E-2"/>
    <n v="0"/>
    <x v="1"/>
    <n v="7"/>
    <s v="July"/>
    <s v="2025-07"/>
  </r>
  <r>
    <s v="FZ01397"/>
    <n v="45477"/>
    <n v="45481"/>
    <x v="0"/>
    <n v="100"/>
    <n v="835.95"/>
    <n v="1.73"/>
    <n v="82148.81"/>
    <x v="2"/>
    <n v="747.34"/>
    <n v="74734"/>
    <n v="1214.75"/>
    <n v="223.84"/>
    <n v="7507.69"/>
    <n v="83680.28"/>
    <n v="7414.81"/>
    <n v="-1531.47"/>
    <s v="Paid"/>
    <n v="82148.81"/>
    <n v="0"/>
    <s v="Collected"/>
    <x v="1"/>
    <x v="2"/>
    <x v="1"/>
    <x v="1"/>
    <n v="1.32"/>
    <n v="-1531.47"/>
    <n v="-1.864263158529016E-2"/>
    <n v="0"/>
    <x v="0"/>
    <n v="7"/>
    <s v="July"/>
    <s v="2024-07"/>
  </r>
  <r>
    <s v="FZ01398"/>
    <n v="45959"/>
    <n v="45967"/>
    <x v="0"/>
    <n v="150"/>
    <n v="935.05"/>
    <n v="1.23"/>
    <n v="138532.32999999999"/>
    <x v="2"/>
    <n v="701.55"/>
    <n v="105232.5"/>
    <n v="1618.85"/>
    <n v="284.55"/>
    <n v="974.86"/>
    <n v="108110.76"/>
    <n v="33299.83"/>
    <n v="30421.57"/>
    <s v="Unpaid"/>
    <n v="0"/>
    <n v="138532.32999999999"/>
    <s v="Collected"/>
    <x v="3"/>
    <x v="2"/>
    <x v="25"/>
    <x v="3"/>
    <n v="2.34"/>
    <n v="30421.57"/>
    <n v="0.21959906398744614"/>
    <n v="0"/>
    <x v="1"/>
    <n v="10"/>
    <s v="October"/>
    <s v="2025-10"/>
  </r>
  <r>
    <s v="FZ01399"/>
    <n v="45733"/>
    <n v="45742"/>
    <x v="3"/>
    <n v="250"/>
    <n v="933.58"/>
    <n v="2.1"/>
    <n v="228493.7"/>
    <x v="2"/>
    <n v="820.93"/>
    <n v="205232.5"/>
    <n v="2136.35"/>
    <n v="914.35"/>
    <n v="2002.04"/>
    <n v="210285.24"/>
    <n v="23261.200000000001"/>
    <n v="18208.46"/>
    <s v="Paid"/>
    <n v="228493.7"/>
    <n v="0"/>
    <s v="Delivered"/>
    <x v="4"/>
    <x v="2"/>
    <x v="22"/>
    <x v="5"/>
    <n v="0.84"/>
    <n v="18208.46"/>
    <n v="7.9689111778574198E-2"/>
    <n v="0"/>
    <x v="1"/>
    <n v="3"/>
    <s v="March"/>
    <s v="2025-03"/>
  </r>
  <r>
    <s v="FZ01400"/>
    <n v="45929"/>
    <n v="45938"/>
    <x v="0"/>
    <n v="150"/>
    <n v="874.81"/>
    <n v="2.19"/>
    <n v="128347.75"/>
    <x v="1"/>
    <n v="702.94"/>
    <n v="105441"/>
    <n v="2914.19"/>
    <n v="347.23"/>
    <n v="2576.31"/>
    <n v="111278.73"/>
    <n v="22906.75"/>
    <n v="17069.02"/>
    <s v="Paid"/>
    <n v="128347.75"/>
    <n v="0"/>
    <s v="Delivered"/>
    <x v="5"/>
    <x v="1"/>
    <x v="27"/>
    <x v="2"/>
    <n v="1.08"/>
    <n v="17069.02"/>
    <n v="0.13299041081748608"/>
    <n v="0"/>
    <x v="1"/>
    <n v="9"/>
    <s v="September"/>
    <s v="2025-09"/>
  </r>
  <r>
    <s v="FZ01401"/>
    <n v="45803"/>
    <n v="45810"/>
    <x v="0"/>
    <n v="50"/>
    <n v="881.21"/>
    <n v="1.49"/>
    <n v="43404"/>
    <x v="2"/>
    <n v="694.03"/>
    <n v="34701.5"/>
    <n v="736.24"/>
    <n v="94.79"/>
    <n v="510.49"/>
    <n v="36043.019999999997"/>
    <n v="8702.5"/>
    <n v="7360.98"/>
    <s v="Paid"/>
    <n v="43404"/>
    <n v="0"/>
    <s v="Collected"/>
    <x v="5"/>
    <x v="1"/>
    <x v="31"/>
    <x v="1"/>
    <n v="1.9"/>
    <n v="7360.98"/>
    <n v="0.16959220348354989"/>
    <n v="0"/>
    <x v="1"/>
    <n v="5"/>
    <s v="May"/>
    <s v="2025-05"/>
  </r>
  <r>
    <s v="FZ01402"/>
    <n v="45746"/>
    <n v="45751"/>
    <x v="3"/>
    <n v="200"/>
    <n v="993.36"/>
    <n v="0.01"/>
    <n v="198652.13"/>
    <x v="2"/>
    <n v="824.83"/>
    <n v="164966"/>
    <n v="1282.28"/>
    <n v="402.42"/>
    <n v="980.81"/>
    <n v="167631.51"/>
    <n v="33686.129999999997"/>
    <n v="31020.62"/>
    <s v="Part-paid"/>
    <n v="110373.86"/>
    <n v="88278.27"/>
    <s v="Delivered"/>
    <x v="5"/>
    <x v="1"/>
    <x v="27"/>
    <x v="2"/>
    <n v="1.03"/>
    <n v="31020.62"/>
    <n v="0.15615548647779412"/>
    <n v="0"/>
    <x v="1"/>
    <n v="3"/>
    <s v="March"/>
    <s v="2025-03"/>
  </r>
  <r>
    <s v="FZ01403"/>
    <n v="45894"/>
    <n v="45905"/>
    <x v="0"/>
    <n v="200"/>
    <n v="921.52"/>
    <n v="0.05"/>
    <n v="184211.85"/>
    <x v="0"/>
    <n v="735.15"/>
    <n v="147030"/>
    <n v="2725.27"/>
    <n v="1194.1600000000001"/>
    <n v="8034.68"/>
    <n v="158984.10999999999"/>
    <n v="37181.85"/>
    <n v="25227.74"/>
    <s v="Paid"/>
    <n v="184211.85"/>
    <n v="0"/>
    <s v="Delivered"/>
    <x v="0"/>
    <x v="1"/>
    <x v="24"/>
    <x v="0"/>
    <n v="2.0699999999999998"/>
    <n v="25227.74"/>
    <n v="0.13694960449069915"/>
    <n v="0"/>
    <x v="1"/>
    <n v="8"/>
    <s v="August"/>
    <s v="2025-08"/>
  </r>
  <r>
    <s v="FZ01404"/>
    <n v="45334"/>
    <n v="45338"/>
    <x v="1"/>
    <n v="200"/>
    <n v="1183.57"/>
    <n v="1.49"/>
    <n v="233186.96"/>
    <x v="1"/>
    <n v="1000.31"/>
    <n v="200062"/>
    <n v="1933.7"/>
    <n v="713.04"/>
    <n v="10510.03"/>
    <n v="213218.77"/>
    <n v="33124.959999999999"/>
    <n v="19968.189999999999"/>
    <s v="Paid"/>
    <n v="233186.96"/>
    <n v="0"/>
    <s v="Delivered"/>
    <x v="3"/>
    <x v="0"/>
    <x v="13"/>
    <x v="5"/>
    <n v="1.52"/>
    <n v="19968.189999999999"/>
    <n v="8.5631675115967032E-2"/>
    <n v="0"/>
    <x v="0"/>
    <n v="2"/>
    <s v="February"/>
    <s v="2024-02"/>
  </r>
  <r>
    <s v="FZ01405"/>
    <n v="45750"/>
    <n v="45759"/>
    <x v="0"/>
    <n v="1000"/>
    <n v="937.37"/>
    <n v="1.39"/>
    <n v="924340.56"/>
    <x v="0"/>
    <n v="716.66"/>
    <n v="716660"/>
    <n v="13423.8"/>
    <n v="5690.12"/>
    <n v="7987.38"/>
    <n v="743761.3"/>
    <n v="207680.56"/>
    <n v="180579.26"/>
    <s v="Paid"/>
    <n v="924340.56"/>
    <n v="0"/>
    <s v="Delivered"/>
    <x v="2"/>
    <x v="3"/>
    <x v="4"/>
    <x v="1"/>
    <n v="0.38"/>
    <n v="180579.26"/>
    <n v="0.19536009541764562"/>
    <n v="0"/>
    <x v="1"/>
    <n v="4"/>
    <s v="April"/>
    <s v="2025-04"/>
  </r>
  <r>
    <s v="FZ01406"/>
    <n v="45957"/>
    <m/>
    <x v="4"/>
    <n v="250"/>
    <n v="2997.03"/>
    <n v="0.63"/>
    <n v="744537.18"/>
    <x v="2"/>
    <n v="2344.64"/>
    <n v="586160"/>
    <n v="5365.98"/>
    <n v="565.46"/>
    <n v="4442.1099999999997"/>
    <n v="596533.55000000005"/>
    <n v="158377.18"/>
    <n v="148003.63"/>
    <s v="Paid"/>
    <n v="744537.18"/>
    <n v="0"/>
    <s v="Pending"/>
    <x v="5"/>
    <x v="1"/>
    <x v="4"/>
    <x v="1"/>
    <n v="1.1200000000000001"/>
    <n v="148003.63"/>
    <n v="0.19878608345657095"/>
    <n v="0"/>
    <x v="1"/>
    <n v="10"/>
    <s v="October"/>
    <s v="2025-10"/>
  </r>
  <r>
    <s v="FZ01407"/>
    <n v="45833"/>
    <n v="45846"/>
    <x v="0"/>
    <n v="500"/>
    <n v="798.37"/>
    <n v="1.53"/>
    <n v="393077.47"/>
    <x v="1"/>
    <n v="750.47"/>
    <n v="375235"/>
    <n v="9767.1200000000008"/>
    <n v="2314.64"/>
    <n v="11179.69"/>
    <n v="398496.45"/>
    <n v="17842.47"/>
    <n v="-5418.98"/>
    <s v="Paid"/>
    <n v="393077.47"/>
    <n v="0"/>
    <s v="Delivered"/>
    <x v="3"/>
    <x v="1"/>
    <x v="11"/>
    <x v="5"/>
    <n v="0.9"/>
    <n v="-5418.98"/>
    <n v="-1.378603561277628E-2"/>
    <n v="0"/>
    <x v="1"/>
    <n v="6"/>
    <s v="June"/>
    <s v="2025-06"/>
  </r>
  <r>
    <s v="FZ01408"/>
    <n v="45715"/>
    <n v="45722"/>
    <x v="1"/>
    <n v="150"/>
    <n v="1344.63"/>
    <n v="0.57999999999999996"/>
    <n v="200524.67"/>
    <x v="1"/>
    <n v="1018.1"/>
    <n v="152715"/>
    <n v="950.41"/>
    <n v="409.37"/>
    <n v="2935.14"/>
    <n v="157009.92000000001"/>
    <n v="47809.67"/>
    <n v="43514.75"/>
    <s v="Paid"/>
    <n v="200524.67"/>
    <n v="0"/>
    <s v="Collected"/>
    <x v="1"/>
    <x v="1"/>
    <x v="22"/>
    <x v="5"/>
    <n v="1.63"/>
    <n v="43514.75"/>
    <n v="0.21700447132016223"/>
    <n v="0"/>
    <x v="1"/>
    <n v="2"/>
    <s v="February"/>
    <s v="2025-02"/>
  </r>
  <r>
    <s v="FZ01409"/>
    <n v="45462"/>
    <n v="45469"/>
    <x v="1"/>
    <n v="150"/>
    <n v="1176.3599999999999"/>
    <n v="1.73"/>
    <n v="173401.35"/>
    <x v="1"/>
    <n v="1061.8499999999999"/>
    <n v="159277.5"/>
    <n v="2904.92"/>
    <n v="374.3"/>
    <n v="1663.97"/>
    <n v="164220.69"/>
    <n v="14123.85"/>
    <n v="9180.66"/>
    <s v="Paid"/>
    <n v="173401.35"/>
    <n v="0"/>
    <s v="Delivered"/>
    <x v="1"/>
    <x v="1"/>
    <x v="26"/>
    <x v="4"/>
    <n v="1.42"/>
    <n v="9180.66"/>
    <n v="5.2944570500748696E-2"/>
    <n v="0"/>
    <x v="0"/>
    <n v="6"/>
    <s v="June"/>
    <s v="2024-06"/>
  </r>
  <r>
    <s v="FZ01410"/>
    <n v="45962"/>
    <n v="45973"/>
    <x v="0"/>
    <n v="200"/>
    <n v="847.28"/>
    <n v="0.64"/>
    <n v="168371.48"/>
    <x v="2"/>
    <n v="716.83"/>
    <n v="143366"/>
    <n v="2219.71"/>
    <n v="677.4"/>
    <n v="7413.77"/>
    <n v="153676.88"/>
    <n v="25005.48"/>
    <n v="14694.6"/>
    <s v="Paid"/>
    <n v="168371.48"/>
    <n v="0"/>
    <s v="Delivered"/>
    <x v="4"/>
    <x v="0"/>
    <x v="6"/>
    <x v="2"/>
    <n v="1.79"/>
    <n v="14694.6"/>
    <n v="8.7274875768746582E-2"/>
    <n v="0"/>
    <x v="1"/>
    <n v="11"/>
    <s v="November"/>
    <s v="2025-11"/>
  </r>
  <r>
    <s v="FZ01411"/>
    <n v="45768"/>
    <n v="45777"/>
    <x v="1"/>
    <n v="500"/>
    <n v="1234.57"/>
    <n v="3.52"/>
    <n v="595556.56999999995"/>
    <x v="1"/>
    <n v="1018.2"/>
    <n v="509100"/>
    <n v="3428.14"/>
    <n v="2262.2600000000002"/>
    <n v="1642.4"/>
    <n v="516432.8"/>
    <n v="86456.57"/>
    <n v="79123.77"/>
    <s v="Unpaid"/>
    <n v="0"/>
    <n v="595556.56999999995"/>
    <s v="Delivered"/>
    <x v="1"/>
    <x v="1"/>
    <x v="33"/>
    <x v="1"/>
    <n v="0.14000000000000001"/>
    <n v="79123.77"/>
    <n v="0.13285685018973095"/>
    <n v="0"/>
    <x v="1"/>
    <n v="4"/>
    <s v="April"/>
    <s v="2025-04"/>
  </r>
  <r>
    <s v="FZ01412"/>
    <n v="45962"/>
    <m/>
    <x v="0"/>
    <n v="500"/>
    <n v="969.2"/>
    <n v="1.66"/>
    <n v="0"/>
    <x v="2"/>
    <n v="738.94"/>
    <n v="0"/>
    <n v="0"/>
    <n v="0"/>
    <n v="0"/>
    <n v="0"/>
    <n v="0"/>
    <n v="0"/>
    <s v="Part-paid"/>
    <n v="0"/>
    <n v="0"/>
    <s v="Cancelled"/>
    <x v="0"/>
    <x v="2"/>
    <x v="8"/>
    <x v="5"/>
    <n v="1.55"/>
    <n v="0"/>
    <e v="#DIV/0!"/>
    <n v="0"/>
    <x v="1"/>
    <n v="11"/>
    <s v="November"/>
    <s v="2025-11"/>
  </r>
  <r>
    <s v="FZ01413"/>
    <n v="45855"/>
    <n v="45856"/>
    <x v="0"/>
    <n v="300"/>
    <n v="826.15"/>
    <n v="1"/>
    <n v="245366.55"/>
    <x v="1"/>
    <n v="691.11"/>
    <n v="207333"/>
    <n v="1957.32"/>
    <n v="1161.8800000000001"/>
    <n v="7480.16"/>
    <n v="217932.36"/>
    <n v="38033.550000000003"/>
    <n v="27434.19"/>
    <s v="Unpaid"/>
    <n v="0"/>
    <n v="245366.55"/>
    <s v="Delivered"/>
    <x v="2"/>
    <x v="2"/>
    <x v="27"/>
    <x v="2"/>
    <n v="0.64"/>
    <n v="27434.19"/>
    <n v="0.11180900575078388"/>
    <n v="0"/>
    <x v="1"/>
    <n v="7"/>
    <s v="July"/>
    <s v="2025-07"/>
  </r>
  <r>
    <s v="FZ01414"/>
    <n v="45821"/>
    <n v="45829"/>
    <x v="4"/>
    <n v="500"/>
    <n v="2926.13"/>
    <n v="3.48"/>
    <n v="1412150.34"/>
    <x v="1"/>
    <n v="2380.56"/>
    <n v="1190280"/>
    <n v="11032.91"/>
    <n v="2231.8200000000002"/>
    <n v="5811.87"/>
    <n v="1209356.6000000001"/>
    <n v="221870.34"/>
    <n v="202793.74"/>
    <s v="Paid"/>
    <n v="1412150.34"/>
    <n v="0"/>
    <s v="Delivered"/>
    <x v="0"/>
    <x v="3"/>
    <x v="27"/>
    <x v="2"/>
    <n v="0.48"/>
    <n v="202793.74"/>
    <n v="0.14360633868487399"/>
    <n v="0"/>
    <x v="1"/>
    <n v="6"/>
    <s v="June"/>
    <s v="2025-06"/>
  </r>
  <r>
    <s v="FZ01415"/>
    <n v="45691"/>
    <m/>
    <x v="0"/>
    <n v="500"/>
    <n v="879.04"/>
    <n v="4.05"/>
    <n v="421719.44"/>
    <x v="2"/>
    <n v="713.69"/>
    <n v="356845"/>
    <n v="2530.62"/>
    <n v="2244.7800000000002"/>
    <n v="11887.69"/>
    <n v="373508.09"/>
    <n v="64874.44"/>
    <n v="48211.35"/>
    <s v="Part-paid"/>
    <n v="196006.06"/>
    <n v="225713.38"/>
    <s v="Pending"/>
    <x v="0"/>
    <x v="1"/>
    <x v="11"/>
    <x v="5"/>
    <n v="2.4300000000000002"/>
    <n v="48211.35"/>
    <n v="0.11432090965500666"/>
    <n v="0"/>
    <x v="1"/>
    <n v="2"/>
    <s v="February"/>
    <s v="2025-02"/>
  </r>
  <r>
    <s v="FZ01416"/>
    <n v="45536"/>
    <n v="45546"/>
    <x v="3"/>
    <n v="750"/>
    <n v="964.95"/>
    <n v="3.97"/>
    <n v="694981.11"/>
    <x v="0"/>
    <n v="768.53"/>
    <n v="576397.5"/>
    <n v="14568.52"/>
    <n v="4467.18"/>
    <n v="11950.85"/>
    <n v="607384.05000000005"/>
    <n v="118583.61"/>
    <n v="87597.06"/>
    <s v="Unpaid"/>
    <n v="0"/>
    <n v="694981.11"/>
    <s v="Delivered"/>
    <x v="0"/>
    <x v="0"/>
    <x v="21"/>
    <x v="0"/>
    <n v="0.01"/>
    <n v="87597.06"/>
    <n v="0.12604236106503672"/>
    <n v="0"/>
    <x v="0"/>
    <n v="9"/>
    <s v="September"/>
    <s v="2024-09"/>
  </r>
  <r>
    <s v="FZ01417"/>
    <n v="45787"/>
    <n v="45792"/>
    <x v="3"/>
    <n v="250"/>
    <n v="997.65"/>
    <n v="2.31"/>
    <n v="243651.07"/>
    <x v="0"/>
    <n v="797.39"/>
    <n v="199347.5"/>
    <n v="2701.38"/>
    <n v="1405.86"/>
    <n v="11858.19"/>
    <n v="215312.93"/>
    <n v="44303.57"/>
    <n v="28338.14"/>
    <s v="Paid"/>
    <n v="243651.07"/>
    <n v="0"/>
    <s v="Delivered"/>
    <x v="5"/>
    <x v="3"/>
    <x v="33"/>
    <x v="1"/>
    <n v="1.2"/>
    <n v="28338.14"/>
    <n v="0.11630624072367093"/>
    <n v="0"/>
    <x v="1"/>
    <n v="5"/>
    <s v="May"/>
    <s v="2025-05"/>
  </r>
  <r>
    <s v="FZ01418"/>
    <n v="45723"/>
    <n v="45731"/>
    <x v="0"/>
    <n v="250"/>
    <n v="914.42"/>
    <n v="1.71"/>
    <n v="224695.85"/>
    <x v="2"/>
    <n v="682.28"/>
    <n v="170570"/>
    <n v="4429.93"/>
    <n v="1276.6300000000001"/>
    <n v="9278.94"/>
    <n v="185555.5"/>
    <n v="54125.85"/>
    <n v="39140.35"/>
    <s v="Paid"/>
    <n v="224695.85"/>
    <n v="0"/>
    <s v="Delivered"/>
    <x v="5"/>
    <x v="1"/>
    <x v="34"/>
    <x v="4"/>
    <n v="1.19"/>
    <n v="39140.35"/>
    <n v="0.1741925807708509"/>
    <n v="0"/>
    <x v="1"/>
    <n v="3"/>
    <s v="March"/>
    <s v="2025-03"/>
  </r>
  <r>
    <s v="FZ01419"/>
    <n v="45360"/>
    <n v="45360"/>
    <x v="1"/>
    <n v="750"/>
    <n v="1374.28"/>
    <n v="1.5"/>
    <n v="1015249.35"/>
    <x v="1"/>
    <n v="999.4"/>
    <n v="749550"/>
    <n v="17592.61"/>
    <n v="3105.5"/>
    <n v="5280.26"/>
    <n v="775528.37"/>
    <n v="265699.34999999998"/>
    <n v="239720.98"/>
    <s v="Paid"/>
    <n v="1015249.35"/>
    <n v="0"/>
    <s v="Delivered"/>
    <x v="3"/>
    <x v="4"/>
    <x v="32"/>
    <x v="0"/>
    <n v="2.25"/>
    <n v="239720.98"/>
    <n v="0.23612029891966935"/>
    <n v="0"/>
    <x v="0"/>
    <n v="3"/>
    <s v="March"/>
    <s v="2024-03"/>
  </r>
  <r>
    <s v="FZ01420"/>
    <n v="45922"/>
    <m/>
    <x v="0"/>
    <n v="750"/>
    <n v="959.88"/>
    <n v="4.08"/>
    <n v="690537.67"/>
    <x v="2"/>
    <n v="676.85"/>
    <n v="507637.5"/>
    <n v="14216.49"/>
    <n v="1419.42"/>
    <n v="5656.87"/>
    <n v="528930.28"/>
    <n v="182900.17"/>
    <n v="161607.39000000001"/>
    <s v="Paid"/>
    <n v="690537.67"/>
    <n v="0"/>
    <s v="Pending"/>
    <x v="5"/>
    <x v="0"/>
    <x v="2"/>
    <x v="2"/>
    <n v="0.4"/>
    <n v="161607.39000000001"/>
    <n v="0.23403124408839274"/>
    <n v="0"/>
    <x v="1"/>
    <n v="9"/>
    <s v="September"/>
    <s v="2025-09"/>
  </r>
  <r>
    <s v="FZ01421"/>
    <n v="45981"/>
    <n v="45981"/>
    <x v="1"/>
    <n v="50"/>
    <n v="1267.98"/>
    <n v="1.45"/>
    <n v="62479.71"/>
    <x v="2"/>
    <n v="1113.8599999999999"/>
    <n v="55693"/>
    <n v="1002.95"/>
    <n v="274.07"/>
    <n v="2664.8"/>
    <n v="59634.82"/>
    <n v="6786.71"/>
    <n v="2844.89"/>
    <s v="Paid"/>
    <n v="62479.71"/>
    <n v="0"/>
    <s v="Delivered"/>
    <x v="0"/>
    <x v="4"/>
    <x v="25"/>
    <x v="3"/>
    <n v="2.33"/>
    <n v="2844.89"/>
    <n v="4.5533021840210207E-2"/>
    <n v="0"/>
    <x v="1"/>
    <n v="11"/>
    <s v="November"/>
    <s v="2025-11"/>
  </r>
  <r>
    <s v="FZ01422"/>
    <n v="45503"/>
    <n v="45510"/>
    <x v="3"/>
    <n v="100"/>
    <n v="925.91"/>
    <n v="0.7"/>
    <n v="91942.86"/>
    <x v="1"/>
    <n v="777.4"/>
    <n v="77740"/>
    <n v="1608.57"/>
    <n v="487.64"/>
    <n v="6304.84"/>
    <n v="86141.05"/>
    <n v="14202.86"/>
    <n v="5801.81"/>
    <s v="Paid"/>
    <n v="91942.86"/>
    <n v="0"/>
    <s v="Delivered"/>
    <x v="0"/>
    <x v="3"/>
    <x v="25"/>
    <x v="3"/>
    <n v="2.08"/>
    <n v="5801.81"/>
    <n v="6.3102344216832071E-2"/>
    <n v="0"/>
    <x v="0"/>
    <n v="7"/>
    <s v="July"/>
    <s v="2024-07"/>
  </r>
  <r>
    <s v="FZ01423"/>
    <n v="45612"/>
    <n v="45626"/>
    <x v="0"/>
    <n v="1000"/>
    <n v="866.07"/>
    <n v="3.98"/>
    <n v="831600.41"/>
    <x v="2"/>
    <n v="676.14"/>
    <n v="676140"/>
    <n v="19859.47"/>
    <n v="1791.37"/>
    <n v="4171.42"/>
    <n v="701962.26"/>
    <n v="155460.41"/>
    <n v="129638.15"/>
    <s v="Unpaid"/>
    <n v="0"/>
    <n v="831600.41"/>
    <s v="Collected"/>
    <x v="3"/>
    <x v="2"/>
    <x v="8"/>
    <x v="5"/>
    <n v="0.76"/>
    <n v="129638.15"/>
    <n v="0.15588995440730963"/>
    <n v="0"/>
    <x v="0"/>
    <n v="11"/>
    <s v="November"/>
    <s v="2024-11"/>
  </r>
  <r>
    <s v="FZ01424"/>
    <n v="45726"/>
    <n v="45727"/>
    <x v="0"/>
    <n v="1000"/>
    <n v="907.69"/>
    <n v="4.3899999999999997"/>
    <n v="867842.41"/>
    <x v="1"/>
    <n v="723.7"/>
    <n v="723700"/>
    <n v="10337.76"/>
    <n v="5512.39"/>
    <n v="10311.84"/>
    <n v="749861.99"/>
    <n v="144142.41"/>
    <n v="117980.42"/>
    <s v="Paid"/>
    <n v="867842.41"/>
    <n v="0"/>
    <s v="Collected"/>
    <x v="1"/>
    <x v="1"/>
    <x v="2"/>
    <x v="2"/>
    <n v="2.29"/>
    <n v="117980.42"/>
    <n v="0.13594682472362696"/>
    <n v="0"/>
    <x v="1"/>
    <n v="3"/>
    <s v="March"/>
    <s v="2025-03"/>
  </r>
  <r>
    <s v="FZ01425"/>
    <n v="45425"/>
    <m/>
    <x v="0"/>
    <n v="100"/>
    <n v="914.8"/>
    <n v="1.41"/>
    <n v="0"/>
    <x v="2"/>
    <n v="676.37"/>
    <n v="0"/>
    <n v="0"/>
    <n v="0"/>
    <n v="0"/>
    <n v="0"/>
    <n v="0"/>
    <n v="0"/>
    <s v="Paid"/>
    <n v="0"/>
    <n v="0"/>
    <s v="Cancelled"/>
    <x v="0"/>
    <x v="3"/>
    <x v="8"/>
    <x v="5"/>
    <n v="0.26"/>
    <n v="0"/>
    <e v="#DIV/0!"/>
    <n v="0"/>
    <x v="0"/>
    <n v="5"/>
    <s v="May"/>
    <s v="2024-05"/>
  </r>
  <r>
    <s v="FZ01426"/>
    <n v="45385"/>
    <n v="45393"/>
    <x v="0"/>
    <n v="100"/>
    <n v="909.39"/>
    <n v="1.34"/>
    <n v="89720.42"/>
    <x v="1"/>
    <n v="689.77"/>
    <n v="68977"/>
    <n v="1801.91"/>
    <n v="305.85000000000002"/>
    <n v="69.900000000000006"/>
    <n v="71154.66"/>
    <n v="20743.419999999998"/>
    <n v="18565.759999999998"/>
    <s v="Paid"/>
    <n v="89720.42"/>
    <n v="0"/>
    <s v="Delivered"/>
    <x v="0"/>
    <x v="3"/>
    <x v="2"/>
    <x v="2"/>
    <n v="1.99"/>
    <n v="18565.759999999998"/>
    <n v="0.20692903577580218"/>
    <n v="0"/>
    <x v="0"/>
    <n v="4"/>
    <s v="April"/>
    <s v="2024-04"/>
  </r>
  <r>
    <s v="FZ01427"/>
    <n v="45793"/>
    <n v="45798"/>
    <x v="0"/>
    <n v="500"/>
    <n v="826.75"/>
    <n v="3.66"/>
    <n v="398245.48"/>
    <x v="3"/>
    <n v="735.86"/>
    <n v="367930"/>
    <n v="9770.07"/>
    <n v="2982.38"/>
    <n v="2572.41"/>
    <n v="383254.86"/>
    <n v="30315.48"/>
    <n v="14990.62"/>
    <s v="Part-paid"/>
    <n v="252748.62"/>
    <n v="145496.85999999999"/>
    <s v="Delivered"/>
    <x v="4"/>
    <x v="0"/>
    <x v="6"/>
    <x v="2"/>
    <n v="2.37"/>
    <n v="14990.62"/>
    <n v="3.7641657602742913E-2"/>
    <n v="0"/>
    <x v="1"/>
    <n v="5"/>
    <s v="May"/>
    <s v="2025-05"/>
  </r>
  <r>
    <s v="FZ01428"/>
    <n v="45985"/>
    <n v="45985"/>
    <x v="0"/>
    <n v="500"/>
    <n v="918.51"/>
    <n v="2.81"/>
    <n v="446349.93"/>
    <x v="2"/>
    <n v="737.62"/>
    <n v="368810"/>
    <n v="8398.58"/>
    <n v="2947.81"/>
    <n v="592.14"/>
    <n v="380748.53"/>
    <n v="77539.929999999993"/>
    <n v="65601.399999999994"/>
    <s v="Paid"/>
    <n v="446349.93"/>
    <n v="0"/>
    <s v="Delivered"/>
    <x v="1"/>
    <x v="4"/>
    <x v="23"/>
    <x v="4"/>
    <n v="1.82"/>
    <n v="65601.399999999994"/>
    <n v="0.14697302629799897"/>
    <n v="0"/>
    <x v="1"/>
    <n v="11"/>
    <s v="November"/>
    <s v="2025-11"/>
  </r>
  <r>
    <s v="FZ01429"/>
    <n v="45881"/>
    <n v="45888"/>
    <x v="1"/>
    <n v="1000"/>
    <n v="1337.7"/>
    <n v="4.33"/>
    <n v="1279777.5900000001"/>
    <x v="1"/>
    <n v="981.62"/>
    <n v="981620"/>
    <n v="10462.89"/>
    <n v="4108.1499999999996"/>
    <n v="11135.09"/>
    <n v="1007326.13"/>
    <n v="298157.59000000003"/>
    <n v="272451.46000000002"/>
    <s v="Paid"/>
    <n v="1279777.5900000001"/>
    <n v="0"/>
    <s v="Delivered"/>
    <x v="4"/>
    <x v="0"/>
    <x v="33"/>
    <x v="1"/>
    <n v="2.2400000000000002"/>
    <n v="272451.46000000002"/>
    <n v="0.21288969437259797"/>
    <n v="0"/>
    <x v="1"/>
    <n v="8"/>
    <s v="August"/>
    <s v="2025-08"/>
  </r>
  <r>
    <s v="FZ01430"/>
    <n v="45375"/>
    <n v="45381"/>
    <x v="1"/>
    <n v="500"/>
    <n v="1376.38"/>
    <n v="3.77"/>
    <n v="662245.24"/>
    <x v="2"/>
    <n v="1113.83"/>
    <n v="556915"/>
    <n v="3772.35"/>
    <n v="2593.27"/>
    <n v="11781.84"/>
    <n v="575062.46"/>
    <n v="105330.24000000001"/>
    <n v="87182.78"/>
    <s v="Paid"/>
    <n v="662245.24"/>
    <n v="0"/>
    <s v="Collected"/>
    <x v="0"/>
    <x v="1"/>
    <x v="15"/>
    <x v="3"/>
    <n v="1.1100000000000001"/>
    <n v="87182.78"/>
    <n v="0.13164727314612332"/>
    <n v="0"/>
    <x v="0"/>
    <n v="3"/>
    <s v="March"/>
    <s v="2024-03"/>
  </r>
  <r>
    <s v="FZ01431"/>
    <n v="45763"/>
    <n v="45772"/>
    <x v="1"/>
    <n v="500"/>
    <n v="1311.04"/>
    <n v="1.94"/>
    <n v="642802.91"/>
    <x v="0"/>
    <n v="1090.4100000000001"/>
    <n v="545205"/>
    <n v="5346.14"/>
    <n v="1490.91"/>
    <n v="635.21"/>
    <n v="552677.26"/>
    <n v="97597.91"/>
    <n v="90125.65"/>
    <s v="Paid"/>
    <n v="642802.91"/>
    <n v="0"/>
    <s v="Collected"/>
    <x v="3"/>
    <x v="0"/>
    <x v="22"/>
    <x v="5"/>
    <n v="1.1200000000000001"/>
    <n v="90125.65"/>
    <n v="0.14020728375358474"/>
    <n v="0"/>
    <x v="1"/>
    <n v="4"/>
    <s v="April"/>
    <s v="2025-04"/>
  </r>
  <r>
    <s v="FZ01432"/>
    <n v="45400"/>
    <n v="45406"/>
    <x v="0"/>
    <n v="200"/>
    <n v="906.89"/>
    <n v="0.97"/>
    <n v="179618.63"/>
    <x v="3"/>
    <n v="693.3"/>
    <n v="138660"/>
    <n v="2928.93"/>
    <n v="447.46"/>
    <n v="9436.23"/>
    <n v="151472.62"/>
    <n v="40958.629999999997"/>
    <n v="28146.01"/>
    <s v="Paid"/>
    <n v="179618.63"/>
    <n v="0"/>
    <s v="Collected"/>
    <x v="1"/>
    <x v="1"/>
    <x v="9"/>
    <x v="1"/>
    <n v="0.48"/>
    <n v="28146.01"/>
    <n v="0.15669872328944942"/>
    <n v="0"/>
    <x v="0"/>
    <n v="4"/>
    <s v="April"/>
    <s v="2024-04"/>
  </r>
  <r>
    <s v="FZ01433"/>
    <n v="45986"/>
    <n v="45999"/>
    <x v="1"/>
    <n v="300"/>
    <n v="1366.85"/>
    <n v="0.17"/>
    <n v="409357.91"/>
    <x v="0"/>
    <n v="1088.1199999999999"/>
    <n v="326436"/>
    <n v="2484.42"/>
    <n v="1178.06"/>
    <n v="3457.29"/>
    <n v="333555.77"/>
    <n v="82921.91"/>
    <n v="75802.14"/>
    <s v="Paid"/>
    <n v="409357.91"/>
    <n v="0"/>
    <s v="Delivered"/>
    <x v="5"/>
    <x v="1"/>
    <x v="10"/>
    <x v="5"/>
    <n v="2.41"/>
    <n v="75802.14"/>
    <n v="0.18517326317207355"/>
    <n v="0"/>
    <x v="1"/>
    <n v="11"/>
    <s v="November"/>
    <s v="2025-11"/>
  </r>
  <r>
    <s v="FZ01434"/>
    <n v="45741"/>
    <m/>
    <x v="0"/>
    <n v="500"/>
    <n v="922.37"/>
    <n v="2.54"/>
    <n v="449470.9"/>
    <x v="1"/>
    <n v="748.08"/>
    <n v="374040"/>
    <n v="11974.35"/>
    <n v="2986.45"/>
    <n v="2774.75"/>
    <n v="391775.55"/>
    <n v="75430.899999999994"/>
    <n v="57695.35"/>
    <s v="Part-paid"/>
    <n v="271490.67"/>
    <n v="177980.23"/>
    <s v="Pending"/>
    <x v="0"/>
    <x v="3"/>
    <x v="10"/>
    <x v="5"/>
    <n v="1.73"/>
    <n v="57695.35"/>
    <n v="0.12836281503429919"/>
    <n v="0"/>
    <x v="1"/>
    <n v="3"/>
    <s v="March"/>
    <s v="2025-03"/>
  </r>
  <r>
    <s v="FZ01435"/>
    <n v="45328"/>
    <n v="45331"/>
    <x v="0"/>
    <n v="500"/>
    <n v="911.78"/>
    <n v="0.19"/>
    <n v="455023.81"/>
    <x v="2"/>
    <n v="719"/>
    <n v="359500"/>
    <n v="3611.35"/>
    <n v="1044.1199999999999"/>
    <n v="7497.16"/>
    <n v="371652.63"/>
    <n v="95523.81"/>
    <n v="83371.179999999993"/>
    <s v="Paid"/>
    <n v="455023.81"/>
    <n v="0"/>
    <s v="Collected"/>
    <x v="3"/>
    <x v="3"/>
    <x v="26"/>
    <x v="4"/>
    <n v="1.89"/>
    <n v="83371.179999999993"/>
    <n v="0.18322377459764136"/>
    <n v="0"/>
    <x v="0"/>
    <n v="2"/>
    <s v="February"/>
    <s v="2024-02"/>
  </r>
  <r>
    <s v="FZ01436"/>
    <n v="45638"/>
    <n v="45651"/>
    <x v="0"/>
    <n v="300"/>
    <n v="884.26"/>
    <n v="1.84"/>
    <n v="260396.88"/>
    <x v="1"/>
    <n v="731.66"/>
    <n v="219498"/>
    <n v="5804.62"/>
    <n v="1435.15"/>
    <n v="2633.18"/>
    <n v="229370.95"/>
    <n v="40898.879999999997"/>
    <n v="31025.93"/>
    <s v="Paid"/>
    <n v="260396.88"/>
    <n v="0"/>
    <s v="Delivered"/>
    <x v="1"/>
    <x v="1"/>
    <x v="6"/>
    <x v="2"/>
    <n v="1.1399999999999999"/>
    <n v="31025.93"/>
    <n v="0.1191486242077862"/>
    <n v="0"/>
    <x v="0"/>
    <n v="12"/>
    <s v="December"/>
    <s v="2024-12"/>
  </r>
  <r>
    <s v="FZ01437"/>
    <n v="45648"/>
    <n v="45660"/>
    <x v="0"/>
    <n v="300"/>
    <n v="884.39"/>
    <n v="1.41"/>
    <n v="261576.03"/>
    <x v="2"/>
    <n v="716.43"/>
    <n v="214929"/>
    <n v="2010.74"/>
    <n v="1389.14"/>
    <n v="1846.15"/>
    <n v="220175.03"/>
    <n v="46647.03"/>
    <n v="41401"/>
    <s v="Paid"/>
    <n v="261576.03"/>
    <n v="0"/>
    <s v="Delivered"/>
    <x v="2"/>
    <x v="0"/>
    <x v="10"/>
    <x v="5"/>
    <n v="1.22"/>
    <n v="41401"/>
    <n v="0.1582752058741774"/>
    <n v="0"/>
    <x v="0"/>
    <n v="12"/>
    <s v="December"/>
    <s v="2024-12"/>
  </r>
  <r>
    <s v="FZ01438"/>
    <n v="45570"/>
    <n v="45577"/>
    <x v="0"/>
    <n v="150"/>
    <n v="865.92"/>
    <n v="1.02"/>
    <n v="128563.14"/>
    <x v="2"/>
    <n v="664.42"/>
    <n v="99663"/>
    <n v="2752.71"/>
    <n v="696.78"/>
    <n v="9171.1200000000008"/>
    <n v="112283.61"/>
    <n v="28900.14"/>
    <n v="16279.53"/>
    <s v="Paid"/>
    <n v="128563.14"/>
    <n v="0"/>
    <s v="Delivered"/>
    <x v="4"/>
    <x v="2"/>
    <x v="11"/>
    <x v="5"/>
    <n v="1.07"/>
    <n v="16279.53"/>
    <n v="0.12662672986985229"/>
    <n v="0"/>
    <x v="0"/>
    <n v="10"/>
    <s v="October"/>
    <s v="2024-10"/>
  </r>
  <r>
    <s v="FZ01439"/>
    <n v="45434"/>
    <n v="45436"/>
    <x v="0"/>
    <n v="250"/>
    <n v="841.41"/>
    <n v="0.28000000000000003"/>
    <n v="209763.51"/>
    <x v="3"/>
    <n v="740.18"/>
    <n v="185045"/>
    <n v="2199.79"/>
    <n v="799.12"/>
    <n v="2258.92"/>
    <n v="190302.83"/>
    <n v="24718.51"/>
    <n v="19460.68"/>
    <s v="Paid"/>
    <n v="209763.51"/>
    <n v="0"/>
    <s v="Collected"/>
    <x v="2"/>
    <x v="4"/>
    <x v="10"/>
    <x v="5"/>
    <n v="0.88"/>
    <n v="19460.68"/>
    <n v="9.2774381969485537E-2"/>
    <n v="0"/>
    <x v="0"/>
    <n v="5"/>
    <s v="May"/>
    <s v="2024-05"/>
  </r>
  <r>
    <s v="FZ01440"/>
    <n v="45443"/>
    <n v="45445"/>
    <x v="0"/>
    <n v="150"/>
    <n v="847.84"/>
    <n v="1.46"/>
    <n v="125319.23"/>
    <x v="1"/>
    <n v="675.77"/>
    <n v="101365.5"/>
    <n v="854.02"/>
    <n v="639.19000000000005"/>
    <n v="2318.4"/>
    <n v="105177.11"/>
    <n v="23953.73"/>
    <n v="20142.12"/>
    <s v="Paid"/>
    <n v="125319.23"/>
    <n v="0"/>
    <s v="Delivered"/>
    <x v="0"/>
    <x v="0"/>
    <x v="14"/>
    <x v="1"/>
    <n v="0.15"/>
    <n v="20142.12"/>
    <n v="0.1607264902601141"/>
    <n v="0"/>
    <x v="0"/>
    <n v="5"/>
    <s v="May"/>
    <s v="2024-05"/>
  </r>
  <r>
    <s v="FZ01441"/>
    <n v="45916"/>
    <n v="45919"/>
    <x v="1"/>
    <n v="200"/>
    <n v="1237.58"/>
    <n v="0.57999999999999996"/>
    <n v="246080.41"/>
    <x v="1"/>
    <n v="990.63"/>
    <n v="198126"/>
    <n v="1827.09"/>
    <n v="567.78"/>
    <n v="3875.1"/>
    <n v="204395.97"/>
    <n v="47954.41"/>
    <n v="41684.44"/>
    <s v="Paid"/>
    <n v="246080.41"/>
    <n v="0"/>
    <s v="Collected"/>
    <x v="0"/>
    <x v="0"/>
    <x v="31"/>
    <x v="1"/>
    <n v="0.52"/>
    <n v="41684.44"/>
    <n v="0.16939357342585704"/>
    <n v="0"/>
    <x v="1"/>
    <n v="9"/>
    <s v="September"/>
    <s v="2025-09"/>
  </r>
  <r>
    <s v="FZ01442"/>
    <n v="45486"/>
    <n v="45493"/>
    <x v="0"/>
    <n v="300"/>
    <n v="835.09"/>
    <n v="0.21"/>
    <n v="250000.89"/>
    <x v="2"/>
    <n v="743.71"/>
    <n v="223113"/>
    <n v="4060.11"/>
    <n v="1718.25"/>
    <n v="11854.8"/>
    <n v="240746.16"/>
    <n v="26887.89"/>
    <n v="9254.73"/>
    <s v="Paid"/>
    <n v="250000.89"/>
    <n v="0"/>
    <s v="Delivered"/>
    <x v="0"/>
    <x v="1"/>
    <x v="4"/>
    <x v="1"/>
    <n v="0.04"/>
    <n v="9254.73"/>
    <n v="3.7018788213113961E-2"/>
    <n v="0"/>
    <x v="0"/>
    <n v="7"/>
    <s v="July"/>
    <s v="2024-07"/>
  </r>
  <r>
    <s v="FZ01443"/>
    <n v="45922"/>
    <m/>
    <x v="0"/>
    <n v="150"/>
    <n v="955.43"/>
    <n v="0.11"/>
    <n v="143156.85"/>
    <x v="1"/>
    <n v="686.45"/>
    <n v="102967.5"/>
    <n v="1713.6"/>
    <n v="245.05"/>
    <n v="10268.879999999999"/>
    <n v="115195.03"/>
    <n v="40189.35"/>
    <n v="27961.82"/>
    <s v="Paid"/>
    <n v="143156.85"/>
    <n v="0"/>
    <s v="Pending"/>
    <x v="2"/>
    <x v="3"/>
    <x v="8"/>
    <x v="5"/>
    <n v="0.4"/>
    <n v="27961.82"/>
    <n v="0.19532296219147038"/>
    <n v="0"/>
    <x v="1"/>
    <n v="9"/>
    <s v="September"/>
    <s v="2025-09"/>
  </r>
  <r>
    <s v="FZ01444"/>
    <n v="45460"/>
    <n v="45464"/>
    <x v="3"/>
    <n v="100"/>
    <n v="1004.88"/>
    <n v="0.73"/>
    <n v="99754.44"/>
    <x v="2"/>
    <n v="768.73"/>
    <n v="76873"/>
    <n v="1999.06"/>
    <n v="235.91"/>
    <n v="639.69000000000005"/>
    <n v="79747.66"/>
    <n v="22881.439999999999"/>
    <n v="20006.78"/>
    <s v="Part-paid"/>
    <n v="63625.53"/>
    <n v="36128.910000000003"/>
    <s v="Delivered"/>
    <x v="1"/>
    <x v="2"/>
    <x v="2"/>
    <x v="2"/>
    <n v="1.33"/>
    <n v="20006.78"/>
    <n v="0.20056029586252"/>
    <n v="0"/>
    <x v="0"/>
    <n v="6"/>
    <s v="June"/>
    <s v="2024-06"/>
  </r>
  <r>
    <s v="FZ01445"/>
    <n v="45519"/>
    <n v="45531"/>
    <x v="0"/>
    <n v="300"/>
    <n v="824.85"/>
    <n v="0.67"/>
    <n v="245797.05"/>
    <x v="2"/>
    <n v="705.18"/>
    <n v="211554"/>
    <n v="4208.18"/>
    <n v="1020.42"/>
    <n v="3120.85"/>
    <n v="219903.45"/>
    <n v="34243.050000000003"/>
    <n v="25893.599999999999"/>
    <s v="Paid"/>
    <n v="245797.05"/>
    <n v="0"/>
    <s v="Delivered"/>
    <x v="0"/>
    <x v="2"/>
    <x v="16"/>
    <x v="1"/>
    <n v="1.84"/>
    <n v="25893.599999999999"/>
    <n v="0.10534544657879336"/>
    <n v="0"/>
    <x v="0"/>
    <n v="8"/>
    <s v="August"/>
    <s v="2024-08"/>
  </r>
  <r>
    <s v="FZ01446"/>
    <n v="45676"/>
    <n v="45688"/>
    <x v="0"/>
    <n v="250"/>
    <n v="899.67"/>
    <n v="0.38"/>
    <n v="224062.81"/>
    <x v="2"/>
    <n v="661.2"/>
    <n v="165300"/>
    <n v="3593.03"/>
    <n v="596.97"/>
    <n v="11443.97"/>
    <n v="180933.97"/>
    <n v="58762.81"/>
    <n v="43128.84"/>
    <s v="Paid"/>
    <n v="224062.81"/>
    <n v="0"/>
    <s v="Delivered"/>
    <x v="0"/>
    <x v="0"/>
    <x v="7"/>
    <x v="5"/>
    <n v="0.5"/>
    <n v="43128.84"/>
    <n v="0.1924854910103109"/>
    <n v="0"/>
    <x v="1"/>
    <n v="1"/>
    <s v="January"/>
    <s v="2025-01"/>
  </r>
  <r>
    <s v="FZ01447"/>
    <n v="45551"/>
    <n v="45551"/>
    <x v="0"/>
    <n v="200"/>
    <n v="837.2"/>
    <n v="1.88"/>
    <n v="164292.13"/>
    <x v="0"/>
    <n v="706.88"/>
    <n v="141376"/>
    <n v="1438.49"/>
    <n v="619.34"/>
    <n v="4718.43"/>
    <n v="148152.26"/>
    <n v="22916.13"/>
    <n v="16139.87"/>
    <s v="Unpaid"/>
    <n v="0"/>
    <n v="164292.13"/>
    <s v="Collected"/>
    <x v="0"/>
    <x v="0"/>
    <x v="34"/>
    <x v="4"/>
    <n v="0.56000000000000005"/>
    <n v="16139.87"/>
    <n v="9.8238850515846382E-2"/>
    <n v="0"/>
    <x v="0"/>
    <n v="9"/>
    <s v="September"/>
    <s v="2024-09"/>
  </r>
  <r>
    <s v="FZ01448"/>
    <n v="45556"/>
    <n v="45565"/>
    <x v="0"/>
    <n v="750"/>
    <n v="888.17"/>
    <n v="0.06"/>
    <n v="665727.81999999995"/>
    <x v="3"/>
    <n v="655.88"/>
    <n v="491910"/>
    <n v="11909.83"/>
    <n v="4237.3999999999996"/>
    <n v="11793.71"/>
    <n v="519850.94"/>
    <n v="173817.82"/>
    <n v="145876.88"/>
    <s v="Unpaid"/>
    <n v="0"/>
    <n v="665727.81999999995"/>
    <s v="Collected"/>
    <x v="1"/>
    <x v="2"/>
    <x v="32"/>
    <x v="0"/>
    <n v="0.61"/>
    <n v="145876.88"/>
    <n v="0.21912390562257111"/>
    <n v="0"/>
    <x v="0"/>
    <n v="9"/>
    <s v="September"/>
    <s v="2024-09"/>
  </r>
  <r>
    <s v="FZ01449"/>
    <n v="45947"/>
    <m/>
    <x v="4"/>
    <n v="500"/>
    <n v="3134.56"/>
    <n v="0.56000000000000005"/>
    <n v="1558503.23"/>
    <x v="1"/>
    <n v="2274.1999999999998"/>
    <n v="1137100"/>
    <n v="10941.15"/>
    <n v="1961.3"/>
    <n v="7594.64"/>
    <n v="1157597.0900000001"/>
    <n v="421403.23"/>
    <n v="400906.14"/>
    <s v="Paid"/>
    <n v="1558503.23"/>
    <n v="0"/>
    <s v="Pending"/>
    <x v="0"/>
    <x v="0"/>
    <x v="18"/>
    <x v="3"/>
    <n v="1.8"/>
    <n v="400906.14"/>
    <n v="0.25723792693070008"/>
    <n v="0"/>
    <x v="1"/>
    <n v="10"/>
    <s v="October"/>
    <s v="2025-10"/>
  </r>
  <r>
    <s v="FZ01450"/>
    <n v="45338"/>
    <n v="45347"/>
    <x v="1"/>
    <n v="250"/>
    <n v="1304.96"/>
    <n v="0.24"/>
    <n v="325457.02"/>
    <x v="1"/>
    <n v="1067.83"/>
    <n v="266957.5"/>
    <n v="1804.75"/>
    <n v="1364.68"/>
    <n v="6048.75"/>
    <n v="276175.68"/>
    <n v="58499.519999999997"/>
    <n v="49281.34"/>
    <s v="Paid"/>
    <n v="325457.02"/>
    <n v="0"/>
    <s v="Delivered"/>
    <x v="5"/>
    <x v="4"/>
    <x v="5"/>
    <x v="4"/>
    <n v="0.11"/>
    <n v="49281.34"/>
    <n v="0.15142196041738473"/>
    <n v="0"/>
    <x v="0"/>
    <n v="2"/>
    <s v="February"/>
    <s v="2024-02"/>
  </r>
  <r>
    <s v="FZ01451"/>
    <n v="45820"/>
    <n v="45823"/>
    <x v="2"/>
    <n v="100"/>
    <n v="687.64"/>
    <n v="1.21"/>
    <n v="67931.960000000006"/>
    <x v="0"/>
    <n v="528.21"/>
    <n v="52821"/>
    <n v="1766.39"/>
    <n v="439.94"/>
    <n v="10408.969999999999"/>
    <n v="65436.3"/>
    <n v="15110.96"/>
    <n v="2495.66"/>
    <s v="Paid"/>
    <n v="67931.960000000006"/>
    <n v="0"/>
    <s v="Collected"/>
    <x v="1"/>
    <x v="2"/>
    <x v="7"/>
    <x v="5"/>
    <n v="0.48"/>
    <n v="2495.66"/>
    <n v="3.6737641604923509E-2"/>
    <n v="0"/>
    <x v="1"/>
    <n v="6"/>
    <s v="June"/>
    <s v="2025-06"/>
  </r>
  <r>
    <s v="FZ01452"/>
    <n v="45705"/>
    <n v="45707"/>
    <x v="0"/>
    <n v="150"/>
    <n v="805.57"/>
    <n v="2.04"/>
    <n v="118370.46"/>
    <x v="1"/>
    <n v="669.65"/>
    <n v="100447.5"/>
    <n v="1754.98"/>
    <n v="858.03"/>
    <n v="9094.25"/>
    <n v="112154.76"/>
    <n v="17922.96"/>
    <n v="6215.7"/>
    <s v="Paid"/>
    <n v="118370.46"/>
    <n v="0"/>
    <s v="Delivered"/>
    <x v="0"/>
    <x v="1"/>
    <x v="11"/>
    <x v="5"/>
    <n v="0.89"/>
    <n v="6215.7"/>
    <n v="5.2510567247943445E-2"/>
    <n v="0"/>
    <x v="1"/>
    <n v="2"/>
    <s v="February"/>
    <s v="2025-02"/>
  </r>
  <r>
    <s v="FZ01453"/>
    <n v="45482"/>
    <m/>
    <x v="2"/>
    <n v="100"/>
    <n v="696.61"/>
    <n v="0.56999999999999995"/>
    <n v="0"/>
    <x v="2"/>
    <n v="549.30999999999995"/>
    <n v="0"/>
    <n v="0"/>
    <n v="0"/>
    <n v="0"/>
    <n v="0"/>
    <n v="0"/>
    <n v="0"/>
    <s v="Paid"/>
    <n v="0"/>
    <n v="0"/>
    <s v="Cancelled"/>
    <x v="2"/>
    <x v="2"/>
    <x v="8"/>
    <x v="5"/>
    <n v="0.26"/>
    <n v="0"/>
    <e v="#DIV/0!"/>
    <n v="0"/>
    <x v="0"/>
    <n v="7"/>
    <s v="July"/>
    <s v="2024-07"/>
  </r>
  <r>
    <s v="FZ01454"/>
    <n v="45869"/>
    <m/>
    <x v="0"/>
    <n v="500"/>
    <n v="849.24"/>
    <n v="3.67"/>
    <n v="409036.45"/>
    <x v="1"/>
    <n v="711.94"/>
    <n v="355970"/>
    <n v="7302.02"/>
    <n v="1295.55"/>
    <n v="8518.92"/>
    <n v="373086.49"/>
    <n v="53066.45"/>
    <n v="35949.96"/>
    <s v="Paid"/>
    <n v="409036.45"/>
    <n v="0"/>
    <s v="Pending"/>
    <x v="4"/>
    <x v="1"/>
    <x v="8"/>
    <x v="5"/>
    <n v="0.64"/>
    <n v="35949.96"/>
    <n v="8.7889380029579273E-2"/>
    <n v="0"/>
    <x v="1"/>
    <n v="7"/>
    <s v="July"/>
    <s v="2025-07"/>
  </r>
  <r>
    <s v="FZ01455"/>
    <n v="45651"/>
    <n v="45663"/>
    <x v="0"/>
    <n v="300"/>
    <n v="846.36"/>
    <n v="2.06"/>
    <n v="248677.5"/>
    <x v="2"/>
    <n v="747.29"/>
    <n v="224187"/>
    <n v="2284.58"/>
    <n v="1060.18"/>
    <n v="146.85"/>
    <n v="227678.61"/>
    <n v="24490.5"/>
    <n v="20998.89"/>
    <s v="Paid"/>
    <n v="248677.5"/>
    <n v="0"/>
    <s v="Delivered"/>
    <x v="0"/>
    <x v="1"/>
    <x v="36"/>
    <x v="3"/>
    <n v="1.7"/>
    <n v="20998.89"/>
    <n v="8.4442259553035554E-2"/>
    <n v="0"/>
    <x v="0"/>
    <n v="12"/>
    <s v="December"/>
    <s v="2024-12"/>
  </r>
  <r>
    <s v="FZ01456"/>
    <n v="45536"/>
    <n v="45537"/>
    <x v="0"/>
    <n v="150"/>
    <n v="861.77"/>
    <n v="1.42"/>
    <n v="127429.93"/>
    <x v="0"/>
    <n v="662.85"/>
    <n v="99427.5"/>
    <n v="2856.55"/>
    <n v="338.5"/>
    <n v="452.48"/>
    <n v="103075.03"/>
    <n v="28002.43"/>
    <n v="24354.9"/>
    <s v="Part-paid"/>
    <n v="44328.33"/>
    <n v="83101.600000000006"/>
    <s v="Delivered"/>
    <x v="0"/>
    <x v="1"/>
    <x v="10"/>
    <x v="5"/>
    <n v="1.49"/>
    <n v="24354.9"/>
    <n v="0.19112385920638897"/>
    <n v="0"/>
    <x v="0"/>
    <n v="9"/>
    <s v="September"/>
    <s v="2024-09"/>
  </r>
  <r>
    <s v="FZ01457"/>
    <n v="45969"/>
    <n v="45979"/>
    <x v="0"/>
    <n v="200"/>
    <n v="942.5"/>
    <n v="0.54"/>
    <n v="187482.1"/>
    <x v="2"/>
    <n v="670.67"/>
    <n v="134134"/>
    <n v="3446.06"/>
    <n v="328.69"/>
    <n v="8455.27"/>
    <n v="146364.01999999999"/>
    <n v="53348.1"/>
    <n v="41118.080000000002"/>
    <s v="Part-paid"/>
    <n v="68672.27"/>
    <n v="118809.83"/>
    <s v="Delivered"/>
    <x v="3"/>
    <x v="3"/>
    <x v="7"/>
    <x v="5"/>
    <n v="1.9"/>
    <n v="41118.080000000002"/>
    <n v="0.21931736416436556"/>
    <n v="0"/>
    <x v="1"/>
    <n v="11"/>
    <s v="November"/>
    <s v="2025-11"/>
  </r>
  <r>
    <s v="FZ01458"/>
    <n v="45459"/>
    <m/>
    <x v="1"/>
    <n v="100"/>
    <n v="1314.25"/>
    <n v="1.78"/>
    <n v="0"/>
    <x v="0"/>
    <n v="1018.04"/>
    <n v="0"/>
    <n v="0"/>
    <n v="0"/>
    <n v="0"/>
    <n v="0"/>
    <n v="0"/>
    <n v="0"/>
    <s v="Paid"/>
    <n v="0"/>
    <n v="0"/>
    <s v="Cancelled"/>
    <x v="0"/>
    <x v="1"/>
    <x v="22"/>
    <x v="5"/>
    <n v="2.12"/>
    <n v="0"/>
    <e v="#DIV/0!"/>
    <n v="0"/>
    <x v="0"/>
    <n v="6"/>
    <s v="June"/>
    <s v="2024-06"/>
  </r>
  <r>
    <s v="FZ01459"/>
    <n v="45530"/>
    <n v="45531"/>
    <x v="0"/>
    <n v="500"/>
    <n v="860.7"/>
    <n v="1.95"/>
    <n v="421958.18"/>
    <x v="3"/>
    <n v="667.41"/>
    <n v="333705"/>
    <n v="6958.18"/>
    <n v="1092.06"/>
    <n v="854.59"/>
    <n v="342609.83"/>
    <n v="88253.18"/>
    <n v="79348.350000000006"/>
    <s v="Unpaid"/>
    <n v="0"/>
    <n v="421958.18"/>
    <s v="Delivered"/>
    <x v="3"/>
    <x v="0"/>
    <x v="23"/>
    <x v="4"/>
    <n v="2.0099999999999998"/>
    <n v="79348.350000000006"/>
    <n v="0.1880479008606967"/>
    <n v="0"/>
    <x v="0"/>
    <n v="8"/>
    <s v="August"/>
    <s v="2024-08"/>
  </r>
  <r>
    <s v="FZ01460"/>
    <n v="45996"/>
    <n v="46009"/>
    <x v="2"/>
    <n v="150"/>
    <n v="788.01"/>
    <n v="1.1000000000000001"/>
    <n v="116901.28"/>
    <x v="0"/>
    <n v="558.95000000000005"/>
    <n v="83842.5"/>
    <n v="3157.88"/>
    <n v="578.97"/>
    <n v="8365.89"/>
    <n v="95945.24"/>
    <n v="33058.78"/>
    <n v="20956.04"/>
    <s v="Paid"/>
    <n v="116901.28"/>
    <n v="0"/>
    <s v="Delivered"/>
    <x v="0"/>
    <x v="0"/>
    <x v="6"/>
    <x v="2"/>
    <n v="1.94"/>
    <n v="20956.04"/>
    <n v="0.17926270781637293"/>
    <n v="0"/>
    <x v="1"/>
    <n v="12"/>
    <s v="December"/>
    <s v="2025-12"/>
  </r>
  <r>
    <s v="FZ01461"/>
    <n v="45952"/>
    <n v="45959"/>
    <x v="0"/>
    <n v="50"/>
    <n v="889.45"/>
    <n v="0.54"/>
    <n v="44232.35"/>
    <x v="0"/>
    <n v="684.2"/>
    <n v="34210"/>
    <n v="401.67"/>
    <n v="184.08"/>
    <n v="2584.4299999999998"/>
    <n v="37380.18"/>
    <n v="10022.35"/>
    <n v="6852.17"/>
    <s v="Paid"/>
    <n v="44232.35"/>
    <n v="0"/>
    <s v="Delivered"/>
    <x v="4"/>
    <x v="4"/>
    <x v="25"/>
    <x v="3"/>
    <n v="1.46"/>
    <n v="6852.17"/>
    <n v="0.15491308962784026"/>
    <n v="0"/>
    <x v="1"/>
    <n v="10"/>
    <s v="October"/>
    <s v="2025-10"/>
  </r>
  <r>
    <s v="FZ01462"/>
    <n v="45462"/>
    <n v="45474"/>
    <x v="2"/>
    <n v="300"/>
    <n v="719.92"/>
    <n v="1.76"/>
    <n v="212174.82"/>
    <x v="1"/>
    <n v="604.27"/>
    <n v="181281"/>
    <n v="1575.22"/>
    <n v="1326.22"/>
    <n v="10480.84"/>
    <n v="194663.28"/>
    <n v="30893.82"/>
    <n v="17511.54"/>
    <s v="Paid"/>
    <n v="212174.82"/>
    <n v="0"/>
    <s v="Delivered"/>
    <x v="2"/>
    <x v="0"/>
    <x v="35"/>
    <x v="4"/>
    <n v="0.56000000000000005"/>
    <n v="17511.54"/>
    <n v="8.2533544743905049E-2"/>
    <n v="0"/>
    <x v="0"/>
    <n v="6"/>
    <s v="June"/>
    <s v="2024-06"/>
  </r>
  <r>
    <s v="FZ01463"/>
    <n v="46014"/>
    <m/>
    <x v="0"/>
    <n v="250"/>
    <n v="878.94"/>
    <n v="0.22"/>
    <n v="0"/>
    <x v="1"/>
    <n v="682.33"/>
    <n v="0"/>
    <n v="0"/>
    <n v="0"/>
    <n v="0"/>
    <n v="0"/>
    <n v="0"/>
    <n v="0"/>
    <s v="Paid"/>
    <n v="0"/>
    <n v="0"/>
    <s v="Cancelled"/>
    <x v="3"/>
    <x v="3"/>
    <x v="5"/>
    <x v="4"/>
    <n v="1.25"/>
    <n v="0"/>
    <e v="#DIV/0!"/>
    <n v="0"/>
    <x v="1"/>
    <n v="12"/>
    <s v="December"/>
    <s v="2025-12"/>
  </r>
  <r>
    <s v="FZ01464"/>
    <n v="45624"/>
    <n v="45629"/>
    <x v="0"/>
    <n v="100"/>
    <n v="906.97"/>
    <n v="0.36"/>
    <n v="90370.49"/>
    <x v="1"/>
    <n v="678.28"/>
    <n v="67828"/>
    <n v="2360.19"/>
    <n v="327.26"/>
    <n v="10692.55"/>
    <n v="81208"/>
    <n v="22542.49"/>
    <n v="9162.49"/>
    <s v="Paid"/>
    <n v="90370.49"/>
    <n v="0"/>
    <s v="Delivered"/>
    <x v="2"/>
    <x v="0"/>
    <x v="17"/>
    <x v="3"/>
    <n v="0.16"/>
    <n v="9162.49"/>
    <n v="0.10138807480185179"/>
    <n v="0"/>
    <x v="0"/>
    <n v="11"/>
    <s v="November"/>
    <s v="2024-11"/>
  </r>
  <r>
    <s v="FZ01465"/>
    <n v="45838"/>
    <n v="45852"/>
    <x v="0"/>
    <n v="1000"/>
    <n v="801.05"/>
    <n v="3.61"/>
    <n v="772132.1"/>
    <x v="2"/>
    <n v="703.26"/>
    <n v="703260"/>
    <n v="15129.76"/>
    <n v="4359.7"/>
    <n v="11414.41"/>
    <n v="734163.87"/>
    <n v="68872.100000000006"/>
    <n v="37968.230000000003"/>
    <s v="Paid"/>
    <n v="772132.1"/>
    <n v="0"/>
    <s v="Delivered"/>
    <x v="2"/>
    <x v="1"/>
    <x v="28"/>
    <x v="4"/>
    <n v="0.56999999999999995"/>
    <n v="37968.230000000003"/>
    <n v="4.9173230850006112E-2"/>
    <n v="0"/>
    <x v="1"/>
    <n v="6"/>
    <s v="June"/>
    <s v="2025-06"/>
  </r>
  <r>
    <s v="FZ01466"/>
    <n v="45318"/>
    <n v="45325"/>
    <x v="1"/>
    <n v="200"/>
    <n v="1232.73"/>
    <n v="0.79"/>
    <n v="244598.29"/>
    <x v="2"/>
    <n v="995.17"/>
    <n v="199034"/>
    <n v="3707.34"/>
    <n v="583.44000000000005"/>
    <n v="4446.6899999999996"/>
    <n v="207771.47"/>
    <n v="45564.29"/>
    <n v="36826.82"/>
    <s v="Part-paid"/>
    <n v="143946.63"/>
    <n v="100651.66"/>
    <s v="Delivered"/>
    <x v="3"/>
    <x v="2"/>
    <x v="25"/>
    <x v="3"/>
    <n v="2.46"/>
    <n v="36826.82"/>
    <n v="0.1505604147927608"/>
    <n v="0"/>
    <x v="0"/>
    <n v="1"/>
    <s v="January"/>
    <s v="2024-01"/>
  </r>
  <r>
    <s v="FZ01467"/>
    <n v="45807"/>
    <m/>
    <x v="1"/>
    <n v="300"/>
    <n v="1224.73"/>
    <n v="1.1200000000000001"/>
    <n v="0"/>
    <x v="0"/>
    <n v="994.74"/>
    <n v="0"/>
    <n v="0"/>
    <n v="0"/>
    <n v="0"/>
    <n v="0"/>
    <n v="0"/>
    <n v="0"/>
    <s v="Paid"/>
    <n v="0"/>
    <n v="0"/>
    <s v="Cancelled"/>
    <x v="4"/>
    <x v="1"/>
    <x v="2"/>
    <x v="2"/>
    <n v="0.04"/>
    <n v="0"/>
    <e v="#DIV/0!"/>
    <n v="0"/>
    <x v="1"/>
    <n v="5"/>
    <s v="May"/>
    <s v="2025-05"/>
  </r>
  <r>
    <s v="FZ01468"/>
    <n v="45946"/>
    <n v="45960"/>
    <x v="0"/>
    <n v="250"/>
    <n v="861.56"/>
    <n v="1.23"/>
    <n v="212740.7"/>
    <x v="2"/>
    <n v="679.31"/>
    <n v="169827.5"/>
    <n v="3317.78"/>
    <n v="801.91"/>
    <n v="10785.13"/>
    <n v="184732.32"/>
    <n v="42913.2"/>
    <n v="28008.38"/>
    <s v="Part-paid"/>
    <n v="69034.559999999998"/>
    <n v="143706.14000000001"/>
    <s v="Collected"/>
    <x v="3"/>
    <x v="0"/>
    <x v="9"/>
    <x v="1"/>
    <n v="1.49"/>
    <n v="28008.38"/>
    <n v="0.13165501476680297"/>
    <n v="0"/>
    <x v="1"/>
    <n v="10"/>
    <s v="October"/>
    <s v="2025-10"/>
  </r>
  <r>
    <s v="FZ01469"/>
    <n v="45415"/>
    <n v="45427"/>
    <x v="2"/>
    <n v="200"/>
    <n v="744.36"/>
    <n v="2.2200000000000002"/>
    <n v="145567.04000000001"/>
    <x v="1"/>
    <n v="597.14"/>
    <n v="119428"/>
    <n v="1849.89"/>
    <n v="457.21"/>
    <n v="10610"/>
    <n v="132345.1"/>
    <n v="26139.040000000001"/>
    <n v="13221.94"/>
    <s v="Paid"/>
    <n v="145567.04000000001"/>
    <n v="0"/>
    <s v="Delivered"/>
    <x v="4"/>
    <x v="1"/>
    <x v="12"/>
    <x v="2"/>
    <n v="1.19"/>
    <n v="13221.94"/>
    <n v="9.0830589122372754E-2"/>
    <n v="0"/>
    <x v="0"/>
    <n v="5"/>
    <s v="May"/>
    <s v="2024-05"/>
  </r>
  <r>
    <s v="FZ01470"/>
    <n v="45954"/>
    <n v="45965"/>
    <x v="3"/>
    <n v="300"/>
    <n v="996.72"/>
    <n v="1.97"/>
    <n v="293125.38"/>
    <x v="1"/>
    <n v="774.58"/>
    <n v="232374"/>
    <n v="1715.41"/>
    <n v="1121.4000000000001"/>
    <n v="1236.6500000000001"/>
    <n v="236447.46"/>
    <n v="60751.38"/>
    <n v="56677.919999999998"/>
    <s v="Part-paid"/>
    <n v="179090.99"/>
    <n v="114034.39"/>
    <s v="Collected"/>
    <x v="1"/>
    <x v="4"/>
    <x v="32"/>
    <x v="0"/>
    <n v="2.08"/>
    <n v="56677.919999999998"/>
    <n v="0.19335725893131464"/>
    <n v="0"/>
    <x v="1"/>
    <n v="10"/>
    <s v="October"/>
    <s v="2025-10"/>
  </r>
  <r>
    <s v="FZ01471"/>
    <n v="45666"/>
    <n v="45676"/>
    <x v="2"/>
    <n v="50"/>
    <n v="743.9"/>
    <n v="1.17"/>
    <n v="36759.82"/>
    <x v="2"/>
    <n v="592.02"/>
    <n v="29601"/>
    <n v="999.32"/>
    <n v="234.65"/>
    <n v="1206.28"/>
    <n v="32041.25"/>
    <n v="7158.82"/>
    <n v="4718.57"/>
    <s v="Paid"/>
    <n v="36759.82"/>
    <n v="0"/>
    <s v="Delivered"/>
    <x v="4"/>
    <x v="4"/>
    <x v="22"/>
    <x v="5"/>
    <n v="2.3199999999999998"/>
    <n v="4718.57"/>
    <n v="0.12836216281798984"/>
    <n v="0"/>
    <x v="1"/>
    <n v="1"/>
    <s v="January"/>
    <s v="2025-01"/>
  </r>
  <r>
    <s v="FZ01472"/>
    <n v="45658"/>
    <n v="45669"/>
    <x v="0"/>
    <n v="100"/>
    <n v="888.58"/>
    <n v="2.2200000000000002"/>
    <n v="86885.35"/>
    <x v="0"/>
    <n v="730.53"/>
    <n v="73053"/>
    <n v="2213.1"/>
    <n v="220.79"/>
    <n v="1914.68"/>
    <n v="77401.570000000007"/>
    <n v="13832.35"/>
    <n v="9483.7800000000007"/>
    <s v="Part-paid"/>
    <n v="58377.53"/>
    <n v="28507.82"/>
    <s v="Delivered"/>
    <x v="1"/>
    <x v="4"/>
    <x v="13"/>
    <x v="5"/>
    <n v="1.76"/>
    <n v="9483.7800000000007"/>
    <n v="0.10915280884521959"/>
    <n v="0"/>
    <x v="1"/>
    <n v="1"/>
    <s v="January"/>
    <s v="2025-01"/>
  </r>
  <r>
    <s v="FZ01473"/>
    <n v="45689"/>
    <n v="45697"/>
    <x v="1"/>
    <n v="150"/>
    <n v="1333.89"/>
    <n v="0.03"/>
    <n v="200023.47"/>
    <x v="1"/>
    <n v="1026.1199999999999"/>
    <n v="153918"/>
    <n v="984.6"/>
    <n v="865.55"/>
    <n v="2107.9"/>
    <n v="157876.04999999999"/>
    <n v="46105.47"/>
    <n v="42147.42"/>
    <s v="Unpaid"/>
    <n v="0"/>
    <n v="200023.47"/>
    <s v="Delivered"/>
    <x v="2"/>
    <x v="3"/>
    <x v="13"/>
    <x v="5"/>
    <n v="1.54"/>
    <n v="42147.42"/>
    <n v="0.21071237290303982"/>
    <n v="0"/>
    <x v="1"/>
    <n v="2"/>
    <s v="February"/>
    <s v="2025-02"/>
  </r>
  <r>
    <s v="FZ01474"/>
    <n v="45310"/>
    <n v="45318"/>
    <x v="1"/>
    <n v="200"/>
    <n v="1339.42"/>
    <n v="0.03"/>
    <n v="267803.63"/>
    <x v="1"/>
    <n v="995.3"/>
    <n v="199060"/>
    <n v="3034.64"/>
    <n v="814.31"/>
    <n v="6666.23"/>
    <n v="209575.18"/>
    <n v="68743.63"/>
    <n v="58228.45"/>
    <s v="Paid"/>
    <n v="267803.63"/>
    <n v="0"/>
    <s v="Delivered"/>
    <x v="0"/>
    <x v="1"/>
    <x v="24"/>
    <x v="0"/>
    <n v="2.3199999999999998"/>
    <n v="58228.45"/>
    <n v="0.21742965171905995"/>
    <n v="0"/>
    <x v="0"/>
    <n v="1"/>
    <s v="January"/>
    <s v="2024-01"/>
  </r>
  <r>
    <s v="FZ01475"/>
    <n v="45706"/>
    <n v="45720"/>
    <x v="3"/>
    <n v="100"/>
    <n v="983.14"/>
    <n v="1.39"/>
    <n v="96947.44"/>
    <x v="1"/>
    <n v="810.07"/>
    <n v="81007"/>
    <n v="1892.83"/>
    <n v="493.28"/>
    <n v="145.88999999999999"/>
    <n v="83539"/>
    <n v="15940.44"/>
    <n v="13408.44"/>
    <s v="Paid"/>
    <n v="96947.44"/>
    <n v="0"/>
    <s v="Delivered"/>
    <x v="0"/>
    <x v="0"/>
    <x v="8"/>
    <x v="5"/>
    <n v="1.77"/>
    <n v="13408.44"/>
    <n v="0.13830628224943331"/>
    <n v="0"/>
    <x v="1"/>
    <n v="2"/>
    <s v="February"/>
    <s v="2025-02"/>
  </r>
  <r>
    <s v="FZ01476"/>
    <n v="45517"/>
    <n v="45519"/>
    <x v="0"/>
    <n v="50"/>
    <n v="922.09"/>
    <n v="1.07"/>
    <n v="45611.18"/>
    <x v="3"/>
    <n v="703.52"/>
    <n v="35176"/>
    <n v="891.26"/>
    <n v="81.7"/>
    <n v="4151.2700000000004"/>
    <n v="40300.230000000003"/>
    <n v="10435.18"/>
    <n v="5310.95"/>
    <s v="Unpaid"/>
    <n v="0"/>
    <n v="45611.18"/>
    <s v="Collected"/>
    <x v="3"/>
    <x v="4"/>
    <x v="12"/>
    <x v="2"/>
    <n v="0.74"/>
    <n v="5310.95"/>
    <n v="0.1164396536112418"/>
    <n v="0"/>
    <x v="0"/>
    <n v="8"/>
    <s v="August"/>
    <s v="2024-08"/>
  </r>
  <r>
    <s v="FZ01477"/>
    <n v="45488"/>
    <m/>
    <x v="0"/>
    <n v="300"/>
    <n v="878.79"/>
    <n v="0.73"/>
    <n v="261712.45"/>
    <x v="0"/>
    <n v="660.96"/>
    <n v="198288"/>
    <n v="4669.97"/>
    <n v="1246.51"/>
    <n v="11637.66"/>
    <n v="215842.14"/>
    <n v="63424.45"/>
    <n v="45870.31"/>
    <s v="Paid"/>
    <n v="261712.45"/>
    <n v="0"/>
    <s v="Pending"/>
    <x v="1"/>
    <x v="3"/>
    <x v="7"/>
    <x v="5"/>
    <n v="0.56000000000000005"/>
    <n v="45870.31"/>
    <n v="0.17526988112334738"/>
    <n v="0"/>
    <x v="0"/>
    <n v="7"/>
    <s v="July"/>
    <s v="2024-07"/>
  </r>
  <r>
    <s v="FZ01478"/>
    <n v="45900"/>
    <n v="45900"/>
    <x v="1"/>
    <n v="150"/>
    <n v="1259.67"/>
    <n v="1.18"/>
    <n v="186720.88"/>
    <x v="1"/>
    <n v="972.35"/>
    <n v="145852.5"/>
    <n v="1195.75"/>
    <n v="777.73"/>
    <n v="563.91"/>
    <n v="148389.89000000001"/>
    <n v="40868.379999999997"/>
    <n v="38330.99"/>
    <s v="Paid"/>
    <n v="186720.88"/>
    <n v="0"/>
    <s v="Delivered"/>
    <x v="2"/>
    <x v="4"/>
    <x v="22"/>
    <x v="5"/>
    <n v="1.25"/>
    <n v="38330.99"/>
    <n v="0.20528496866552898"/>
    <n v="0"/>
    <x v="1"/>
    <n v="8"/>
    <s v="August"/>
    <s v="2025-08"/>
  </r>
  <r>
    <s v="FZ01479"/>
    <n v="45959"/>
    <n v="45962"/>
    <x v="2"/>
    <n v="500"/>
    <n v="698.19"/>
    <n v="4.41"/>
    <n v="333699.90999999997"/>
    <x v="3"/>
    <n v="540.22"/>
    <n v="270110"/>
    <n v="9880.9699999999993"/>
    <n v="1781.04"/>
    <n v="34.76"/>
    <n v="281806.77"/>
    <n v="63589.91"/>
    <n v="51893.14"/>
    <s v="Paid"/>
    <n v="333699.90999999997"/>
    <n v="0"/>
    <s v="Delivered"/>
    <x v="5"/>
    <x v="4"/>
    <x v="15"/>
    <x v="3"/>
    <n v="0.05"/>
    <n v="51893.14"/>
    <n v="0.15550840274425007"/>
    <n v="0"/>
    <x v="1"/>
    <n v="10"/>
    <s v="October"/>
    <s v="2025-10"/>
  </r>
  <r>
    <s v="FZ01480"/>
    <n v="45944"/>
    <n v="45949"/>
    <x v="3"/>
    <n v="200"/>
    <n v="986.46"/>
    <n v="1.1200000000000001"/>
    <n v="195082.33"/>
    <x v="1"/>
    <n v="809.78"/>
    <n v="161956"/>
    <n v="3062.03"/>
    <n v="513.78"/>
    <n v="7717.71"/>
    <n v="173249.52"/>
    <n v="33126.33"/>
    <n v="21832.81"/>
    <s v="Part-paid"/>
    <n v="116345.7"/>
    <n v="78736.63"/>
    <s v="Delivered"/>
    <x v="0"/>
    <x v="4"/>
    <x v="3"/>
    <x v="3"/>
    <n v="1.31"/>
    <n v="21832.81"/>
    <n v="0.11191587674803763"/>
    <n v="0"/>
    <x v="1"/>
    <n v="10"/>
    <s v="October"/>
    <s v="2025-10"/>
  </r>
  <r>
    <s v="FZ01481"/>
    <n v="45554"/>
    <n v="45565"/>
    <x v="0"/>
    <n v="150"/>
    <n v="835.63"/>
    <n v="0.97"/>
    <n v="124128.66"/>
    <x v="1"/>
    <n v="667.06"/>
    <n v="100059"/>
    <n v="1938.66"/>
    <n v="884.05"/>
    <n v="1826.07"/>
    <n v="104707.78"/>
    <n v="24069.66"/>
    <n v="19420.88"/>
    <s v="Paid"/>
    <n v="124128.66"/>
    <n v="0"/>
    <s v="Delivered"/>
    <x v="3"/>
    <x v="1"/>
    <x v="11"/>
    <x v="5"/>
    <n v="0.5"/>
    <n v="19420.88"/>
    <n v="0.15645766255754312"/>
    <n v="0"/>
    <x v="0"/>
    <n v="9"/>
    <s v="September"/>
    <s v="2024-09"/>
  </r>
  <r>
    <s v="FZ01482"/>
    <n v="45942"/>
    <n v="45955"/>
    <x v="0"/>
    <n v="300"/>
    <n v="889.13"/>
    <n v="0.46"/>
    <n v="265512"/>
    <x v="0"/>
    <n v="709.86"/>
    <n v="212958"/>
    <n v="3519.67"/>
    <n v="687.21"/>
    <n v="1181.3699999999999"/>
    <n v="218346.25"/>
    <n v="52554"/>
    <n v="47165.75"/>
    <s v="Paid"/>
    <n v="265512"/>
    <n v="0"/>
    <s v="Delivered"/>
    <x v="1"/>
    <x v="2"/>
    <x v="31"/>
    <x v="1"/>
    <n v="1.62"/>
    <n v="47165.75"/>
    <n v="0.17764074693422519"/>
    <n v="0"/>
    <x v="1"/>
    <n v="10"/>
    <s v="October"/>
    <s v="2025-10"/>
  </r>
  <r>
    <s v="FZ01483"/>
    <n v="45588"/>
    <n v="45598"/>
    <x v="1"/>
    <n v="500"/>
    <n v="1313.37"/>
    <n v="0.59"/>
    <n v="652810.56000000006"/>
    <x v="1"/>
    <n v="969.97"/>
    <n v="484985"/>
    <n v="9405.2800000000007"/>
    <n v="2849.89"/>
    <n v="3667.06"/>
    <n v="500907.23"/>
    <n v="167825.56"/>
    <n v="151903.32999999999"/>
    <s v="Paid"/>
    <n v="652810.56000000006"/>
    <n v="0"/>
    <s v="Collected"/>
    <x v="0"/>
    <x v="1"/>
    <x v="35"/>
    <x v="4"/>
    <n v="2.37"/>
    <n v="151903.32999999999"/>
    <n v="0.23269128795955749"/>
    <n v="0"/>
    <x v="0"/>
    <n v="10"/>
    <s v="October"/>
    <s v="2024-10"/>
  </r>
  <r>
    <s v="FZ01484"/>
    <n v="45625"/>
    <n v="45636"/>
    <x v="0"/>
    <n v="150"/>
    <n v="896.97"/>
    <n v="2.13"/>
    <n v="131679.67999999999"/>
    <x v="0"/>
    <n v="691.39"/>
    <n v="103708.5"/>
    <n v="3545.31"/>
    <n v="617.72"/>
    <n v="3009.87"/>
    <n v="110881.4"/>
    <n v="27971.18"/>
    <n v="20798.28"/>
    <s v="Paid"/>
    <n v="131679.67999999999"/>
    <n v="0"/>
    <s v="Delivered"/>
    <x v="2"/>
    <x v="3"/>
    <x v="33"/>
    <x v="1"/>
    <n v="1.5"/>
    <n v="20798.28"/>
    <n v="0.15794600958933072"/>
    <n v="0"/>
    <x v="0"/>
    <n v="11"/>
    <s v="November"/>
    <s v="2024-11"/>
  </r>
  <r>
    <s v="FZ01485"/>
    <n v="45291"/>
    <n v="45305"/>
    <x v="2"/>
    <n v="50"/>
    <n v="724.81"/>
    <n v="1.98"/>
    <n v="35522.94"/>
    <x v="1"/>
    <n v="538.58000000000004"/>
    <n v="26929"/>
    <n v="1039.17"/>
    <n v="197.03"/>
    <n v="5270.41"/>
    <n v="33435.61"/>
    <n v="8593.94"/>
    <n v="2087.33"/>
    <s v="Part-paid"/>
    <n v="24347.22"/>
    <n v="11175.72"/>
    <s v="Collected"/>
    <x v="3"/>
    <x v="2"/>
    <x v="3"/>
    <x v="3"/>
    <n v="1.17"/>
    <n v="2087.33"/>
    <n v="5.8760057585323731E-2"/>
    <n v="0"/>
    <x v="2"/>
    <n v="12"/>
    <s v="December"/>
    <s v="2023-12"/>
  </r>
  <r>
    <s v="FZ01486"/>
    <n v="45985"/>
    <n v="45989"/>
    <x v="0"/>
    <n v="300"/>
    <n v="930.11"/>
    <n v="0.7"/>
    <n v="277079.77"/>
    <x v="2"/>
    <n v="668.44"/>
    <n v="200532"/>
    <n v="2572.5700000000002"/>
    <n v="812.02"/>
    <n v="3202.16"/>
    <n v="207118.75"/>
    <n v="76547.77"/>
    <n v="69961.02"/>
    <s v="Paid"/>
    <n v="277079.77"/>
    <n v="0"/>
    <s v="Delivered"/>
    <x v="1"/>
    <x v="4"/>
    <x v="3"/>
    <x v="3"/>
    <n v="1.22"/>
    <n v="69961.02"/>
    <n v="0.25249414636081152"/>
    <n v="0"/>
    <x v="1"/>
    <n v="11"/>
    <s v="November"/>
    <s v="2025-11"/>
  </r>
  <r>
    <s v="FZ01487"/>
    <n v="45618"/>
    <m/>
    <x v="3"/>
    <n v="150"/>
    <n v="1087.4100000000001"/>
    <n v="0.65"/>
    <n v="162051.28"/>
    <x v="0"/>
    <n v="719.13"/>
    <n v="107869.5"/>
    <n v="759.25"/>
    <n v="356.76"/>
    <n v="2029.68"/>
    <n v="111015.19"/>
    <n v="54181.78"/>
    <n v="51036.09"/>
    <s v="Paid"/>
    <n v="162051.28"/>
    <n v="0"/>
    <s v="Pending"/>
    <x v="1"/>
    <x v="0"/>
    <x v="4"/>
    <x v="1"/>
    <n v="2.08"/>
    <n v="51036.09"/>
    <n v="0.31493790113845443"/>
    <n v="0"/>
    <x v="0"/>
    <n v="11"/>
    <s v="November"/>
    <s v="2024-11"/>
  </r>
  <r>
    <s v="FZ01488"/>
    <n v="45480"/>
    <n v="45491"/>
    <x v="1"/>
    <n v="500"/>
    <n v="1278.72"/>
    <n v="3.03"/>
    <n v="619987.39"/>
    <x v="1"/>
    <n v="969.76"/>
    <n v="484880"/>
    <n v="7534.57"/>
    <n v="754.65"/>
    <n v="2568.34"/>
    <n v="495737.56"/>
    <n v="135107.39000000001"/>
    <n v="124249.83"/>
    <s v="Paid"/>
    <n v="619987.39"/>
    <n v="0"/>
    <s v="Delivered"/>
    <x v="5"/>
    <x v="0"/>
    <x v="11"/>
    <x v="5"/>
    <n v="0.36"/>
    <n v="124249.83"/>
    <n v="0.20040702763325557"/>
    <n v="0"/>
    <x v="0"/>
    <n v="7"/>
    <s v="July"/>
    <s v="2024-07"/>
  </r>
  <r>
    <s v="FZ01489"/>
    <n v="45643"/>
    <n v="45652"/>
    <x v="0"/>
    <n v="500"/>
    <n v="872.21"/>
    <n v="1.95"/>
    <n v="427600.95"/>
    <x v="2"/>
    <n v="700.53"/>
    <n v="350265"/>
    <n v="11099.47"/>
    <n v="2694.92"/>
    <n v="1517.6"/>
    <n v="365576.99"/>
    <n v="77335.95"/>
    <n v="62023.96"/>
    <s v="Part-paid"/>
    <n v="158860.48000000001"/>
    <n v="268740.46999999997"/>
    <s v="Delivered"/>
    <x v="3"/>
    <x v="0"/>
    <x v="17"/>
    <x v="3"/>
    <n v="0.95"/>
    <n v="62023.96"/>
    <n v="0.14505103414760889"/>
    <n v="0"/>
    <x v="0"/>
    <n v="12"/>
    <s v="December"/>
    <s v="2024-12"/>
  </r>
  <r>
    <s v="FZ01490"/>
    <n v="45748"/>
    <n v="45750"/>
    <x v="0"/>
    <n v="100"/>
    <n v="836.41"/>
    <n v="0.55000000000000004"/>
    <n v="83180.97"/>
    <x v="2"/>
    <n v="681.18"/>
    <n v="68118"/>
    <n v="2090.96"/>
    <n v="573.45000000000005"/>
    <n v="10599.64"/>
    <n v="81382.05"/>
    <n v="15062.97"/>
    <n v="1798.92"/>
    <s v="Part-paid"/>
    <n v="25958.44"/>
    <n v="57222.53"/>
    <s v="Collected"/>
    <x v="1"/>
    <x v="2"/>
    <x v="7"/>
    <x v="5"/>
    <n v="1.33"/>
    <n v="1798.92"/>
    <n v="2.1626581175958878E-2"/>
    <n v="0"/>
    <x v="1"/>
    <n v="4"/>
    <s v="April"/>
    <s v="2025-04"/>
  </r>
  <r>
    <s v="FZ01491"/>
    <n v="45620"/>
    <n v="45623"/>
    <x v="0"/>
    <n v="200"/>
    <n v="901.64"/>
    <n v="0.51"/>
    <n v="179408.33"/>
    <x v="2"/>
    <n v="719.43"/>
    <n v="143886"/>
    <n v="4367.8900000000003"/>
    <n v="332.61"/>
    <n v="8715.43"/>
    <n v="157301.93"/>
    <n v="35522.33"/>
    <n v="22106.400000000001"/>
    <s v="Paid"/>
    <n v="179408.33"/>
    <n v="0"/>
    <s v="Delivered"/>
    <x v="5"/>
    <x v="1"/>
    <x v="1"/>
    <x v="1"/>
    <n v="0.1"/>
    <n v="22106.400000000001"/>
    <n v="0.12321835892458284"/>
    <n v="0"/>
    <x v="0"/>
    <n v="11"/>
    <s v="November"/>
    <s v="2024-11"/>
  </r>
  <r>
    <s v="FZ01492"/>
    <n v="45852"/>
    <n v="45859"/>
    <x v="1"/>
    <n v="200"/>
    <n v="1311.05"/>
    <n v="0.82"/>
    <n v="260059.88"/>
    <x v="0"/>
    <n v="1013.87"/>
    <n v="202774"/>
    <n v="3245.29"/>
    <n v="1188.97"/>
    <n v="5960.63"/>
    <n v="213168.89"/>
    <n v="57285.88"/>
    <n v="46890.99"/>
    <s v="Paid"/>
    <n v="260059.88"/>
    <n v="0"/>
    <s v="Collected"/>
    <x v="4"/>
    <x v="3"/>
    <x v="22"/>
    <x v="5"/>
    <n v="0.33"/>
    <n v="46890.99"/>
    <n v="0.18030843511886568"/>
    <n v="0"/>
    <x v="1"/>
    <n v="7"/>
    <s v="July"/>
    <s v="2025-07"/>
  </r>
  <r>
    <s v="FZ01493"/>
    <n v="45808"/>
    <n v="45815"/>
    <x v="0"/>
    <n v="250"/>
    <n v="869.56"/>
    <n v="1.58"/>
    <n v="213955.24"/>
    <x v="0"/>
    <n v="679.91"/>
    <n v="169977.5"/>
    <n v="4372.18"/>
    <n v="1270.96"/>
    <n v="7507.23"/>
    <n v="183127.87"/>
    <n v="43977.74"/>
    <n v="30827.37"/>
    <s v="Paid"/>
    <n v="213955.24"/>
    <n v="0"/>
    <s v="Delivered"/>
    <x v="5"/>
    <x v="1"/>
    <x v="15"/>
    <x v="3"/>
    <n v="2.0299999999999998"/>
    <n v="30827.37"/>
    <n v="0.14408326713568689"/>
    <n v="0"/>
    <x v="1"/>
    <n v="5"/>
    <s v="May"/>
    <s v="2025-05"/>
  </r>
  <r>
    <s v="FZ01494"/>
    <n v="45611"/>
    <n v="45624"/>
    <x v="0"/>
    <n v="200"/>
    <n v="862.98"/>
    <n v="1.57"/>
    <n v="169886.24"/>
    <x v="2"/>
    <n v="728.78"/>
    <n v="145756"/>
    <n v="1805.19"/>
    <n v="301.17"/>
    <n v="2578.2800000000002"/>
    <n v="150440.64000000001"/>
    <n v="24130.240000000002"/>
    <n v="19445.599999999999"/>
    <s v="Paid"/>
    <n v="169886.24"/>
    <n v="0"/>
    <s v="Delivered"/>
    <x v="3"/>
    <x v="2"/>
    <x v="26"/>
    <x v="4"/>
    <n v="0.47"/>
    <n v="19445.599999999999"/>
    <n v="0.1144624779499505"/>
    <n v="0"/>
    <x v="0"/>
    <n v="11"/>
    <s v="November"/>
    <s v="2024-11"/>
  </r>
  <r>
    <s v="FZ01495"/>
    <n v="45660"/>
    <n v="45674"/>
    <x v="0"/>
    <n v="150"/>
    <n v="880.32"/>
    <n v="0.51"/>
    <n v="131374.56"/>
    <x v="3"/>
    <n v="737.1"/>
    <n v="110565"/>
    <n v="1844.89"/>
    <n v="428.35"/>
    <n v="3977.08"/>
    <n v="116815.32"/>
    <n v="20809.560000000001"/>
    <n v="14559.24"/>
    <s v="Paid"/>
    <n v="131374.56"/>
    <n v="0"/>
    <s v="Delivered"/>
    <x v="0"/>
    <x v="1"/>
    <x v="5"/>
    <x v="4"/>
    <n v="2.21"/>
    <n v="14559.24"/>
    <n v="0.11082236926235947"/>
    <n v="0"/>
    <x v="1"/>
    <n v="1"/>
    <s v="January"/>
    <s v="2025-01"/>
  </r>
  <r>
    <s v="FZ01496"/>
    <n v="45408"/>
    <n v="45414"/>
    <x v="1"/>
    <n v="50"/>
    <n v="1293.96"/>
    <n v="0.27"/>
    <n v="64523.32"/>
    <x v="2"/>
    <n v="1050.78"/>
    <n v="52539"/>
    <n v="857.55"/>
    <n v="270.13"/>
    <n v="2540.67"/>
    <n v="56207.35"/>
    <n v="11984.32"/>
    <n v="8315.9699999999993"/>
    <s v="Paid"/>
    <n v="64523.32"/>
    <n v="0"/>
    <s v="Delivered"/>
    <x v="3"/>
    <x v="0"/>
    <x v="7"/>
    <x v="5"/>
    <n v="0.7"/>
    <n v="8315.9699999999993"/>
    <n v="0.12888316968190724"/>
    <n v="0"/>
    <x v="0"/>
    <n v="4"/>
    <s v="April"/>
    <s v="2024-04"/>
  </r>
  <r>
    <s v="FZ01497"/>
    <n v="45685"/>
    <n v="45685"/>
    <x v="1"/>
    <n v="200"/>
    <n v="1241.1600000000001"/>
    <n v="0.38"/>
    <n v="247288.72"/>
    <x v="1"/>
    <n v="1082.82"/>
    <n v="216564"/>
    <n v="3265.48"/>
    <n v="614.91999999999996"/>
    <n v="521.07000000000005"/>
    <n v="220965.47"/>
    <n v="30724.720000000001"/>
    <n v="26323.25"/>
    <s v="Part-paid"/>
    <n v="76807.460000000006"/>
    <n v="170481.26"/>
    <s v="Delivered"/>
    <x v="4"/>
    <x v="1"/>
    <x v="5"/>
    <x v="4"/>
    <n v="1.05"/>
    <n v="26323.25"/>
    <n v="0.10644743520852872"/>
    <n v="0"/>
    <x v="1"/>
    <n v="1"/>
    <s v="January"/>
    <s v="2025-01"/>
  </r>
  <r>
    <s v="FZ01498"/>
    <n v="45679"/>
    <n v="45687"/>
    <x v="0"/>
    <n v="250"/>
    <n v="854.84"/>
    <n v="1.74"/>
    <n v="209991.45"/>
    <x v="3"/>
    <n v="658.16"/>
    <n v="164540"/>
    <n v="4339.8500000000004"/>
    <n v="911.81"/>
    <n v="9858.0400000000009"/>
    <n v="179649.7"/>
    <n v="45451.45"/>
    <n v="30341.75"/>
    <s v="Paid"/>
    <n v="209991.45"/>
    <n v="0"/>
    <s v="Delivered"/>
    <x v="0"/>
    <x v="0"/>
    <x v="8"/>
    <x v="5"/>
    <n v="2.35"/>
    <n v="30341.75"/>
    <n v="0.14449040663322243"/>
    <n v="0"/>
    <x v="1"/>
    <n v="1"/>
    <s v="January"/>
    <s v="2025-01"/>
  </r>
  <r>
    <s v="FZ01499"/>
    <n v="45830"/>
    <n v="45830"/>
    <x v="0"/>
    <n v="500"/>
    <n v="843.09"/>
    <n v="3.65"/>
    <n v="406158.61"/>
    <x v="3"/>
    <n v="725.71"/>
    <n v="362855"/>
    <n v="6607.9"/>
    <n v="1397.12"/>
    <n v="8209.31"/>
    <n v="379069.33"/>
    <n v="43303.61"/>
    <n v="27089.279999999999"/>
    <s v="Unpaid"/>
    <n v="0"/>
    <n v="406158.61"/>
    <s v="Collected"/>
    <x v="0"/>
    <x v="1"/>
    <x v="13"/>
    <x v="5"/>
    <n v="1.17"/>
    <n v="27089.279999999999"/>
    <n v="6.6696308616971095E-2"/>
    <n v="0"/>
    <x v="1"/>
    <n v="6"/>
    <s v="June"/>
    <s v="2025-06"/>
  </r>
  <r>
    <s v="FZ01500"/>
    <n v="45722"/>
    <n v="45736"/>
    <x v="0"/>
    <n v="300"/>
    <n v="845.09"/>
    <n v="0.78"/>
    <n v="251549.49"/>
    <x v="2"/>
    <n v="654.33000000000004"/>
    <n v="196299"/>
    <n v="3332.1"/>
    <n v="728.57"/>
    <n v="8656.1299999999992"/>
    <n v="209015.8"/>
    <n v="55250.49"/>
    <n v="42533.69"/>
    <s v="Paid"/>
    <n v="251549.49"/>
    <n v="0"/>
    <s v="Collected"/>
    <x v="5"/>
    <x v="3"/>
    <x v="19"/>
    <x v="4"/>
    <n v="2.0499999999999998"/>
    <n v="42533.69"/>
    <n v="0.16908676698171801"/>
    <n v="0"/>
    <x v="1"/>
    <n v="3"/>
    <s v="March"/>
    <s v="2025-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259053-80EC-4213-9DAF-3DA07993D77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4:AC11" firstHeaderRow="0" firstDataRow="1" firstDataCol="1" rowPageCount="2" colPageCount="1"/>
  <pivotFields count="33">
    <pivotField dataField="1" showAll="0"/>
    <pivotField showAll="0"/>
    <pivotField showAll="0"/>
    <pivotField axis="axisPage" showAll="0">
      <items count="6">
        <item x="0"/>
        <item x="2"/>
        <item x="3"/>
        <item x="1"/>
        <item x="4"/>
        <item t="default"/>
      </items>
    </pivotField>
    <pivotField dataField="1"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7">
        <item x="1"/>
        <item x="5"/>
        <item x="3"/>
        <item x="4"/>
        <item x="2"/>
        <item x="0"/>
        <item t="default"/>
      </items>
    </pivotField>
    <pivotField showAll="0"/>
    <pivotField axis="axisPage" showAll="0">
      <items count="38">
        <item x="27"/>
        <item x="24"/>
        <item x="25"/>
        <item x="12"/>
        <item x="21"/>
        <item x="15"/>
        <item x="35"/>
        <item x="29"/>
        <item x="36"/>
        <item x="3"/>
        <item x="6"/>
        <item x="17"/>
        <item x="7"/>
        <item x="2"/>
        <item x="26"/>
        <item x="0"/>
        <item x="20"/>
        <item x="4"/>
        <item x="1"/>
        <item x="33"/>
        <item x="9"/>
        <item x="14"/>
        <item x="5"/>
        <item x="19"/>
        <item x="10"/>
        <item x="34"/>
        <item x="23"/>
        <item x="11"/>
        <item x="22"/>
        <item x="13"/>
        <item x="8"/>
        <item x="28"/>
        <item x="18"/>
        <item x="16"/>
        <item x="30"/>
        <item x="32"/>
        <item x="31"/>
        <item t="default"/>
      </items>
    </pivotField>
    <pivotField showAll="0"/>
    <pivotField showAll="0"/>
    <pivotField showAll="0"/>
    <pivotField showAll="0"/>
    <pivotField showAll="0"/>
    <pivotField showAll="0"/>
    <pivotField showAll="0"/>
    <pivotField showAll="0"/>
    <pivotField showAll="0"/>
  </pivotFields>
  <rowFields count="1">
    <field x="21"/>
  </rowFields>
  <rowItems count="7">
    <i>
      <x/>
    </i>
    <i>
      <x v="1"/>
    </i>
    <i>
      <x v="2"/>
    </i>
    <i>
      <x v="3"/>
    </i>
    <i>
      <x v="4"/>
    </i>
    <i>
      <x v="5"/>
    </i>
    <i t="grand">
      <x/>
    </i>
  </rowItems>
  <colFields count="1">
    <field x="-2"/>
  </colFields>
  <colItems count="4">
    <i>
      <x/>
    </i>
    <i i="1">
      <x v="1"/>
    </i>
    <i i="2">
      <x v="2"/>
    </i>
    <i i="3">
      <x v="3"/>
    </i>
  </colItems>
  <pageFields count="2">
    <pageField fld="3" hier="-1"/>
    <pageField fld="23" hier="-1"/>
  </pageFields>
  <dataFields count="4">
    <dataField name="Sum of Quantity_Ordered" fld="4" baseField="0" baseItem="0"/>
    <dataField name="Sum of Revenue_NGN" fld="7" baseField="0" baseItem="0"/>
    <dataField name="Sum of Net_Profit_NGN" fld="16" baseField="0" baseItem="0"/>
    <dataField name="Count of Order_ID" fld="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48170A-31FA-4995-B8B8-40931FAF8BD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V42" firstHeaderRow="1" firstDataRow="2" firstDataCol="1"/>
  <pivotFields count="33">
    <pivotField showAll="0"/>
    <pivotField showAll="0"/>
    <pivotField showAll="0"/>
    <pivotField axis="axisCol" showAll="0">
      <items count="6">
        <item x="0"/>
        <item x="2"/>
        <item x="3"/>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7"/>
        <item x="24"/>
        <item x="25"/>
        <item x="12"/>
        <item x="21"/>
        <item x="15"/>
        <item x="35"/>
        <item x="29"/>
        <item x="36"/>
        <item x="3"/>
        <item x="6"/>
        <item x="17"/>
        <item x="7"/>
        <item x="2"/>
        <item x="26"/>
        <item x="0"/>
        <item x="20"/>
        <item x="4"/>
        <item x="1"/>
        <item x="33"/>
        <item x="9"/>
        <item x="14"/>
        <item x="5"/>
        <item x="19"/>
        <item x="10"/>
        <item x="34"/>
        <item x="23"/>
        <item x="11"/>
        <item x="22"/>
        <item x="13"/>
        <item x="8"/>
        <item x="28"/>
        <item x="18"/>
        <item x="16"/>
        <item x="30"/>
        <item x="32"/>
        <item x="31"/>
        <item t="default"/>
      </items>
    </pivotField>
    <pivotField showAll="0">
      <items count="7">
        <item x="4"/>
        <item x="0"/>
        <item x="1"/>
        <item x="2"/>
        <item x="3"/>
        <item x="5"/>
        <item t="default"/>
      </items>
    </pivotField>
    <pivotField showAll="0"/>
    <pivotField showAll="0"/>
    <pivotField showAll="0"/>
    <pivotField showAll="0"/>
    <pivotField dataField="1" showAll="0"/>
    <pivotField showAll="0"/>
    <pivotField showAll="0"/>
    <pivotField showAll="0"/>
  </pivotFields>
  <rowFields count="1">
    <field x="2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3"/>
  </colFields>
  <colItems count="6">
    <i>
      <x/>
    </i>
    <i>
      <x v="1"/>
    </i>
    <i>
      <x v="2"/>
    </i>
    <i>
      <x v="3"/>
    </i>
    <i>
      <x v="4"/>
    </i>
    <i t="grand">
      <x/>
    </i>
  </colItems>
  <dataFields count="1">
    <dataField name="Sum of Order_Year" fld="29"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A42BE6-4F2B-4CF8-8C7D-EB6A5A4B72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1" firstHeaderRow="1" firstDataRow="1" firstDataCol="1"/>
  <pivotFields count="33">
    <pivotField showAll="0"/>
    <pivotField showAll="0">
      <items count="646">
        <item x="83"/>
        <item x="455"/>
        <item x="570"/>
        <item x="354"/>
        <item x="585"/>
        <item x="217"/>
        <item x="304"/>
        <item x="238"/>
        <item x="181"/>
        <item x="240"/>
        <item x="430"/>
        <item x="46"/>
        <item x="512"/>
        <item x="579"/>
        <item x="228"/>
        <item x="336"/>
        <item x="628"/>
        <item x="550"/>
        <item x="520"/>
        <item x="111"/>
        <item x="289"/>
        <item x="12"/>
        <item x="356"/>
        <item x="90"/>
        <item x="259"/>
        <item x="396"/>
        <item x="561"/>
        <item x="325"/>
        <item x="531"/>
        <item x="7"/>
        <item x="70"/>
        <item x="219"/>
        <item x="137"/>
        <item x="626"/>
        <item x="123"/>
        <item x="370"/>
        <item x="314"/>
        <item x="553"/>
        <item x="37"/>
        <item x="288"/>
        <item x="69"/>
        <item x="565"/>
        <item x="179"/>
        <item x="271"/>
        <item x="209"/>
        <item x="637"/>
        <item x="56"/>
        <item x="382"/>
        <item x="166"/>
        <item x="156"/>
        <item x="177"/>
        <item x="59"/>
        <item x="295"/>
        <item x="450"/>
        <item x="457"/>
        <item x="402"/>
        <item x="284"/>
        <item x="439"/>
        <item x="65"/>
        <item x="513"/>
        <item x="601"/>
        <item x="390"/>
        <item x="152"/>
        <item x="581"/>
        <item x="635"/>
        <item x="250"/>
        <item x="293"/>
        <item x="363"/>
        <item x="64"/>
        <item x="322"/>
        <item x="541"/>
        <item x="44"/>
        <item x="552"/>
        <item x="465"/>
        <item x="376"/>
        <item x="372"/>
        <item x="151"/>
        <item x="560"/>
        <item x="127"/>
        <item x="607"/>
        <item x="263"/>
        <item x="14"/>
        <item x="387"/>
        <item x="117"/>
        <item x="417"/>
        <item x="269"/>
        <item x="406"/>
        <item x="389"/>
        <item x="543"/>
        <item x="106"/>
        <item x="614"/>
        <item x="536"/>
        <item x="294"/>
        <item x="364"/>
        <item x="526"/>
        <item x="384"/>
        <item x="377"/>
        <item x="257"/>
        <item x="194"/>
        <item x="159"/>
        <item x="444"/>
        <item x="100"/>
        <item x="623"/>
        <item x="29"/>
        <item x="584"/>
        <item x="471"/>
        <item x="333"/>
        <item x="368"/>
        <item x="1"/>
        <item x="530"/>
        <item x="80"/>
        <item x="23"/>
        <item x="280"/>
        <item x="202"/>
        <item x="528"/>
        <item x="421"/>
        <item x="345"/>
        <item x="438"/>
        <item x="299"/>
        <item x="383"/>
        <item x="144"/>
        <item x="270"/>
        <item x="460"/>
        <item x="476"/>
        <item x="523"/>
        <item x="509"/>
        <item x="278"/>
        <item x="170"/>
        <item x="60"/>
        <item x="407"/>
        <item x="398"/>
        <item x="500"/>
        <item x="281"/>
        <item x="196"/>
        <item x="79"/>
        <item x="239"/>
        <item x="45"/>
        <item x="307"/>
        <item x="120"/>
        <item x="283"/>
        <item x="126"/>
        <item x="410"/>
        <item x="371"/>
        <item x="349"/>
        <item x="233"/>
        <item x="226"/>
        <item x="324"/>
        <item x="618"/>
        <item x="124"/>
        <item x="355"/>
        <item x="395"/>
        <item x="25"/>
        <item x="558"/>
        <item x="62"/>
        <item x="606"/>
        <item x="149"/>
        <item x="251"/>
        <item x="424"/>
        <item x="81"/>
        <item x="348"/>
        <item x="602"/>
        <item x="378"/>
        <item x="103"/>
        <item x="148"/>
        <item x="16"/>
        <item x="494"/>
        <item x="262"/>
        <item x="172"/>
        <item x="638"/>
        <item x="82"/>
        <item x="287"/>
        <item x="339"/>
        <item x="311"/>
        <item x="381"/>
        <item x="540"/>
        <item x="360"/>
        <item x="113"/>
        <item x="173"/>
        <item x="72"/>
        <item x="207"/>
        <item x="277"/>
        <item x="214"/>
        <item x="474"/>
        <item x="488"/>
        <item x="245"/>
        <item x="0"/>
        <item x="479"/>
        <item x="261"/>
        <item x="150"/>
        <item x="141"/>
        <item x="413"/>
        <item x="115"/>
        <item x="316"/>
        <item x="215"/>
        <item x="174"/>
        <item x="490"/>
        <item x="279"/>
        <item x="598"/>
        <item x="600"/>
        <item x="478"/>
        <item x="641"/>
        <item x="2"/>
        <item x="483"/>
        <item x="423"/>
        <item x="95"/>
        <item x="556"/>
        <item x="178"/>
        <item x="590"/>
        <item x="272"/>
        <item x="74"/>
        <item x="504"/>
        <item x="334"/>
        <item x="359"/>
        <item x="193"/>
        <item x="315"/>
        <item x="362"/>
        <item x="464"/>
        <item x="183"/>
        <item x="456"/>
        <item x="545"/>
        <item x="436"/>
        <item x="420"/>
        <item x="208"/>
        <item x="76"/>
        <item x="48"/>
        <item x="290"/>
        <item x="234"/>
        <item x="498"/>
        <item x="232"/>
        <item x="89"/>
        <item x="344"/>
        <item x="414"/>
        <item x="182"/>
        <item x="532"/>
        <item x="631"/>
        <item x="495"/>
        <item x="121"/>
        <item x="157"/>
        <item x="452"/>
        <item x="569"/>
        <item x="366"/>
        <item x="458"/>
        <item x="102"/>
        <item x="88"/>
        <item x="266"/>
        <item x="212"/>
        <item x="255"/>
        <item x="319"/>
        <item x="352"/>
        <item x="224"/>
        <item x="442"/>
        <item x="391"/>
        <item x="200"/>
        <item x="341"/>
        <item x="298"/>
        <item x="63"/>
        <item x="252"/>
        <item x="425"/>
        <item x="21"/>
        <item x="397"/>
        <item x="583"/>
        <item x="99"/>
        <item x="297"/>
        <item x="147"/>
        <item x="573"/>
        <item x="534"/>
        <item x="544"/>
        <item x="114"/>
        <item x="66"/>
        <item x="603"/>
        <item x="489"/>
        <item x="97"/>
        <item x="55"/>
        <item x="308"/>
        <item x="461"/>
        <item x="613"/>
        <item x="17"/>
        <item x="485"/>
        <item x="351"/>
        <item x="546"/>
        <item x="104"/>
        <item x="264"/>
        <item x="636"/>
        <item x="386"/>
        <item x="92"/>
        <item x="591"/>
        <item x="388"/>
        <item x="643"/>
        <item x="487"/>
        <item x="236"/>
        <item x="435"/>
        <item x="639"/>
        <item x="374"/>
        <item x="399"/>
        <item x="128"/>
        <item x="6"/>
        <item x="32"/>
        <item x="54"/>
        <item x="326"/>
        <item x="453"/>
        <item x="616"/>
        <item x="629"/>
        <item x="310"/>
        <item x="11"/>
        <item x="329"/>
        <item x="551"/>
        <item x="36"/>
        <item x="35"/>
        <item x="401"/>
        <item x="486"/>
        <item x="451"/>
        <item x="608"/>
        <item x="205"/>
        <item x="525"/>
        <item x="221"/>
        <item x="155"/>
        <item x="101"/>
        <item x="242"/>
        <item x="529"/>
        <item x="94"/>
        <item x="555"/>
        <item x="158"/>
        <item x="203"/>
        <item x="501"/>
        <item x="332"/>
        <item x="527"/>
        <item x="429"/>
        <item x="189"/>
        <item x="340"/>
        <item x="20"/>
        <item x="357"/>
        <item x="592"/>
        <item x="301"/>
        <item x="31"/>
        <item x="267"/>
        <item x="168"/>
        <item x="13"/>
        <item x="507"/>
        <item x="566"/>
        <item x="475"/>
        <item x="320"/>
        <item x="400"/>
        <item x="610"/>
        <item x="15"/>
        <item x="491"/>
        <item x="330"/>
        <item x="175"/>
        <item x="547"/>
        <item x="611"/>
        <item x="331"/>
        <item x="171"/>
        <item x="548"/>
        <item x="443"/>
        <item x="394"/>
        <item x="481"/>
        <item x="119"/>
        <item x="93"/>
        <item x="468"/>
        <item x="138"/>
        <item x="218"/>
        <item x="480"/>
        <item x="612"/>
        <item x="125"/>
        <item x="404"/>
        <item x="220"/>
        <item x="306"/>
        <item x="318"/>
        <item x="496"/>
        <item x="313"/>
        <item x="247"/>
        <item x="422"/>
        <item x="187"/>
        <item x="469"/>
        <item x="516"/>
        <item x="599"/>
        <item x="188"/>
        <item x="519"/>
        <item x="312"/>
        <item x="77"/>
        <item x="594"/>
        <item x="503"/>
        <item x="634"/>
        <item x="470"/>
        <item x="38"/>
        <item x="343"/>
        <item x="597"/>
        <item x="33"/>
        <item x="473"/>
        <item x="164"/>
        <item x="84"/>
        <item x="492"/>
        <item x="632"/>
        <item x="328"/>
        <item x="191"/>
        <item x="167"/>
        <item x="130"/>
        <item x="145"/>
        <item x="557"/>
        <item x="321"/>
        <item x="502"/>
        <item x="358"/>
        <item x="105"/>
        <item x="8"/>
        <item x="131"/>
        <item x="327"/>
        <item x="353"/>
        <item x="256"/>
        <item x="237"/>
        <item x="477"/>
        <item x="28"/>
        <item x="538"/>
        <item x="136"/>
        <item x="253"/>
        <item x="615"/>
        <item x="47"/>
        <item x="580"/>
        <item x="112"/>
        <item x="431"/>
        <item x="197"/>
        <item x="342"/>
        <item x="517"/>
        <item x="564"/>
        <item x="254"/>
        <item x="169"/>
        <item x="622"/>
        <item x="412"/>
        <item x="567"/>
        <item x="235"/>
        <item x="50"/>
        <item x="140"/>
        <item x="160"/>
        <item x="206"/>
        <item x="620"/>
        <item x="9"/>
        <item x="40"/>
        <item x="506"/>
        <item x="369"/>
        <item x="109"/>
        <item x="176"/>
        <item x="108"/>
        <item x="5"/>
        <item x="273"/>
        <item x="198"/>
        <item x="617"/>
        <item x="605"/>
        <item x="575"/>
        <item x="98"/>
        <item x="587"/>
        <item x="268"/>
        <item x="67"/>
        <item x="508"/>
        <item x="116"/>
        <item x="537"/>
        <item x="416"/>
        <item x="186"/>
        <item x="265"/>
        <item x="640"/>
        <item x="571"/>
        <item x="222"/>
        <item x="68"/>
        <item x="122"/>
        <item x="350"/>
        <item x="274"/>
        <item x="514"/>
        <item x="75"/>
        <item x="10"/>
        <item x="379"/>
        <item x="286"/>
        <item x="380"/>
        <item x="577"/>
        <item x="302"/>
        <item x="85"/>
        <item x="434"/>
        <item x="163"/>
        <item x="162"/>
        <item x="515"/>
        <item x="644"/>
        <item x="143"/>
        <item x="393"/>
        <item x="243"/>
        <item x="627"/>
        <item x="53"/>
        <item x="440"/>
        <item x="292"/>
        <item x="201"/>
        <item x="588"/>
        <item x="459"/>
        <item x="165"/>
        <item x="604"/>
        <item x="204"/>
        <item x="578"/>
        <item x="454"/>
        <item x="57"/>
        <item x="241"/>
        <item x="142"/>
        <item x="26"/>
        <item x="87"/>
        <item x="258"/>
        <item x="554"/>
        <item x="418"/>
        <item x="190"/>
        <item x="42"/>
        <item x="467"/>
        <item x="260"/>
        <item x="27"/>
        <item x="107"/>
        <item x="562"/>
        <item x="180"/>
        <item x="248"/>
        <item x="375"/>
        <item x="415"/>
        <item x="4"/>
        <item x="337"/>
        <item x="3"/>
        <item x="589"/>
        <item x="22"/>
        <item x="71"/>
        <item x="441"/>
        <item x="24"/>
        <item x="230"/>
        <item x="484"/>
        <item x="373"/>
        <item x="246"/>
        <item x="493"/>
        <item x="335"/>
        <item x="511"/>
        <item x="110"/>
        <item x="385"/>
        <item x="86"/>
        <item x="184"/>
        <item x="535"/>
        <item x="482"/>
        <item x="300"/>
        <item x="161"/>
        <item x="41"/>
        <item x="549"/>
        <item x="642"/>
        <item x="211"/>
        <item x="52"/>
        <item x="624"/>
        <item x="139"/>
        <item x="572"/>
        <item x="39"/>
        <item x="195"/>
        <item x="392"/>
        <item x="275"/>
        <item x="199"/>
        <item x="229"/>
        <item x="338"/>
        <item x="542"/>
        <item x="522"/>
        <item x="411"/>
        <item x="132"/>
        <item x="213"/>
        <item x="18"/>
        <item x="43"/>
        <item x="365"/>
        <item x="593"/>
        <item x="134"/>
        <item x="563"/>
        <item x="323"/>
        <item x="633"/>
        <item x="405"/>
        <item x="192"/>
        <item x="30"/>
        <item x="518"/>
        <item x="586"/>
        <item x="129"/>
        <item x="609"/>
        <item x="449"/>
        <item x="135"/>
        <item x="225"/>
        <item x="244"/>
        <item x="305"/>
        <item x="347"/>
        <item x="510"/>
        <item x="426"/>
        <item x="361"/>
        <item x="73"/>
        <item x="621"/>
        <item x="524"/>
        <item x="533"/>
        <item x="463"/>
        <item x="185"/>
        <item x="61"/>
        <item x="448"/>
        <item x="291"/>
        <item x="210"/>
        <item x="317"/>
        <item x="231"/>
        <item x="505"/>
        <item x="91"/>
        <item x="153"/>
        <item x="497"/>
        <item x="539"/>
        <item x="408"/>
        <item x="576"/>
        <item x="146"/>
        <item x="296"/>
        <item x="19"/>
        <item x="133"/>
        <item x="285"/>
        <item x="154"/>
        <item x="367"/>
        <item x="446"/>
        <item x="462"/>
        <item x="303"/>
        <item x="51"/>
        <item x="447"/>
        <item x="472"/>
        <item x="346"/>
        <item x="428"/>
        <item x="582"/>
        <item x="499"/>
        <item x="432"/>
        <item x="227"/>
        <item x="596"/>
        <item x="118"/>
        <item x="403"/>
        <item x="58"/>
        <item x="282"/>
        <item x="249"/>
        <item x="409"/>
        <item x="433"/>
        <item x="223"/>
        <item x="437"/>
        <item x="568"/>
        <item x="595"/>
        <item x="49"/>
        <item x="574"/>
        <item x="419"/>
        <item x="34"/>
        <item x="630"/>
        <item x="427"/>
        <item x="619"/>
        <item x="216"/>
        <item x="466"/>
        <item x="309"/>
        <item x="96"/>
        <item x="78"/>
        <item x="625"/>
        <item x="521"/>
        <item x="559"/>
        <item x="445"/>
        <item x="276"/>
        <item t="default"/>
      </items>
    </pivotField>
    <pivotField showAll="0"/>
    <pivotField showAll="0">
      <items count="6">
        <item h="1" x="0"/>
        <item h="1" x="2"/>
        <item x="3"/>
        <item h="1" x="1"/>
        <item h="1" x="4"/>
        <item t="default"/>
      </items>
    </pivotField>
    <pivotField showAll="0">
      <items count="11">
        <item h="1" x="7"/>
        <item x="6"/>
        <item h="1" x="4"/>
        <item h="1" x="0"/>
        <item h="1" x="2"/>
        <item h="1" x="1"/>
        <item h="1" x="3"/>
        <item h="1" x="5"/>
        <item h="1" x="8"/>
        <item h="1" x="9"/>
        <item t="default"/>
      </items>
    </pivotField>
    <pivotField dataField="1" showAll="0"/>
    <pivotField showAll="0"/>
    <pivotField showAll="0"/>
    <pivotField showAll="0">
      <items count="5">
        <item h="1" x="1"/>
        <item x="2"/>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1"/>
        <item x="5"/>
        <item x="3"/>
        <item x="4"/>
        <item x="2"/>
        <item x="0"/>
        <item t="default"/>
      </items>
    </pivotField>
    <pivotField showAll="0"/>
    <pivotField axis="axisRow" showAll="0">
      <items count="38">
        <item x="27"/>
        <item x="24"/>
        <item x="25"/>
        <item x="12"/>
        <item x="21"/>
        <item x="15"/>
        <item x="35"/>
        <item x="29"/>
        <item x="36"/>
        <item x="3"/>
        <item x="6"/>
        <item x="17"/>
        <item x="7"/>
        <item x="2"/>
        <item x="26"/>
        <item x="0"/>
        <item x="20"/>
        <item x="4"/>
        <item x="1"/>
        <item x="33"/>
        <item x="9"/>
        <item x="14"/>
        <item x="5"/>
        <item x="19"/>
        <item x="10"/>
        <item x="34"/>
        <item x="23"/>
        <item x="11"/>
        <item x="22"/>
        <item x="13"/>
        <item x="8"/>
        <item x="28"/>
        <item x="18"/>
        <item x="16"/>
        <item x="30"/>
        <item x="32"/>
        <item x="31"/>
        <item t="default"/>
      </items>
    </pivotField>
    <pivotField showAll="0"/>
    <pivotField showAll="0"/>
    <pivotField showAll="0"/>
    <pivotField showAll="0"/>
    <pivotField showAll="0"/>
    <pivotField showAll="0"/>
    <pivotField showAll="0"/>
    <pivotField showAll="0"/>
    <pivotField showAll="0"/>
  </pivotFields>
  <rowFields count="1">
    <field x="23"/>
  </rowFields>
  <rowItems count="28">
    <i>
      <x/>
    </i>
    <i>
      <x v="1"/>
    </i>
    <i>
      <x v="2"/>
    </i>
    <i>
      <x v="3"/>
    </i>
    <i>
      <x v="4"/>
    </i>
    <i>
      <x v="5"/>
    </i>
    <i>
      <x v="6"/>
    </i>
    <i>
      <x v="9"/>
    </i>
    <i>
      <x v="10"/>
    </i>
    <i>
      <x v="11"/>
    </i>
    <i>
      <x v="12"/>
    </i>
    <i>
      <x v="13"/>
    </i>
    <i>
      <x v="14"/>
    </i>
    <i>
      <x v="16"/>
    </i>
    <i>
      <x v="17"/>
    </i>
    <i>
      <x v="18"/>
    </i>
    <i>
      <x v="20"/>
    </i>
    <i>
      <x v="23"/>
    </i>
    <i>
      <x v="24"/>
    </i>
    <i>
      <x v="25"/>
    </i>
    <i>
      <x v="27"/>
    </i>
    <i>
      <x v="28"/>
    </i>
    <i>
      <x v="29"/>
    </i>
    <i>
      <x v="30"/>
    </i>
    <i>
      <x v="31"/>
    </i>
    <i>
      <x v="32"/>
    </i>
    <i>
      <x v="34"/>
    </i>
    <i t="grand">
      <x/>
    </i>
  </rowItems>
  <colItems count="1">
    <i/>
  </colItems>
  <dataFields count="1">
    <dataField name="Sum of Unit_Selling_Price_NGN" fld="5"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73FDBD-653F-41A0-9C58-3404F79D74D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W4:BC43" firstHeaderRow="1" firstDataRow="2" firstDataCol="1"/>
  <pivotFields count="33">
    <pivotField showAll="0"/>
    <pivotField showAll="0"/>
    <pivotField showAll="0"/>
    <pivotField axis="axisCol" showAll="0">
      <items count="6">
        <item x="0"/>
        <item x="2"/>
        <item x="3"/>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3"/>
        <item x="4"/>
        <item x="1"/>
        <item t="default"/>
      </items>
    </pivotField>
    <pivotField axis="axisRow" showAll="0">
      <items count="38">
        <item sd="0" x="27"/>
        <item sd="0" x="24"/>
        <item sd="0" x="25"/>
        <item sd="0" x="12"/>
        <item sd="0" x="21"/>
        <item sd="0" x="15"/>
        <item sd="0" x="35"/>
        <item sd="0" x="29"/>
        <item sd="0" x="36"/>
        <item sd="0" x="3"/>
        <item sd="0" x="6"/>
        <item sd="0" x="17"/>
        <item sd="0" x="7"/>
        <item sd="0" x="2"/>
        <item sd="0" x="26"/>
        <item sd="0" x="0"/>
        <item sd="0" x="20"/>
        <item sd="0" x="4"/>
        <item sd="0" x="1"/>
        <item sd="0" x="33"/>
        <item sd="0" x="9"/>
        <item sd="0" x="14"/>
        <item sd="0" x="5"/>
        <item sd="0" x="19"/>
        <item sd="0" x="10"/>
        <item sd="0" x="34"/>
        <item sd="0" x="23"/>
        <item sd="0" x="11"/>
        <item sd="0" x="22"/>
        <item sd="0" x="13"/>
        <item sd="0" x="8"/>
        <item sd="0" x="28"/>
        <item sd="0" x="18"/>
        <item sd="0" x="16"/>
        <item sd="0" x="30"/>
        <item sd="0" x="32"/>
        <item sd="0" x="31"/>
        <item t="default" sd="0"/>
      </items>
    </pivotField>
    <pivotField showAll="0"/>
    <pivotField showAll="0"/>
    <pivotField showAll="0"/>
    <pivotField showAll="0"/>
    <pivotField showAll="0"/>
    <pivotField showAll="0"/>
    <pivotField showAll="0"/>
    <pivotField showAll="0"/>
    <pivotField showAll="0"/>
  </pivotFields>
  <rowFields count="2">
    <field x="23"/>
    <field x="22"/>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3"/>
  </colFields>
  <colItems count="6">
    <i>
      <x/>
    </i>
    <i>
      <x v="1"/>
    </i>
    <i>
      <x v="2"/>
    </i>
    <i>
      <x v="3"/>
    </i>
    <i>
      <x v="4"/>
    </i>
    <i t="grand">
      <x/>
    </i>
  </colItems>
  <dataFields count="1">
    <dataField name="Sum of Quantity_Ordered" fld="4" baseField="23"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77773A-5653-4316-81A3-2D3984A2394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O11" firstHeaderRow="1" firstDataRow="2" firstDataCol="1" rowPageCount="1" colPageCount="1"/>
  <pivotFields count="33">
    <pivotField showAll="0"/>
    <pivotField showAll="0"/>
    <pivotField showAll="0"/>
    <pivotField axis="axisPage" showAll="0">
      <items count="6">
        <item x="0"/>
        <item x="2"/>
        <item x="3"/>
        <item x="1"/>
        <item x="4"/>
        <item t="default"/>
      </items>
    </pivotField>
    <pivotField showAll="0"/>
    <pivotField dataField="1" showAll="0"/>
    <pivotField showAll="0"/>
    <pivotField showAll="0"/>
    <pivotField axis="axisCol"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8">
        <item x="27"/>
        <item x="24"/>
        <item x="25"/>
        <item x="12"/>
        <item x="21"/>
        <item x="15"/>
        <item x="35"/>
        <item x="29"/>
        <item x="36"/>
        <item x="3"/>
        <item x="6"/>
        <item x="17"/>
        <item x="7"/>
        <item x="2"/>
        <item x="26"/>
        <item x="0"/>
        <item x="20"/>
        <item x="4"/>
        <item x="1"/>
        <item x="33"/>
        <item x="9"/>
        <item x="14"/>
        <item x="5"/>
        <item x="19"/>
        <item x="10"/>
        <item x="34"/>
        <item x="23"/>
        <item x="11"/>
        <item x="22"/>
        <item x="13"/>
        <item x="8"/>
        <item x="28"/>
        <item x="18"/>
        <item x="16"/>
        <item x="30"/>
        <item x="32"/>
        <item x="31"/>
        <item t="default"/>
      </items>
    </pivotField>
    <pivotField axis="axisRow" showAll="0">
      <items count="7">
        <item x="4"/>
        <item x="0"/>
        <item x="1"/>
        <item x="2"/>
        <item x="3"/>
        <item x="5"/>
        <item t="default"/>
      </items>
    </pivotField>
    <pivotField showAll="0"/>
    <pivotField showAll="0"/>
    <pivotField showAll="0"/>
    <pivotField showAll="0"/>
    <pivotField showAll="0"/>
    <pivotField showAll="0"/>
    <pivotField showAll="0"/>
    <pivotField showAll="0"/>
  </pivotFields>
  <rowFields count="1">
    <field x="24"/>
  </rowFields>
  <rowItems count="7">
    <i>
      <x/>
    </i>
    <i>
      <x v="1"/>
    </i>
    <i>
      <x v="2"/>
    </i>
    <i>
      <x v="3"/>
    </i>
    <i>
      <x v="4"/>
    </i>
    <i>
      <x v="5"/>
    </i>
    <i t="grand">
      <x/>
    </i>
  </rowItems>
  <colFields count="1">
    <field x="8"/>
  </colFields>
  <colItems count="5">
    <i>
      <x/>
    </i>
    <i>
      <x v="1"/>
    </i>
    <i>
      <x v="2"/>
    </i>
    <i>
      <x v="3"/>
    </i>
    <i t="grand">
      <x/>
    </i>
  </colItems>
  <pageFields count="1">
    <pageField fld="3" hier="-1"/>
  </pageFields>
  <dataFields count="1">
    <dataField name="Average of Unit_Selling_Price_NGN" fld="5" subtotal="average" baseField="23"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C2DF9A-F329-4A0A-B768-4CEDDD143B4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O4:AS12" firstHeaderRow="1" firstDataRow="2" firstDataCol="1" rowPageCount="1" colPageCount="1"/>
  <pivotFields count="33">
    <pivotField showAll="0"/>
    <pivotField showAll="0"/>
    <pivotField showAll="0"/>
    <pivotField axis="axisPage" showAll="0">
      <items count="6">
        <item x="0"/>
        <item x="2"/>
        <item x="3"/>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8">
        <item x="27"/>
        <item x="24"/>
        <item x="25"/>
        <item x="12"/>
        <item x="21"/>
        <item x="15"/>
        <item x="35"/>
        <item x="29"/>
        <item x="36"/>
        <item x="3"/>
        <item x="6"/>
        <item x="17"/>
        <item x="7"/>
        <item x="2"/>
        <item x="26"/>
        <item x="0"/>
        <item x="20"/>
        <item x="4"/>
        <item x="1"/>
        <item x="33"/>
        <item x="9"/>
        <item x="14"/>
        <item x="5"/>
        <item x="19"/>
        <item x="10"/>
        <item x="34"/>
        <item x="23"/>
        <item x="11"/>
        <item x="22"/>
        <item x="13"/>
        <item x="8"/>
        <item x="28"/>
        <item x="18"/>
        <item x="16"/>
        <item x="30"/>
        <item x="32"/>
        <item x="31"/>
        <item t="default"/>
      </items>
    </pivotField>
    <pivotField axis="axisRow" showAll="0">
      <items count="7">
        <item x="4"/>
        <item x="0"/>
        <item x="1"/>
        <item x="2"/>
        <item x="3"/>
        <item x="5"/>
        <item t="default"/>
      </items>
    </pivotField>
    <pivotField showAll="0"/>
    <pivotField showAll="0"/>
    <pivotField showAll="0"/>
    <pivotField showAll="0"/>
    <pivotField axis="axisCol" showAll="0">
      <items count="4">
        <item x="2"/>
        <item x="0"/>
        <item x="1"/>
        <item t="default"/>
      </items>
    </pivotField>
    <pivotField showAll="0"/>
    <pivotField showAll="0"/>
    <pivotField showAll="0"/>
  </pivotFields>
  <rowFields count="1">
    <field x="24"/>
  </rowFields>
  <rowItems count="7">
    <i>
      <x/>
    </i>
    <i>
      <x v="1"/>
    </i>
    <i>
      <x v="2"/>
    </i>
    <i>
      <x v="3"/>
    </i>
    <i>
      <x v="4"/>
    </i>
    <i>
      <x v="5"/>
    </i>
    <i t="grand">
      <x/>
    </i>
  </rowItems>
  <colFields count="1">
    <field x="29"/>
  </colFields>
  <colItems count="4">
    <i>
      <x/>
    </i>
    <i>
      <x v="1"/>
    </i>
    <i>
      <x v="2"/>
    </i>
    <i t="grand">
      <x/>
    </i>
  </colItems>
  <pageFields count="1">
    <pageField fld="3" hier="-1"/>
  </pageFields>
  <dataFields count="1">
    <dataField name="Average of Quantity_Ordered" fld="4" subtotal="average" baseField="23"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DE681C-BA8D-467D-BF3D-AE1A39ACF8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41" firstHeaderRow="1" firstDataRow="1" firstDataCol="1" rowPageCount="1" colPageCount="1"/>
  <pivotFields count="33">
    <pivotField showAll="0"/>
    <pivotField showAll="0"/>
    <pivotField showAll="0"/>
    <pivotField axis="axisPage" showAll="0">
      <items count="6">
        <item x="0"/>
        <item x="2"/>
        <item x="3"/>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7"/>
        <item x="24"/>
        <item x="25"/>
        <item x="12"/>
        <item x="21"/>
        <item x="15"/>
        <item x="35"/>
        <item x="29"/>
        <item x="36"/>
        <item x="3"/>
        <item x="6"/>
        <item x="17"/>
        <item x="7"/>
        <item x="2"/>
        <item x="26"/>
        <item x="0"/>
        <item x="20"/>
        <item x="4"/>
        <item x="1"/>
        <item x="33"/>
        <item x="9"/>
        <item x="14"/>
        <item x="5"/>
        <item x="19"/>
        <item x="10"/>
        <item x="34"/>
        <item x="23"/>
        <item x="11"/>
        <item x="22"/>
        <item x="13"/>
        <item x="8"/>
        <item x="28"/>
        <item x="18"/>
        <item x="16"/>
        <item x="30"/>
        <item x="32"/>
        <item x="31"/>
        <item t="default"/>
      </items>
    </pivotField>
    <pivotField showAll="0"/>
    <pivotField showAll="0"/>
    <pivotField showAll="0"/>
    <pivotField showAll="0"/>
    <pivotField showAll="0"/>
    <pivotField showAll="0"/>
    <pivotField showAll="0"/>
    <pivotField showAll="0"/>
    <pivotField showAll="0"/>
  </pivotFields>
  <rowFields count="1">
    <field x="2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pageFields count="1">
    <pageField fld="3" hier="-1"/>
  </pageFields>
  <dataFields count="1">
    <dataField name="Count of Quantity_Ordered" fld="4" subtotal="count" baseField="23"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0355E3-2512-4207-B448-984DE27FE9B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4:AK43" firstHeaderRow="1" firstDataRow="2" firstDataCol="1"/>
  <pivotFields count="33">
    <pivotField showAll="0"/>
    <pivotField showAll="0"/>
    <pivotField showAll="0"/>
    <pivotField axis="axisCol" showAll="0">
      <items count="6">
        <item x="0"/>
        <item x="2"/>
        <item x="3"/>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38">
        <item x="27"/>
        <item x="24"/>
        <item x="25"/>
        <item x="12"/>
        <item x="21"/>
        <item x="15"/>
        <item x="35"/>
        <item x="29"/>
        <item x="36"/>
        <item x="3"/>
        <item x="6"/>
        <item x="17"/>
        <item x="7"/>
        <item x="2"/>
        <item x="26"/>
        <item x="0"/>
        <item x="20"/>
        <item x="4"/>
        <item x="1"/>
        <item x="33"/>
        <item x="9"/>
        <item x="14"/>
        <item x="5"/>
        <item x="19"/>
        <item x="10"/>
        <item x="34"/>
        <item x="23"/>
        <item x="11"/>
        <item x="22"/>
        <item x="13"/>
        <item x="8"/>
        <item x="28"/>
        <item x="18"/>
        <item x="16"/>
        <item x="30"/>
        <item x="32"/>
        <item x="31"/>
        <item t="default"/>
      </items>
    </pivotField>
    <pivotField showAll="0"/>
    <pivotField showAll="0"/>
    <pivotField showAll="0"/>
    <pivotField showAll="0"/>
    <pivotField showAll="0"/>
    <pivotField showAll="0"/>
    <pivotField showAll="0"/>
    <pivotField showAll="0"/>
    <pivotField showAll="0"/>
  </pivotFields>
  <rowFields count="1">
    <field x="2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3"/>
  </colFields>
  <colItems count="6">
    <i>
      <x/>
    </i>
    <i>
      <x v="1"/>
    </i>
    <i>
      <x v="2"/>
    </i>
    <i>
      <x v="3"/>
    </i>
    <i>
      <x v="4"/>
    </i>
    <i t="grand">
      <x/>
    </i>
  </colItems>
  <dataFields count="1">
    <dataField name="Count of Delivery_Status" fld="2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7CD19C47-B53C-4075-B45B-B8D014A309E2}" sourceName="Product_Type">
  <pivotTables>
    <pivotTable tabId="6" name="PivotTable2"/>
  </pivotTables>
  <data>
    <tabular pivotCacheId="244077981">
      <items count="5">
        <i x="0"/>
        <i x="2"/>
        <i x="3" s="1"/>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B9A3B0B-5AE6-4D7D-9B18-8DA69BB12E66}" sourceName="Sales_Channel">
  <pivotTables>
    <pivotTable tabId="6" name="PivotTable2"/>
  </pivotTables>
  <data>
    <tabular pivotCacheId="244077981">
      <items count="6">
        <i x="1" s="1"/>
        <i x="5" s="1"/>
        <i x="3"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A757030-3153-458B-AC29-1C33D04EBD31}" sourceName="State">
  <pivotTables>
    <pivotTable tabId="6" name="PivotTable2"/>
  </pivotTables>
  <data>
    <tabular pivotCacheId="244077981">
      <items count="37">
        <i x="27" s="1"/>
        <i x="24" s="1"/>
        <i x="25" s="1"/>
        <i x="12" s="1"/>
        <i x="21" s="1"/>
        <i x="15" s="1"/>
        <i x="35" s="1"/>
        <i x="3" s="1"/>
        <i x="6" s="1"/>
        <i x="17" s="1"/>
        <i x="7" s="1"/>
        <i x="2" s="1"/>
        <i x="26" s="1"/>
        <i x="20" s="1"/>
        <i x="4" s="1"/>
        <i x="1" s="1"/>
        <i x="9" s="1"/>
        <i x="19" s="1"/>
        <i x="10" s="1"/>
        <i x="34" s="1"/>
        <i x="11" s="1"/>
        <i x="22" s="1"/>
        <i x="13" s="1"/>
        <i x="8" s="1"/>
        <i x="28" s="1"/>
        <i x="18" s="1"/>
        <i x="30" s="1"/>
        <i x="29" s="1" nd="1"/>
        <i x="36" s="1" nd="1"/>
        <i x="0" s="1" nd="1"/>
        <i x="33" s="1" nd="1"/>
        <i x="14" s="1" nd="1"/>
        <i x="5" s="1" nd="1"/>
        <i x="23" s="1" nd="1"/>
        <i x="16" s="1" nd="1"/>
        <i x="32" s="1" nd="1"/>
        <i x="3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66D00904-E75B-4151-A0ED-0E120F5A70EE}" sourceName="Supplier">
  <pivotTables>
    <pivotTable tabId="6" name="PivotTable2"/>
  </pivotTables>
  <data>
    <tabular pivotCacheId="244077981">
      <items count="4">
        <i x="1"/>
        <i x="2" s="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Type" xr10:uid="{9578E1AB-2E5D-4D15-885C-F2AD792817A0}" cache="Slicer_Product_Type" caption="Product_Type" rowHeight="241300"/>
  <slicer name="Sales_Channel" xr10:uid="{9B6359D7-612D-4454-8D5D-FDB201A1DF42}" cache="Slicer_Sales_Channel" caption="Sales_Channel" rowHeight="241300"/>
  <slicer name="State" xr10:uid="{BDE317AD-6724-4B4E-946B-9328DF0AD3A6}" cache="Slicer_State" caption="State" rowHeight="241300"/>
  <slicer name="Supplier" xr10:uid="{4A0A5ADE-F308-4A38-ABFC-6B9242910EAF}" cache="Slicer_Supplier" caption="Suppli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Type 1" xr10:uid="{E5FCC611-5C3B-408A-85A1-3CF257067809}" cache="Slicer_Product_Type" caption="Product_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1:AG1501" totalsRowShown="0" headerRowCellStyle="Normal" dataCellStyle="Normal">
  <autoFilter ref="A1:AG1501" xr:uid="{00000000-0009-0000-0100-000001000000}"/>
  <tableColumns count="33">
    <tableColumn id="1" xr3:uid="{00000000-0010-0000-0000-000001000000}" name="Order_ID" dataCellStyle="Normal"/>
    <tableColumn id="2" xr3:uid="{00000000-0010-0000-0000-000002000000}" name="Date" dataCellStyle="Normal"/>
    <tableColumn id="3" xr3:uid="{00000000-0010-0000-0000-000003000000}" name="Delivery_Date" dataCellStyle="Normal"/>
    <tableColumn id="4" xr3:uid="{00000000-0010-0000-0000-000004000000}" name="Product_Type" dataCellStyle="Normal"/>
    <tableColumn id="5" xr3:uid="{00000000-0010-0000-0000-000005000000}" name="Quantity_Ordered" dataCellStyle="Normal"/>
    <tableColumn id="6" xr3:uid="{00000000-0010-0000-0000-000006000000}" name="Unit_Selling_Price_NGN" dataCellStyle="Normal"/>
    <tableColumn id="7" xr3:uid="{00000000-0010-0000-0000-000007000000}" name="Discount_Percent" dataCellStyle="Normal"/>
    <tableColumn id="8" xr3:uid="{00000000-0010-0000-0000-000008000000}" name="Revenue_NGN" dataCellStyle="Normal"/>
    <tableColumn id="9" xr3:uid="{00000000-0010-0000-0000-000009000000}" name="Supplier" dataCellStyle="Normal"/>
    <tableColumn id="10" xr3:uid="{00000000-0010-0000-0000-00000A000000}" name="Unit_Purchase_Cost_NGN" dataCellStyle="Normal"/>
    <tableColumn id="11" xr3:uid="{00000000-0010-0000-0000-00000B000000}" name="Procurement_Cost_NGN" dataCellStyle="Normal"/>
    <tableColumn id="12" xr3:uid="{00000000-0010-0000-0000-00000C000000}" name="Transport_Cost_NGN" dataCellStyle="Normal"/>
    <tableColumn id="13" xr3:uid="{00000000-0010-0000-0000-00000D000000}" name="Handling_Cost_NGN" dataCellStyle="Normal"/>
    <tableColumn id="14" xr3:uid="{00000000-0010-0000-0000-00000E000000}" name="Other_Cost_NGN" dataCellStyle="Normal"/>
    <tableColumn id="15" xr3:uid="{00000000-0010-0000-0000-00000F000000}" name="Total_Cost_NGN" dataCellStyle="Normal"/>
    <tableColumn id="16" xr3:uid="{00000000-0010-0000-0000-000010000000}" name="Gross_Profit_NGN" dataCellStyle="Normal"/>
    <tableColumn id="17" xr3:uid="{00000000-0010-0000-0000-000011000000}" name="Net_Profit_NGN" dataCellStyle="Normal"/>
    <tableColumn id="18" xr3:uid="{00000000-0010-0000-0000-000012000000}" name="Payment_Status" dataCellStyle="Normal"/>
    <tableColumn id="19" xr3:uid="{00000000-0010-0000-0000-000013000000}" name="Payment_Received_NGN" dataCellStyle="Normal"/>
    <tableColumn id="20" xr3:uid="{00000000-0010-0000-0000-000014000000}" name="Balance_Due_NGN" dataCellStyle="Normal"/>
    <tableColumn id="21" xr3:uid="{00000000-0010-0000-0000-000015000000}" name="Delivery_Status" dataCellStyle="Normal"/>
    <tableColumn id="22" xr3:uid="{00000000-0010-0000-0000-000016000000}" name="Sales_Channel" dataCellStyle="Normal"/>
    <tableColumn id="23" xr3:uid="{00000000-0010-0000-0000-000017000000}" name="Customer_Type" dataCellStyle="Normal"/>
    <tableColumn id="24" xr3:uid="{00000000-0010-0000-0000-000018000000}" name="State" dataCellStyle="Normal"/>
    <tableColumn id="25" xr3:uid="{00000000-0010-0000-0000-000019000000}" name="Region" dataCellStyle="Normal"/>
    <tableColumn id="26" xr3:uid="{00000000-0010-0000-0000-00001A000000}" name="Estimated_Mortality_Percent" dataCellStyle="Normal"/>
    <tableColumn id="27" xr3:uid="{00000000-0010-0000-0000-00001B000000}" name="Computed_Net_Profit_NGN" dataCellStyle="Normal"/>
    <tableColumn id="28" xr3:uid="{00000000-0010-0000-0000-00001C000000}" name="Profit_Margin_Percent" dataCellStyle="Normal"/>
    <tableColumn id="29" xr3:uid="{00000000-0010-0000-0000-00001D000000}" name="Net_Profit_Reconciliation_NGN" dataCellStyle="Normal"/>
    <tableColumn id="30" xr3:uid="{00000000-0010-0000-0000-00001E000000}" name="Order_Year" dataCellStyle="Normal"/>
    <tableColumn id="31" xr3:uid="{00000000-0010-0000-0000-00001F000000}" name="Order_Month_Number" dataCellStyle="Normal"/>
    <tableColumn id="32" xr3:uid="{00000000-0010-0000-0000-000020000000}" name="Order_Month" dataCellStyle="Normal"/>
    <tableColumn id="33" xr3:uid="{00000000-0010-0000-0000-000021000000}" name="Order_YearMonth" dataCellStyle="Normal"/>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501"/>
  <sheetViews>
    <sheetView topLeftCell="B1" workbookViewId="0">
      <pane ySplit="1" topLeftCell="A2" activePane="bottomLeft" state="frozen"/>
      <selection pane="bottomLeft" activeCell="B1" sqref="A1:XFD1048576"/>
    </sheetView>
  </sheetViews>
  <sheetFormatPr defaultRowHeight="14.25"/>
  <cols>
    <col min="1" max="3" width="14" customWidth="1"/>
    <col min="4" max="4" width="19" customWidth="1"/>
    <col min="5" max="5" width="15" customWidth="1"/>
    <col min="6" max="17" width="18" customWidth="1"/>
    <col min="18" max="18" width="15" customWidth="1"/>
    <col min="19" max="20" width="19" customWidth="1"/>
    <col min="21" max="21" width="17" customWidth="1"/>
    <col min="22" max="22" width="18" customWidth="1"/>
    <col min="23" max="23" width="23" customWidth="1"/>
    <col min="24" max="25" width="17" customWidth="1"/>
    <col min="26" max="29" width="25" customWidth="1"/>
    <col min="30" max="33" width="18" customWidth="1"/>
  </cols>
  <sheetData>
    <row r="1" spans="1:33" ht="32.1" customHeight="1">
      <c r="A1" t="s">
        <v>32</v>
      </c>
      <c r="B1" t="s">
        <v>1730</v>
      </c>
      <c r="C1" t="s">
        <v>33</v>
      </c>
      <c r="D1" t="s">
        <v>34</v>
      </c>
      <c r="E1" t="s">
        <v>35</v>
      </c>
      <c r="F1" t="s">
        <v>36</v>
      </c>
      <c r="G1" t="s">
        <v>37</v>
      </c>
      <c r="H1" t="s">
        <v>38</v>
      </c>
      <c r="I1" t="s">
        <v>39</v>
      </c>
      <c r="J1" t="s">
        <v>40</v>
      </c>
      <c r="K1" t="s">
        <v>41</v>
      </c>
      <c r="L1" t="s">
        <v>42</v>
      </c>
      <c r="M1" t="s">
        <v>43</v>
      </c>
      <c r="N1" t="s">
        <v>44</v>
      </c>
      <c r="O1" t="s">
        <v>45</v>
      </c>
      <c r="P1" t="s">
        <v>46</v>
      </c>
      <c r="Q1" t="s">
        <v>47</v>
      </c>
      <c r="R1" t="s">
        <v>48</v>
      </c>
      <c r="S1" t="s">
        <v>49</v>
      </c>
      <c r="T1" t="s">
        <v>50</v>
      </c>
      <c r="U1" t="s">
        <v>51</v>
      </c>
      <c r="V1" t="s">
        <v>52</v>
      </c>
      <c r="W1" t="s">
        <v>53</v>
      </c>
      <c r="X1" t="s">
        <v>54</v>
      </c>
      <c r="Y1" t="s">
        <v>19</v>
      </c>
      <c r="Z1" t="s">
        <v>55</v>
      </c>
      <c r="AA1" t="s">
        <v>56</v>
      </c>
      <c r="AB1" t="s">
        <v>57</v>
      </c>
      <c r="AC1" t="s">
        <v>58</v>
      </c>
      <c r="AD1" t="s">
        <v>59</v>
      </c>
      <c r="AE1" t="s">
        <v>60</v>
      </c>
      <c r="AF1" t="s">
        <v>61</v>
      </c>
      <c r="AG1" t="s">
        <v>62</v>
      </c>
    </row>
    <row r="2" spans="1:33">
      <c r="A2" t="s">
        <v>63</v>
      </c>
      <c r="B2">
        <v>45500</v>
      </c>
      <c r="C2">
        <v>45513</v>
      </c>
      <c r="D2" t="s">
        <v>21</v>
      </c>
      <c r="E2">
        <v>200</v>
      </c>
      <c r="F2">
        <v>808.71</v>
      </c>
      <c r="G2">
        <v>0.48</v>
      </c>
      <c r="H2">
        <v>160965.64000000001</v>
      </c>
      <c r="I2" t="s">
        <v>1728</v>
      </c>
      <c r="J2">
        <v>704.95</v>
      </c>
      <c r="K2">
        <v>140990</v>
      </c>
      <c r="L2">
        <v>3237.59</v>
      </c>
      <c r="M2">
        <v>588.73</v>
      </c>
      <c r="N2">
        <v>1046.45</v>
      </c>
      <c r="O2">
        <v>145862.76999999999</v>
      </c>
      <c r="P2">
        <v>19975.64</v>
      </c>
      <c r="Q2">
        <v>15102.87</v>
      </c>
      <c r="R2" t="s">
        <v>65</v>
      </c>
      <c r="S2">
        <v>160965.64000000001</v>
      </c>
      <c r="T2">
        <v>0</v>
      </c>
      <c r="U2" t="s">
        <v>66</v>
      </c>
      <c r="V2" t="s">
        <v>6</v>
      </c>
      <c r="W2" t="s">
        <v>67</v>
      </c>
      <c r="X2" t="s">
        <v>68</v>
      </c>
      <c r="Y2" t="s">
        <v>31</v>
      </c>
      <c r="Z2">
        <v>0.69</v>
      </c>
      <c r="AA2">
        <f t="shared" ref="AA2:AA65" si="0">ROUND(H2-O2,2)</f>
        <v>15102.87</v>
      </c>
      <c r="AB2">
        <f t="shared" ref="AB2:AB65" si="1">AA2/H2</f>
        <v>9.3826670089343284E-2</v>
      </c>
      <c r="AC2">
        <f t="shared" ref="AC2:AC65" si="2">ROUND(AA2-Q2,2)</f>
        <v>0</v>
      </c>
      <c r="AD2">
        <v>2024</v>
      </c>
      <c r="AE2">
        <v>7</v>
      </c>
      <c r="AF2" t="s">
        <v>69</v>
      </c>
      <c r="AG2" t="s">
        <v>70</v>
      </c>
    </row>
    <row r="3" spans="1:33">
      <c r="A3" t="s">
        <v>71</v>
      </c>
      <c r="B3">
        <v>45415</v>
      </c>
      <c r="C3">
        <v>45416</v>
      </c>
      <c r="D3" t="s">
        <v>23</v>
      </c>
      <c r="E3">
        <v>300</v>
      </c>
      <c r="F3">
        <v>1206.47</v>
      </c>
      <c r="G3">
        <v>2.13</v>
      </c>
      <c r="H3">
        <v>354231.66</v>
      </c>
      <c r="I3" t="s">
        <v>1726</v>
      </c>
      <c r="J3">
        <v>977.68</v>
      </c>
      <c r="K3">
        <v>293304</v>
      </c>
      <c r="L3">
        <v>7055.13</v>
      </c>
      <c r="M3">
        <v>1080.55</v>
      </c>
      <c r="N3">
        <v>2583.9</v>
      </c>
      <c r="O3">
        <v>304023.58</v>
      </c>
      <c r="P3">
        <v>60927.66</v>
      </c>
      <c r="Q3">
        <v>50208.08</v>
      </c>
      <c r="R3" t="s">
        <v>65</v>
      </c>
      <c r="S3">
        <v>354231.66</v>
      </c>
      <c r="T3">
        <v>0</v>
      </c>
      <c r="U3" t="s">
        <v>73</v>
      </c>
      <c r="V3" t="s">
        <v>8</v>
      </c>
      <c r="W3" t="s">
        <v>74</v>
      </c>
      <c r="X3" t="s">
        <v>75</v>
      </c>
      <c r="Y3" t="s">
        <v>28</v>
      </c>
      <c r="Z3">
        <v>0.11</v>
      </c>
      <c r="AA3">
        <f t="shared" si="0"/>
        <v>50208.08</v>
      </c>
      <c r="AB3">
        <f t="shared" si="1"/>
        <v>0.14173798016811937</v>
      </c>
      <c r="AC3">
        <f t="shared" si="2"/>
        <v>0</v>
      </c>
      <c r="AD3">
        <v>2024</v>
      </c>
      <c r="AE3">
        <v>5</v>
      </c>
      <c r="AF3" t="s">
        <v>76</v>
      </c>
      <c r="AG3" t="s">
        <v>77</v>
      </c>
    </row>
    <row r="4" spans="1:33">
      <c r="A4" t="s">
        <v>78</v>
      </c>
      <c r="B4">
        <v>45519</v>
      </c>
      <c r="C4">
        <v>45520</v>
      </c>
      <c r="D4" t="s">
        <v>21</v>
      </c>
      <c r="E4">
        <v>250</v>
      </c>
      <c r="F4">
        <v>901.18</v>
      </c>
      <c r="G4">
        <v>1.18</v>
      </c>
      <c r="H4">
        <v>222636.52</v>
      </c>
      <c r="I4" t="s">
        <v>1727</v>
      </c>
      <c r="J4">
        <v>671.24</v>
      </c>
      <c r="K4">
        <v>167810</v>
      </c>
      <c r="L4">
        <v>5685.82</v>
      </c>
      <c r="M4">
        <v>1276.01</v>
      </c>
      <c r="N4">
        <v>6421.4</v>
      </c>
      <c r="O4">
        <v>181193.23</v>
      </c>
      <c r="P4">
        <v>54826.52</v>
      </c>
      <c r="Q4">
        <v>41443.29</v>
      </c>
      <c r="R4" t="s">
        <v>65</v>
      </c>
      <c r="S4">
        <v>222636.52</v>
      </c>
      <c r="T4">
        <v>0</v>
      </c>
      <c r="U4" t="s">
        <v>73</v>
      </c>
      <c r="V4" t="s">
        <v>16</v>
      </c>
      <c r="W4" t="s">
        <v>80</v>
      </c>
      <c r="X4" t="s">
        <v>81</v>
      </c>
      <c r="Y4" t="s">
        <v>24</v>
      </c>
      <c r="Z4">
        <v>0.33</v>
      </c>
      <c r="AA4">
        <f t="shared" si="0"/>
        <v>41443.29</v>
      </c>
      <c r="AB4">
        <f t="shared" si="1"/>
        <v>0.18614776228086929</v>
      </c>
      <c r="AC4">
        <f t="shared" si="2"/>
        <v>0</v>
      </c>
      <c r="AD4">
        <v>2024</v>
      </c>
      <c r="AE4">
        <v>8</v>
      </c>
      <c r="AF4" t="s">
        <v>82</v>
      </c>
      <c r="AG4" t="s">
        <v>83</v>
      </c>
    </row>
    <row r="5" spans="1:33">
      <c r="A5" t="s">
        <v>84</v>
      </c>
      <c r="B5">
        <v>45873</v>
      </c>
      <c r="C5">
        <v>45885</v>
      </c>
      <c r="D5" t="s">
        <v>27</v>
      </c>
      <c r="E5">
        <v>200</v>
      </c>
      <c r="F5">
        <v>749.22</v>
      </c>
      <c r="G5">
        <v>1.2</v>
      </c>
      <c r="H5">
        <v>148045.87</v>
      </c>
      <c r="I5" t="s">
        <v>1728</v>
      </c>
      <c r="J5">
        <v>608.83000000000004</v>
      </c>
      <c r="K5">
        <v>121766</v>
      </c>
      <c r="L5">
        <v>1885.03</v>
      </c>
      <c r="M5">
        <v>1055.04</v>
      </c>
      <c r="N5">
        <v>5105.53</v>
      </c>
      <c r="O5">
        <v>129811.6</v>
      </c>
      <c r="P5">
        <v>26279.87</v>
      </c>
      <c r="Q5">
        <v>18234.27</v>
      </c>
      <c r="R5" t="s">
        <v>85</v>
      </c>
      <c r="S5">
        <v>76965.990000000005</v>
      </c>
      <c r="T5">
        <v>71079.88</v>
      </c>
      <c r="U5" t="s">
        <v>73</v>
      </c>
      <c r="V5" t="s">
        <v>8</v>
      </c>
      <c r="W5" t="s">
        <v>74</v>
      </c>
      <c r="X5" t="s">
        <v>86</v>
      </c>
      <c r="Y5" t="s">
        <v>30</v>
      </c>
      <c r="Z5">
        <v>1.53</v>
      </c>
      <c r="AA5">
        <f t="shared" si="0"/>
        <v>18234.27</v>
      </c>
      <c r="AB5">
        <f t="shared" si="1"/>
        <v>0.12316635377940635</v>
      </c>
      <c r="AC5">
        <f t="shared" si="2"/>
        <v>0</v>
      </c>
      <c r="AD5">
        <v>2025</v>
      </c>
      <c r="AE5">
        <v>8</v>
      </c>
      <c r="AF5" t="s">
        <v>82</v>
      </c>
      <c r="AG5" t="s">
        <v>87</v>
      </c>
    </row>
    <row r="6" spans="1:33">
      <c r="A6" t="s">
        <v>88</v>
      </c>
      <c r="B6">
        <v>45870</v>
      </c>
      <c r="C6">
        <v>45872</v>
      </c>
      <c r="D6" t="s">
        <v>27</v>
      </c>
      <c r="E6">
        <v>500</v>
      </c>
      <c r="F6">
        <v>758.41</v>
      </c>
      <c r="G6">
        <v>2.98</v>
      </c>
      <c r="H6">
        <v>367904.69</v>
      </c>
      <c r="I6" t="s">
        <v>1728</v>
      </c>
      <c r="J6">
        <v>602.65</v>
      </c>
      <c r="K6">
        <v>301325</v>
      </c>
      <c r="L6">
        <v>2699.99</v>
      </c>
      <c r="M6">
        <v>1770.62</v>
      </c>
      <c r="N6">
        <v>3487.18</v>
      </c>
      <c r="O6">
        <v>309282.78999999998</v>
      </c>
      <c r="P6">
        <v>66579.69</v>
      </c>
      <c r="Q6">
        <v>58621.9</v>
      </c>
      <c r="R6" t="s">
        <v>65</v>
      </c>
      <c r="S6">
        <v>367904.69</v>
      </c>
      <c r="T6">
        <v>0</v>
      </c>
      <c r="U6" t="s">
        <v>66</v>
      </c>
      <c r="V6" t="s">
        <v>6</v>
      </c>
      <c r="W6" t="s">
        <v>67</v>
      </c>
      <c r="X6" t="s">
        <v>89</v>
      </c>
      <c r="Y6" t="s">
        <v>28</v>
      </c>
      <c r="Z6">
        <v>0.06</v>
      </c>
      <c r="AA6">
        <f t="shared" si="0"/>
        <v>58621.9</v>
      </c>
      <c r="AB6">
        <f t="shared" si="1"/>
        <v>0.15933990947492407</v>
      </c>
      <c r="AC6">
        <f t="shared" si="2"/>
        <v>0</v>
      </c>
      <c r="AD6">
        <v>2025</v>
      </c>
      <c r="AE6">
        <v>8</v>
      </c>
      <c r="AF6" t="s">
        <v>82</v>
      </c>
      <c r="AG6" t="s">
        <v>87</v>
      </c>
    </row>
    <row r="7" spans="1:33">
      <c r="A7" t="s">
        <v>90</v>
      </c>
      <c r="B7">
        <v>45787</v>
      </c>
      <c r="D7" t="s">
        <v>25</v>
      </c>
      <c r="E7">
        <v>150</v>
      </c>
      <c r="F7">
        <v>994.92</v>
      </c>
      <c r="G7">
        <v>2.2200000000000002</v>
      </c>
      <c r="H7">
        <v>145924.92000000001</v>
      </c>
      <c r="I7" t="s">
        <v>1726</v>
      </c>
      <c r="J7">
        <v>781.98</v>
      </c>
      <c r="K7">
        <v>117297</v>
      </c>
      <c r="L7">
        <v>1733.25</v>
      </c>
      <c r="M7">
        <v>563.97</v>
      </c>
      <c r="N7">
        <v>7560.43</v>
      </c>
      <c r="O7">
        <v>127154.65</v>
      </c>
      <c r="P7">
        <v>28627.919999999998</v>
      </c>
      <c r="Q7">
        <v>18770.27</v>
      </c>
      <c r="R7" t="s">
        <v>65</v>
      </c>
      <c r="S7">
        <v>145924.92000000001</v>
      </c>
      <c r="T7">
        <v>0</v>
      </c>
      <c r="U7" t="s">
        <v>91</v>
      </c>
      <c r="V7" t="s">
        <v>6</v>
      </c>
      <c r="W7" t="s">
        <v>92</v>
      </c>
      <c r="X7" t="s">
        <v>93</v>
      </c>
      <c r="Y7" t="s">
        <v>26</v>
      </c>
      <c r="Z7">
        <v>2.25</v>
      </c>
      <c r="AA7">
        <f t="shared" si="0"/>
        <v>18770.27</v>
      </c>
      <c r="AB7">
        <f t="shared" si="1"/>
        <v>0.12862964050280101</v>
      </c>
      <c r="AC7">
        <f t="shared" si="2"/>
        <v>0</v>
      </c>
      <c r="AD7">
        <v>2025</v>
      </c>
      <c r="AE7">
        <v>5</v>
      </c>
      <c r="AF7" t="s">
        <v>76</v>
      </c>
      <c r="AG7" t="s">
        <v>94</v>
      </c>
    </row>
    <row r="8" spans="1:33">
      <c r="A8" t="s">
        <v>95</v>
      </c>
      <c r="B8">
        <v>45628</v>
      </c>
      <c r="D8" t="s">
        <v>21</v>
      </c>
      <c r="E8">
        <v>250</v>
      </c>
      <c r="F8">
        <v>974.17</v>
      </c>
      <c r="G8">
        <v>1.76</v>
      </c>
      <c r="H8">
        <v>239256.15</v>
      </c>
      <c r="I8" t="s">
        <v>1729</v>
      </c>
      <c r="J8">
        <v>727.3</v>
      </c>
      <c r="K8">
        <v>181825</v>
      </c>
      <c r="L8">
        <v>5720.86</v>
      </c>
      <c r="M8">
        <v>563.44000000000005</v>
      </c>
      <c r="N8">
        <v>510.45</v>
      </c>
      <c r="O8">
        <v>188619.75</v>
      </c>
      <c r="P8">
        <v>57431.15</v>
      </c>
      <c r="Q8">
        <v>50636.4</v>
      </c>
      <c r="R8" t="s">
        <v>65</v>
      </c>
      <c r="S8">
        <v>239256.15</v>
      </c>
      <c r="T8">
        <v>0</v>
      </c>
      <c r="U8" t="s">
        <v>91</v>
      </c>
      <c r="V8" t="s">
        <v>10</v>
      </c>
      <c r="W8" t="s">
        <v>80</v>
      </c>
      <c r="X8" t="s">
        <v>97</v>
      </c>
      <c r="Y8" t="s">
        <v>24</v>
      </c>
      <c r="Z8">
        <v>1.25</v>
      </c>
      <c r="AA8">
        <f t="shared" si="0"/>
        <v>50636.4</v>
      </c>
      <c r="AB8">
        <f t="shared" si="1"/>
        <v>0.21164095468392349</v>
      </c>
      <c r="AC8">
        <f t="shared" si="2"/>
        <v>0</v>
      </c>
      <c r="AD8">
        <v>2024</v>
      </c>
      <c r="AE8">
        <v>12</v>
      </c>
      <c r="AF8" t="s">
        <v>98</v>
      </c>
      <c r="AG8" t="s">
        <v>99</v>
      </c>
    </row>
    <row r="9" spans="1:33">
      <c r="A9" t="s">
        <v>100</v>
      </c>
      <c r="B9">
        <v>45318</v>
      </c>
      <c r="C9">
        <v>45331</v>
      </c>
      <c r="D9" t="s">
        <v>23</v>
      </c>
      <c r="E9">
        <v>500</v>
      </c>
      <c r="F9">
        <v>1181.27</v>
      </c>
      <c r="G9">
        <v>3.64</v>
      </c>
      <c r="H9">
        <v>569135.89</v>
      </c>
      <c r="I9" t="s">
        <v>1727</v>
      </c>
      <c r="J9">
        <v>970.22</v>
      </c>
      <c r="K9">
        <v>485110</v>
      </c>
      <c r="L9">
        <v>7413.03</v>
      </c>
      <c r="M9">
        <v>1134.3900000000001</v>
      </c>
      <c r="N9">
        <v>6338.15</v>
      </c>
      <c r="O9">
        <v>499995.57</v>
      </c>
      <c r="P9">
        <v>84025.89</v>
      </c>
      <c r="Q9">
        <v>69140.320000000007</v>
      </c>
      <c r="R9" t="s">
        <v>65</v>
      </c>
      <c r="S9">
        <v>569135.89</v>
      </c>
      <c r="T9">
        <v>0</v>
      </c>
      <c r="U9" t="s">
        <v>66</v>
      </c>
      <c r="V9" t="s">
        <v>14</v>
      </c>
      <c r="W9" t="s">
        <v>74</v>
      </c>
      <c r="X9" t="s">
        <v>101</v>
      </c>
      <c r="Y9" t="s">
        <v>22</v>
      </c>
      <c r="Z9">
        <v>1.98</v>
      </c>
      <c r="AA9">
        <f t="shared" si="0"/>
        <v>69140.320000000007</v>
      </c>
      <c r="AB9">
        <f t="shared" si="1"/>
        <v>0.12148297307344298</v>
      </c>
      <c r="AC9">
        <f t="shared" si="2"/>
        <v>0</v>
      </c>
      <c r="AD9">
        <v>2024</v>
      </c>
      <c r="AE9">
        <v>1</v>
      </c>
      <c r="AF9" t="s">
        <v>102</v>
      </c>
      <c r="AG9" t="s">
        <v>103</v>
      </c>
    </row>
    <row r="10" spans="1:33">
      <c r="A10" t="s">
        <v>104</v>
      </c>
      <c r="B10">
        <v>45746</v>
      </c>
      <c r="C10">
        <v>45756</v>
      </c>
      <c r="D10" t="s">
        <v>21</v>
      </c>
      <c r="E10">
        <v>750</v>
      </c>
      <c r="F10">
        <v>836.85</v>
      </c>
      <c r="G10">
        <v>2.67</v>
      </c>
      <c r="H10">
        <v>610879.57999999996</v>
      </c>
      <c r="I10" t="s">
        <v>1729</v>
      </c>
      <c r="J10">
        <v>673.75</v>
      </c>
      <c r="K10">
        <v>505312.5</v>
      </c>
      <c r="L10">
        <v>17584.669999999998</v>
      </c>
      <c r="M10">
        <v>2579.1799999999998</v>
      </c>
      <c r="N10">
        <v>5762.05</v>
      </c>
      <c r="O10">
        <v>531238.40000000002</v>
      </c>
      <c r="P10">
        <v>105567.08</v>
      </c>
      <c r="Q10">
        <v>79641.179999999993</v>
      </c>
      <c r="R10" t="s">
        <v>65</v>
      </c>
      <c r="S10">
        <v>610879.57999999996</v>
      </c>
      <c r="T10">
        <v>0</v>
      </c>
      <c r="U10" t="s">
        <v>66</v>
      </c>
      <c r="V10" t="s">
        <v>8</v>
      </c>
      <c r="W10" t="s">
        <v>80</v>
      </c>
      <c r="X10" t="s">
        <v>81</v>
      </c>
      <c r="Y10" t="s">
        <v>24</v>
      </c>
      <c r="Z10">
        <v>2.0099999999999998</v>
      </c>
      <c r="AA10">
        <f t="shared" si="0"/>
        <v>79641.179999999993</v>
      </c>
      <c r="AB10">
        <f t="shared" si="1"/>
        <v>0.130371324574313</v>
      </c>
      <c r="AC10">
        <f t="shared" si="2"/>
        <v>0</v>
      </c>
      <c r="AD10">
        <v>2025</v>
      </c>
      <c r="AE10">
        <v>3</v>
      </c>
      <c r="AF10" t="s">
        <v>105</v>
      </c>
      <c r="AG10" t="s">
        <v>106</v>
      </c>
    </row>
    <row r="11" spans="1:33">
      <c r="A11" t="s">
        <v>107</v>
      </c>
      <c r="B11">
        <v>45779</v>
      </c>
      <c r="C11">
        <v>45788</v>
      </c>
      <c r="D11" t="s">
        <v>23</v>
      </c>
      <c r="E11">
        <v>300</v>
      </c>
      <c r="F11">
        <v>1318.81</v>
      </c>
      <c r="G11">
        <v>0.21</v>
      </c>
      <c r="H11">
        <v>394812.15</v>
      </c>
      <c r="I11" t="s">
        <v>1726</v>
      </c>
      <c r="J11">
        <v>1052.8399999999999</v>
      </c>
      <c r="K11">
        <v>315852</v>
      </c>
      <c r="L11">
        <v>4252.58</v>
      </c>
      <c r="M11">
        <v>1554.06</v>
      </c>
      <c r="N11">
        <v>11598.95</v>
      </c>
      <c r="O11">
        <v>333257.59000000003</v>
      </c>
      <c r="P11">
        <v>78960.149999999994</v>
      </c>
      <c r="Q11">
        <v>61554.559999999998</v>
      </c>
      <c r="R11" t="s">
        <v>65</v>
      </c>
      <c r="S11">
        <v>394812.15</v>
      </c>
      <c r="T11">
        <v>0</v>
      </c>
      <c r="U11" t="s">
        <v>66</v>
      </c>
      <c r="V11" t="s">
        <v>6</v>
      </c>
      <c r="W11" t="s">
        <v>74</v>
      </c>
      <c r="X11" t="s">
        <v>108</v>
      </c>
      <c r="Y11" t="s">
        <v>22</v>
      </c>
      <c r="Z11">
        <v>1.45</v>
      </c>
      <c r="AA11">
        <f t="shared" si="0"/>
        <v>61554.559999999998</v>
      </c>
      <c r="AB11">
        <f t="shared" si="1"/>
        <v>0.15590847444791148</v>
      </c>
      <c r="AC11">
        <f t="shared" si="2"/>
        <v>0</v>
      </c>
      <c r="AD11">
        <v>2025</v>
      </c>
      <c r="AE11">
        <v>5</v>
      </c>
      <c r="AF11" t="s">
        <v>76</v>
      </c>
      <c r="AG11" t="s">
        <v>94</v>
      </c>
    </row>
    <row r="12" spans="1:33">
      <c r="A12" t="s">
        <v>109</v>
      </c>
      <c r="B12">
        <v>45818</v>
      </c>
      <c r="C12">
        <v>45818</v>
      </c>
      <c r="D12" t="s">
        <v>21</v>
      </c>
      <c r="E12">
        <v>200</v>
      </c>
      <c r="F12">
        <v>823.5</v>
      </c>
      <c r="G12">
        <v>2.33</v>
      </c>
      <c r="H12">
        <v>160862.49</v>
      </c>
      <c r="I12" t="s">
        <v>1727</v>
      </c>
      <c r="J12">
        <v>718.26</v>
      </c>
      <c r="K12">
        <v>143652</v>
      </c>
      <c r="L12">
        <v>2326.27</v>
      </c>
      <c r="M12">
        <v>502.84</v>
      </c>
      <c r="N12">
        <v>3897.48</v>
      </c>
      <c r="O12">
        <v>150378.59</v>
      </c>
      <c r="P12">
        <v>17210.490000000002</v>
      </c>
      <c r="Q12">
        <v>10483.9</v>
      </c>
      <c r="R12" t="s">
        <v>65</v>
      </c>
      <c r="S12">
        <v>160862.49</v>
      </c>
      <c r="T12">
        <v>0</v>
      </c>
      <c r="U12" t="s">
        <v>66</v>
      </c>
      <c r="V12" t="s">
        <v>6</v>
      </c>
      <c r="W12" t="s">
        <v>74</v>
      </c>
      <c r="X12" t="s">
        <v>110</v>
      </c>
      <c r="Y12" t="s">
        <v>28</v>
      </c>
      <c r="Z12">
        <v>1.79</v>
      </c>
      <c r="AA12">
        <f t="shared" si="0"/>
        <v>10483.9</v>
      </c>
      <c r="AB12">
        <f t="shared" si="1"/>
        <v>6.517305557063055E-2</v>
      </c>
      <c r="AC12">
        <f t="shared" si="2"/>
        <v>0</v>
      </c>
      <c r="AD12">
        <v>2025</v>
      </c>
      <c r="AE12">
        <v>6</v>
      </c>
      <c r="AF12" t="s">
        <v>111</v>
      </c>
      <c r="AG12" t="s">
        <v>112</v>
      </c>
    </row>
    <row r="13" spans="1:33">
      <c r="A13" t="s">
        <v>113</v>
      </c>
      <c r="B13">
        <v>45638</v>
      </c>
      <c r="C13">
        <v>45643</v>
      </c>
      <c r="D13" t="s">
        <v>23</v>
      </c>
      <c r="E13">
        <v>200</v>
      </c>
      <c r="F13">
        <v>1396.14</v>
      </c>
      <c r="G13">
        <v>2.4</v>
      </c>
      <c r="H13">
        <v>272526.53000000003</v>
      </c>
      <c r="I13" t="s">
        <v>1726</v>
      </c>
      <c r="J13">
        <v>1049.81</v>
      </c>
      <c r="K13">
        <v>209962</v>
      </c>
      <c r="L13">
        <v>3616.53</v>
      </c>
      <c r="M13">
        <v>816.72</v>
      </c>
      <c r="N13">
        <v>6360.06</v>
      </c>
      <c r="O13">
        <v>220755.31</v>
      </c>
      <c r="P13">
        <v>62564.53</v>
      </c>
      <c r="Q13">
        <v>51771.22</v>
      </c>
      <c r="R13" t="s">
        <v>65</v>
      </c>
      <c r="S13">
        <v>272526.53000000003</v>
      </c>
      <c r="T13">
        <v>0</v>
      </c>
      <c r="U13" t="s">
        <v>66</v>
      </c>
      <c r="V13" t="s">
        <v>12</v>
      </c>
      <c r="W13" t="s">
        <v>80</v>
      </c>
      <c r="X13" t="s">
        <v>97</v>
      </c>
      <c r="Y13" t="s">
        <v>24</v>
      </c>
      <c r="Z13">
        <v>1.66</v>
      </c>
      <c r="AA13">
        <f t="shared" si="0"/>
        <v>51771.22</v>
      </c>
      <c r="AB13">
        <f t="shared" si="1"/>
        <v>0.18996763360983607</v>
      </c>
      <c r="AC13">
        <f t="shared" si="2"/>
        <v>0</v>
      </c>
      <c r="AD13">
        <v>2024</v>
      </c>
      <c r="AE13">
        <v>12</v>
      </c>
      <c r="AF13" t="s">
        <v>98</v>
      </c>
      <c r="AG13" t="s">
        <v>99</v>
      </c>
    </row>
    <row r="14" spans="1:33">
      <c r="A14" t="s">
        <v>114</v>
      </c>
      <c r="B14">
        <v>45309</v>
      </c>
      <c r="C14">
        <v>45323</v>
      </c>
      <c r="D14" t="s">
        <v>23</v>
      </c>
      <c r="E14">
        <v>100</v>
      </c>
      <c r="F14">
        <v>1284.1400000000001</v>
      </c>
      <c r="G14">
        <v>0.74</v>
      </c>
      <c r="H14">
        <v>127463.74</v>
      </c>
      <c r="I14" t="s">
        <v>1726</v>
      </c>
      <c r="J14">
        <v>983.7</v>
      </c>
      <c r="K14">
        <v>98370</v>
      </c>
      <c r="L14">
        <v>914.24</v>
      </c>
      <c r="M14">
        <v>405.52</v>
      </c>
      <c r="N14">
        <v>5571.93</v>
      </c>
      <c r="O14">
        <v>105261.69</v>
      </c>
      <c r="P14">
        <v>29093.74</v>
      </c>
      <c r="Q14">
        <v>22202.05</v>
      </c>
      <c r="R14" t="s">
        <v>65</v>
      </c>
      <c r="S14">
        <v>127463.74</v>
      </c>
      <c r="T14">
        <v>0</v>
      </c>
      <c r="U14" t="s">
        <v>73</v>
      </c>
      <c r="V14" t="s">
        <v>8</v>
      </c>
      <c r="W14" t="s">
        <v>74</v>
      </c>
      <c r="X14" t="s">
        <v>115</v>
      </c>
      <c r="Y14" t="s">
        <v>22</v>
      </c>
      <c r="Z14">
        <v>1.45</v>
      </c>
      <c r="AA14">
        <f t="shared" si="0"/>
        <v>22202.05</v>
      </c>
      <c r="AB14">
        <f t="shared" si="1"/>
        <v>0.17418326184372118</v>
      </c>
      <c r="AC14">
        <f t="shared" si="2"/>
        <v>0</v>
      </c>
      <c r="AD14">
        <v>2024</v>
      </c>
      <c r="AE14">
        <v>1</v>
      </c>
      <c r="AF14" t="s">
        <v>102</v>
      </c>
      <c r="AG14" t="s">
        <v>103</v>
      </c>
    </row>
    <row r="15" spans="1:33">
      <c r="A15" t="s">
        <v>116</v>
      </c>
      <c r="B15">
        <v>45673</v>
      </c>
      <c r="D15" t="s">
        <v>25</v>
      </c>
      <c r="E15">
        <v>100</v>
      </c>
      <c r="F15">
        <v>947.09</v>
      </c>
      <c r="G15">
        <v>1.98</v>
      </c>
      <c r="H15">
        <v>0</v>
      </c>
      <c r="I15" t="s">
        <v>1727</v>
      </c>
      <c r="J15">
        <v>714.98</v>
      </c>
      <c r="K15">
        <v>0</v>
      </c>
      <c r="L15">
        <v>0</v>
      </c>
      <c r="M15">
        <v>0</v>
      </c>
      <c r="N15">
        <v>0</v>
      </c>
      <c r="O15">
        <v>0</v>
      </c>
      <c r="P15">
        <v>0</v>
      </c>
      <c r="Q15">
        <v>0</v>
      </c>
      <c r="R15" t="s">
        <v>65</v>
      </c>
      <c r="S15">
        <v>0</v>
      </c>
      <c r="T15">
        <v>0</v>
      </c>
      <c r="U15" t="s">
        <v>117</v>
      </c>
      <c r="V15" t="s">
        <v>10</v>
      </c>
      <c r="W15" t="s">
        <v>80</v>
      </c>
      <c r="X15" t="s">
        <v>101</v>
      </c>
      <c r="Y15" t="s">
        <v>22</v>
      </c>
      <c r="Z15">
        <v>2.09</v>
      </c>
      <c r="AA15">
        <f t="shared" si="0"/>
        <v>0</v>
      </c>
      <c r="AB15" t="e">
        <f t="shared" si="1"/>
        <v>#DIV/0!</v>
      </c>
      <c r="AC15">
        <f t="shared" si="2"/>
        <v>0</v>
      </c>
      <c r="AD15">
        <v>2025</v>
      </c>
      <c r="AE15">
        <v>1</v>
      </c>
      <c r="AF15" t="s">
        <v>102</v>
      </c>
      <c r="AG15" t="s">
        <v>118</v>
      </c>
    </row>
    <row r="16" spans="1:33">
      <c r="A16" t="s">
        <v>119</v>
      </c>
      <c r="B16">
        <v>45382</v>
      </c>
      <c r="C16">
        <v>45392</v>
      </c>
      <c r="D16" t="s">
        <v>21</v>
      </c>
      <c r="E16">
        <v>250</v>
      </c>
      <c r="F16">
        <v>897.32</v>
      </c>
      <c r="G16">
        <v>1.54</v>
      </c>
      <c r="H16">
        <v>220875.32</v>
      </c>
      <c r="I16" t="s">
        <v>1728</v>
      </c>
      <c r="J16">
        <v>734.71</v>
      </c>
      <c r="K16">
        <v>183677.5</v>
      </c>
      <c r="L16">
        <v>4398.8</v>
      </c>
      <c r="M16">
        <v>554.63</v>
      </c>
      <c r="N16">
        <v>531.29999999999995</v>
      </c>
      <c r="O16">
        <v>189162.23</v>
      </c>
      <c r="P16">
        <v>37197.82</v>
      </c>
      <c r="Q16">
        <v>31713.09</v>
      </c>
      <c r="R16" t="s">
        <v>65</v>
      </c>
      <c r="S16">
        <v>220875.32</v>
      </c>
      <c r="T16">
        <v>0</v>
      </c>
      <c r="U16" t="s">
        <v>66</v>
      </c>
      <c r="V16" t="s">
        <v>6</v>
      </c>
      <c r="W16" t="s">
        <v>74</v>
      </c>
      <c r="X16" t="s">
        <v>89</v>
      </c>
      <c r="Y16" t="s">
        <v>28</v>
      </c>
      <c r="Z16">
        <v>1.59</v>
      </c>
      <c r="AA16">
        <f t="shared" si="0"/>
        <v>31713.09</v>
      </c>
      <c r="AB16">
        <f t="shared" si="1"/>
        <v>0.14357914682364692</v>
      </c>
      <c r="AC16">
        <f t="shared" si="2"/>
        <v>0</v>
      </c>
      <c r="AD16">
        <v>2024</v>
      </c>
      <c r="AE16">
        <v>3</v>
      </c>
      <c r="AF16" t="s">
        <v>105</v>
      </c>
      <c r="AG16" t="s">
        <v>120</v>
      </c>
    </row>
    <row r="17" spans="1:33">
      <c r="A17" t="s">
        <v>121</v>
      </c>
      <c r="B17">
        <v>45682</v>
      </c>
      <c r="C17">
        <v>45691</v>
      </c>
      <c r="D17" t="s">
        <v>21</v>
      </c>
      <c r="E17">
        <v>300</v>
      </c>
      <c r="F17">
        <v>827.26</v>
      </c>
      <c r="G17">
        <v>1.47</v>
      </c>
      <c r="H17">
        <v>244529.78</v>
      </c>
      <c r="I17" t="s">
        <v>1726</v>
      </c>
      <c r="J17">
        <v>748.68</v>
      </c>
      <c r="K17">
        <v>224604</v>
      </c>
      <c r="L17">
        <v>2951.24</v>
      </c>
      <c r="M17">
        <v>1384.84</v>
      </c>
      <c r="N17">
        <v>6632.79</v>
      </c>
      <c r="O17">
        <v>235572.87</v>
      </c>
      <c r="P17">
        <v>19925.78</v>
      </c>
      <c r="Q17">
        <v>8956.91</v>
      </c>
      <c r="R17" t="s">
        <v>65</v>
      </c>
      <c r="S17">
        <v>244529.78</v>
      </c>
      <c r="T17">
        <v>0</v>
      </c>
      <c r="U17" t="s">
        <v>66</v>
      </c>
      <c r="V17" t="s">
        <v>14</v>
      </c>
      <c r="W17" t="s">
        <v>67</v>
      </c>
      <c r="X17" t="s">
        <v>93</v>
      </c>
      <c r="Y17" t="s">
        <v>26</v>
      </c>
      <c r="Z17">
        <v>2.4700000000000002</v>
      </c>
      <c r="AA17">
        <f t="shared" si="0"/>
        <v>8956.91</v>
      </c>
      <c r="AB17">
        <f t="shared" si="1"/>
        <v>3.6629117320597926E-2</v>
      </c>
      <c r="AC17">
        <f t="shared" si="2"/>
        <v>0</v>
      </c>
      <c r="AD17">
        <v>2025</v>
      </c>
      <c r="AE17">
        <v>1</v>
      </c>
      <c r="AF17" t="s">
        <v>102</v>
      </c>
      <c r="AG17" t="s">
        <v>118</v>
      </c>
    </row>
    <row r="18" spans="1:33">
      <c r="A18" t="s">
        <v>122</v>
      </c>
      <c r="B18">
        <v>45478</v>
      </c>
      <c r="C18">
        <v>45487</v>
      </c>
      <c r="D18" t="s">
        <v>21</v>
      </c>
      <c r="E18">
        <v>50</v>
      </c>
      <c r="F18">
        <v>831.37</v>
      </c>
      <c r="G18">
        <v>0.28000000000000003</v>
      </c>
      <c r="H18">
        <v>41452.11</v>
      </c>
      <c r="I18" t="s">
        <v>1727</v>
      </c>
      <c r="J18">
        <v>648.63</v>
      </c>
      <c r="K18">
        <v>32431.5</v>
      </c>
      <c r="L18">
        <v>1170.22</v>
      </c>
      <c r="M18">
        <v>257.64999999999998</v>
      </c>
      <c r="N18">
        <v>9685.5400000000009</v>
      </c>
      <c r="O18">
        <v>43544.91</v>
      </c>
      <c r="P18">
        <v>9020.61</v>
      </c>
      <c r="Q18">
        <v>-2092.8000000000002</v>
      </c>
      <c r="R18" t="s">
        <v>65</v>
      </c>
      <c r="S18">
        <v>41452.11</v>
      </c>
      <c r="T18">
        <v>0</v>
      </c>
      <c r="U18" t="s">
        <v>66</v>
      </c>
      <c r="V18" t="s">
        <v>6</v>
      </c>
      <c r="W18" t="s">
        <v>92</v>
      </c>
      <c r="X18" t="s">
        <v>123</v>
      </c>
      <c r="Y18" t="s">
        <v>22</v>
      </c>
      <c r="Z18">
        <v>1.63</v>
      </c>
      <c r="AA18">
        <f t="shared" si="0"/>
        <v>-2092.8000000000002</v>
      </c>
      <c r="AB18">
        <f t="shared" si="1"/>
        <v>-5.048717664794386E-2</v>
      </c>
      <c r="AC18">
        <f t="shared" si="2"/>
        <v>0</v>
      </c>
      <c r="AD18">
        <v>2024</v>
      </c>
      <c r="AE18">
        <v>7</v>
      </c>
      <c r="AF18" t="s">
        <v>69</v>
      </c>
      <c r="AG18" t="s">
        <v>70</v>
      </c>
    </row>
    <row r="19" spans="1:33">
      <c r="A19" t="s">
        <v>124</v>
      </c>
      <c r="B19">
        <v>45415</v>
      </c>
      <c r="C19">
        <v>45422</v>
      </c>
      <c r="D19" t="s">
        <v>21</v>
      </c>
      <c r="E19">
        <v>500</v>
      </c>
      <c r="F19">
        <v>816.16</v>
      </c>
      <c r="G19">
        <v>2.04</v>
      </c>
      <c r="H19">
        <v>399755.17</v>
      </c>
      <c r="I19" t="s">
        <v>1726</v>
      </c>
      <c r="J19">
        <v>737.65</v>
      </c>
      <c r="K19">
        <v>368825</v>
      </c>
      <c r="L19">
        <v>6247.5</v>
      </c>
      <c r="M19">
        <v>2228.46</v>
      </c>
      <c r="N19">
        <v>4425.55</v>
      </c>
      <c r="O19">
        <v>381726.51</v>
      </c>
      <c r="P19">
        <v>30930.17</v>
      </c>
      <c r="Q19">
        <v>18028.66</v>
      </c>
      <c r="R19" t="s">
        <v>65</v>
      </c>
      <c r="S19">
        <v>399755.17</v>
      </c>
      <c r="T19">
        <v>0</v>
      </c>
      <c r="U19" t="s">
        <v>73</v>
      </c>
      <c r="V19" t="s">
        <v>12</v>
      </c>
      <c r="W19" t="s">
        <v>74</v>
      </c>
      <c r="X19" t="s">
        <v>125</v>
      </c>
      <c r="Y19" t="s">
        <v>24</v>
      </c>
      <c r="Z19">
        <v>0.42</v>
      </c>
      <c r="AA19">
        <f t="shared" si="0"/>
        <v>18028.66</v>
      </c>
      <c r="AB19">
        <f t="shared" si="1"/>
        <v>4.5099254125969157E-2</v>
      </c>
      <c r="AC19">
        <f t="shared" si="2"/>
        <v>0</v>
      </c>
      <c r="AD19">
        <v>2024</v>
      </c>
      <c r="AE19">
        <v>5</v>
      </c>
      <c r="AF19" t="s">
        <v>76</v>
      </c>
      <c r="AG19" t="s">
        <v>77</v>
      </c>
    </row>
    <row r="20" spans="1:33">
      <c r="A20" t="s">
        <v>126</v>
      </c>
      <c r="B20">
        <v>45606</v>
      </c>
      <c r="C20">
        <v>45609</v>
      </c>
      <c r="D20" t="s">
        <v>21</v>
      </c>
      <c r="E20">
        <v>1000</v>
      </c>
      <c r="F20">
        <v>874.45</v>
      </c>
      <c r="G20">
        <v>1.21</v>
      </c>
      <c r="H20">
        <v>863869.16</v>
      </c>
      <c r="I20" t="s">
        <v>1729</v>
      </c>
      <c r="J20">
        <v>714.27</v>
      </c>
      <c r="K20">
        <v>714270</v>
      </c>
      <c r="L20">
        <v>18845.96</v>
      </c>
      <c r="M20">
        <v>2352.9699999999998</v>
      </c>
      <c r="N20">
        <v>8698.9599999999991</v>
      </c>
      <c r="O20">
        <v>744167.89</v>
      </c>
      <c r="P20">
        <v>149599.16</v>
      </c>
      <c r="Q20">
        <v>119701.27</v>
      </c>
      <c r="R20" t="s">
        <v>65</v>
      </c>
      <c r="S20">
        <v>863869.16</v>
      </c>
      <c r="T20">
        <v>0</v>
      </c>
      <c r="U20" t="s">
        <v>73</v>
      </c>
      <c r="V20" t="s">
        <v>14</v>
      </c>
      <c r="W20" t="s">
        <v>74</v>
      </c>
      <c r="X20" t="s">
        <v>127</v>
      </c>
      <c r="Y20" t="s">
        <v>22</v>
      </c>
      <c r="Z20">
        <v>0.63</v>
      </c>
      <c r="AA20">
        <f t="shared" si="0"/>
        <v>119701.27</v>
      </c>
      <c r="AB20">
        <f t="shared" si="1"/>
        <v>0.13856412005725496</v>
      </c>
      <c r="AC20">
        <f t="shared" si="2"/>
        <v>0</v>
      </c>
      <c r="AD20">
        <v>2024</v>
      </c>
      <c r="AE20">
        <v>11</v>
      </c>
      <c r="AF20" t="s">
        <v>128</v>
      </c>
      <c r="AG20" t="s">
        <v>129</v>
      </c>
    </row>
    <row r="21" spans="1:33">
      <c r="A21" t="s">
        <v>130</v>
      </c>
      <c r="B21">
        <v>45920</v>
      </c>
      <c r="C21">
        <v>45923</v>
      </c>
      <c r="D21" t="s">
        <v>25</v>
      </c>
      <c r="E21">
        <v>100</v>
      </c>
      <c r="F21">
        <v>1003.33</v>
      </c>
      <c r="G21">
        <v>1.86</v>
      </c>
      <c r="H21">
        <v>98466.81</v>
      </c>
      <c r="I21" t="s">
        <v>1728</v>
      </c>
      <c r="J21">
        <v>738.3</v>
      </c>
      <c r="K21">
        <v>73830</v>
      </c>
      <c r="L21">
        <v>2124.59</v>
      </c>
      <c r="M21">
        <v>194.49</v>
      </c>
      <c r="N21">
        <v>1337.38</v>
      </c>
      <c r="O21">
        <v>77486.460000000006</v>
      </c>
      <c r="P21">
        <v>24636.81</v>
      </c>
      <c r="Q21">
        <v>20980.35</v>
      </c>
      <c r="R21" t="s">
        <v>65</v>
      </c>
      <c r="S21">
        <v>98466.81</v>
      </c>
      <c r="T21">
        <v>0</v>
      </c>
      <c r="U21" t="s">
        <v>73</v>
      </c>
      <c r="V21" t="s">
        <v>6</v>
      </c>
      <c r="W21" t="s">
        <v>67</v>
      </c>
      <c r="X21" t="s">
        <v>115</v>
      </c>
      <c r="Y21" t="s">
        <v>22</v>
      </c>
      <c r="Z21">
        <v>0.04</v>
      </c>
      <c r="AA21">
        <f t="shared" si="0"/>
        <v>20980.35</v>
      </c>
      <c r="AB21">
        <f t="shared" si="1"/>
        <v>0.21307027210488488</v>
      </c>
      <c r="AC21">
        <f t="shared" si="2"/>
        <v>0</v>
      </c>
      <c r="AD21">
        <v>2025</v>
      </c>
      <c r="AE21">
        <v>9</v>
      </c>
      <c r="AF21" t="s">
        <v>131</v>
      </c>
      <c r="AG21" t="s">
        <v>132</v>
      </c>
    </row>
    <row r="22" spans="1:33">
      <c r="A22" t="s">
        <v>133</v>
      </c>
      <c r="B22">
        <v>45970</v>
      </c>
      <c r="C22">
        <v>45982</v>
      </c>
      <c r="D22" t="s">
        <v>21</v>
      </c>
      <c r="E22">
        <v>1200</v>
      </c>
      <c r="F22">
        <v>874.82</v>
      </c>
      <c r="G22">
        <v>0.11</v>
      </c>
      <c r="H22">
        <v>1048629.24</v>
      </c>
      <c r="I22" t="s">
        <v>1726</v>
      </c>
      <c r="J22">
        <v>735.28</v>
      </c>
      <c r="K22">
        <v>882336</v>
      </c>
      <c r="L22">
        <v>12192.83</v>
      </c>
      <c r="M22">
        <v>6917.1</v>
      </c>
      <c r="N22">
        <v>11134.45</v>
      </c>
      <c r="O22">
        <v>912580.38</v>
      </c>
      <c r="P22">
        <v>166293.24</v>
      </c>
      <c r="Q22">
        <v>136048.85999999999</v>
      </c>
      <c r="R22" t="s">
        <v>134</v>
      </c>
      <c r="S22">
        <v>0</v>
      </c>
      <c r="T22">
        <v>1048629.24</v>
      </c>
      <c r="U22" t="s">
        <v>73</v>
      </c>
      <c r="V22" t="s">
        <v>16</v>
      </c>
      <c r="W22" t="s">
        <v>92</v>
      </c>
      <c r="X22" t="s">
        <v>101</v>
      </c>
      <c r="Y22" t="s">
        <v>22</v>
      </c>
      <c r="Z22">
        <v>2.4300000000000002</v>
      </c>
      <c r="AA22">
        <f t="shared" si="0"/>
        <v>136048.85999999999</v>
      </c>
      <c r="AB22">
        <f t="shared" si="1"/>
        <v>0.12973971620322164</v>
      </c>
      <c r="AC22">
        <f t="shared" si="2"/>
        <v>0</v>
      </c>
      <c r="AD22">
        <v>2025</v>
      </c>
      <c r="AE22">
        <v>11</v>
      </c>
      <c r="AF22" t="s">
        <v>128</v>
      </c>
      <c r="AG22" t="s">
        <v>135</v>
      </c>
    </row>
    <row r="23" spans="1:33">
      <c r="A23" t="s">
        <v>136</v>
      </c>
      <c r="B23">
        <v>45664</v>
      </c>
      <c r="C23">
        <v>45665</v>
      </c>
      <c r="D23" t="s">
        <v>21</v>
      </c>
      <c r="E23">
        <v>300</v>
      </c>
      <c r="F23">
        <v>896.7</v>
      </c>
      <c r="G23">
        <v>1.72</v>
      </c>
      <c r="H23">
        <v>264383.03000000003</v>
      </c>
      <c r="I23" t="s">
        <v>1727</v>
      </c>
      <c r="J23">
        <v>673.4</v>
      </c>
      <c r="K23">
        <v>202020</v>
      </c>
      <c r="L23">
        <v>2285.4499999999998</v>
      </c>
      <c r="M23">
        <v>464.2</v>
      </c>
      <c r="N23">
        <v>5447.46</v>
      </c>
      <c r="O23">
        <v>210217.11</v>
      </c>
      <c r="P23">
        <v>62363.03</v>
      </c>
      <c r="Q23">
        <v>54165.919999999998</v>
      </c>
      <c r="R23" t="s">
        <v>65</v>
      </c>
      <c r="S23">
        <v>264383.03000000003</v>
      </c>
      <c r="T23">
        <v>0</v>
      </c>
      <c r="U23" t="s">
        <v>66</v>
      </c>
      <c r="V23" t="s">
        <v>10</v>
      </c>
      <c r="W23" t="s">
        <v>92</v>
      </c>
      <c r="X23" t="s">
        <v>108</v>
      </c>
      <c r="Y23" t="s">
        <v>22</v>
      </c>
      <c r="Z23">
        <v>1.17</v>
      </c>
      <c r="AA23">
        <f t="shared" si="0"/>
        <v>54165.919999999998</v>
      </c>
      <c r="AB23">
        <f t="shared" si="1"/>
        <v>0.20487668970281486</v>
      </c>
      <c r="AC23">
        <f t="shared" si="2"/>
        <v>0</v>
      </c>
      <c r="AD23">
        <v>2025</v>
      </c>
      <c r="AE23">
        <v>1</v>
      </c>
      <c r="AF23" t="s">
        <v>102</v>
      </c>
      <c r="AG23" t="s">
        <v>118</v>
      </c>
    </row>
    <row r="24" spans="1:33">
      <c r="A24" t="s">
        <v>137</v>
      </c>
      <c r="B24">
        <v>45586</v>
      </c>
      <c r="D24" t="s">
        <v>25</v>
      </c>
      <c r="E24">
        <v>200</v>
      </c>
      <c r="F24">
        <v>956.04</v>
      </c>
      <c r="G24">
        <v>2.16</v>
      </c>
      <c r="H24">
        <v>187077.91</v>
      </c>
      <c r="I24" t="s">
        <v>1726</v>
      </c>
      <c r="J24">
        <v>767.29</v>
      </c>
      <c r="K24">
        <v>153458</v>
      </c>
      <c r="L24">
        <v>2593.91</v>
      </c>
      <c r="M24">
        <v>679.01</v>
      </c>
      <c r="N24">
        <v>9353.25</v>
      </c>
      <c r="O24">
        <v>166084.17000000001</v>
      </c>
      <c r="P24">
        <v>33619.910000000003</v>
      </c>
      <c r="Q24">
        <v>20993.74</v>
      </c>
      <c r="R24" t="s">
        <v>65</v>
      </c>
      <c r="S24">
        <v>187077.91</v>
      </c>
      <c r="T24">
        <v>0</v>
      </c>
      <c r="U24" t="s">
        <v>91</v>
      </c>
      <c r="V24" t="s">
        <v>16</v>
      </c>
      <c r="W24" t="s">
        <v>80</v>
      </c>
      <c r="X24" t="s">
        <v>101</v>
      </c>
      <c r="Y24" t="s">
        <v>22</v>
      </c>
      <c r="Z24">
        <v>2.48</v>
      </c>
      <c r="AA24">
        <f t="shared" si="0"/>
        <v>20993.74</v>
      </c>
      <c r="AB24">
        <f t="shared" si="1"/>
        <v>0.1122192352907941</v>
      </c>
      <c r="AC24">
        <f t="shared" si="2"/>
        <v>0</v>
      </c>
      <c r="AD24">
        <v>2024</v>
      </c>
      <c r="AE24">
        <v>10</v>
      </c>
      <c r="AF24" t="s">
        <v>138</v>
      </c>
      <c r="AG24" t="s">
        <v>139</v>
      </c>
    </row>
    <row r="25" spans="1:33">
      <c r="A25" t="s">
        <v>140</v>
      </c>
      <c r="B25">
        <v>45875</v>
      </c>
      <c r="C25">
        <v>45876</v>
      </c>
      <c r="D25" t="s">
        <v>21</v>
      </c>
      <c r="E25">
        <v>100</v>
      </c>
      <c r="F25">
        <v>866.88</v>
      </c>
      <c r="G25">
        <v>1.73</v>
      </c>
      <c r="H25">
        <v>85188.3</v>
      </c>
      <c r="I25" t="s">
        <v>1728</v>
      </c>
      <c r="J25">
        <v>694.6</v>
      </c>
      <c r="K25">
        <v>69460</v>
      </c>
      <c r="L25">
        <v>1107.83</v>
      </c>
      <c r="M25">
        <v>192.58</v>
      </c>
      <c r="N25">
        <v>9430.34</v>
      </c>
      <c r="O25">
        <v>80190.75</v>
      </c>
      <c r="P25">
        <v>15728.3</v>
      </c>
      <c r="Q25">
        <v>4997.55</v>
      </c>
      <c r="R25" t="s">
        <v>65</v>
      </c>
      <c r="S25">
        <v>85188.3</v>
      </c>
      <c r="T25">
        <v>0</v>
      </c>
      <c r="U25" t="s">
        <v>73</v>
      </c>
      <c r="V25" t="s">
        <v>12</v>
      </c>
      <c r="W25" t="s">
        <v>141</v>
      </c>
      <c r="X25" t="s">
        <v>142</v>
      </c>
      <c r="Y25" t="s">
        <v>28</v>
      </c>
      <c r="Z25">
        <v>0.12</v>
      </c>
      <c r="AA25">
        <f t="shared" si="0"/>
        <v>4997.55</v>
      </c>
      <c r="AB25">
        <f t="shared" si="1"/>
        <v>5.8664746215149263E-2</v>
      </c>
      <c r="AC25">
        <f t="shared" si="2"/>
        <v>0</v>
      </c>
      <c r="AD25">
        <v>2025</v>
      </c>
      <c r="AE25">
        <v>8</v>
      </c>
      <c r="AF25" t="s">
        <v>82</v>
      </c>
      <c r="AG25" t="s">
        <v>87</v>
      </c>
    </row>
    <row r="26" spans="1:33">
      <c r="A26" t="s">
        <v>143</v>
      </c>
      <c r="B26">
        <v>45419</v>
      </c>
      <c r="C26">
        <v>45433</v>
      </c>
      <c r="D26" t="s">
        <v>25</v>
      </c>
      <c r="E26">
        <v>150</v>
      </c>
      <c r="F26">
        <v>985.57</v>
      </c>
      <c r="G26">
        <v>0.7</v>
      </c>
      <c r="H26">
        <v>146800.65</v>
      </c>
      <c r="I26" t="s">
        <v>1726</v>
      </c>
      <c r="J26">
        <v>757.53</v>
      </c>
      <c r="K26">
        <v>113629.5</v>
      </c>
      <c r="L26">
        <v>3511.42</v>
      </c>
      <c r="M26">
        <v>397.76</v>
      </c>
      <c r="N26">
        <v>10539.36</v>
      </c>
      <c r="O26">
        <v>128078.04</v>
      </c>
      <c r="P26">
        <v>33171.15</v>
      </c>
      <c r="Q26">
        <v>18722.61</v>
      </c>
      <c r="R26" t="s">
        <v>65</v>
      </c>
      <c r="S26">
        <v>146800.65</v>
      </c>
      <c r="T26">
        <v>0</v>
      </c>
      <c r="U26" t="s">
        <v>66</v>
      </c>
      <c r="V26" t="s">
        <v>6</v>
      </c>
      <c r="W26" t="s">
        <v>67</v>
      </c>
      <c r="X26" t="s">
        <v>68</v>
      </c>
      <c r="Y26" t="s">
        <v>31</v>
      </c>
      <c r="Z26">
        <v>0.96</v>
      </c>
      <c r="AA26">
        <f t="shared" si="0"/>
        <v>18722.61</v>
      </c>
      <c r="AB26">
        <f t="shared" si="1"/>
        <v>0.12753765054855004</v>
      </c>
      <c r="AC26">
        <f t="shared" si="2"/>
        <v>0</v>
      </c>
      <c r="AD26">
        <v>2024</v>
      </c>
      <c r="AE26">
        <v>5</v>
      </c>
      <c r="AF26" t="s">
        <v>76</v>
      </c>
      <c r="AG26" t="s">
        <v>77</v>
      </c>
    </row>
    <row r="27" spans="1:33">
      <c r="A27" t="s">
        <v>144</v>
      </c>
      <c r="B27">
        <v>45879</v>
      </c>
      <c r="C27">
        <v>45879</v>
      </c>
      <c r="D27" t="s">
        <v>21</v>
      </c>
      <c r="E27">
        <v>250</v>
      </c>
      <c r="F27">
        <v>893.98</v>
      </c>
      <c r="G27">
        <v>0.96</v>
      </c>
      <c r="H27">
        <v>221349.45</v>
      </c>
      <c r="I27" t="s">
        <v>1726</v>
      </c>
      <c r="J27">
        <v>726.94</v>
      </c>
      <c r="K27">
        <v>181735</v>
      </c>
      <c r="L27">
        <v>2069.7600000000002</v>
      </c>
      <c r="M27">
        <v>816.06</v>
      </c>
      <c r="N27">
        <v>10711.01</v>
      </c>
      <c r="O27">
        <v>195331.83</v>
      </c>
      <c r="P27">
        <v>39614.449999999997</v>
      </c>
      <c r="Q27">
        <v>26017.62</v>
      </c>
      <c r="R27" t="s">
        <v>65</v>
      </c>
      <c r="S27">
        <v>221349.45</v>
      </c>
      <c r="T27">
        <v>0</v>
      </c>
      <c r="U27" t="s">
        <v>66</v>
      </c>
      <c r="V27" t="s">
        <v>6</v>
      </c>
      <c r="W27" t="s">
        <v>67</v>
      </c>
      <c r="X27" t="s">
        <v>145</v>
      </c>
      <c r="Y27" t="s">
        <v>30</v>
      </c>
      <c r="Z27">
        <v>1.55</v>
      </c>
      <c r="AA27">
        <f t="shared" si="0"/>
        <v>26017.62</v>
      </c>
      <c r="AB27">
        <f t="shared" si="1"/>
        <v>0.11754092906036133</v>
      </c>
      <c r="AC27">
        <f t="shared" si="2"/>
        <v>0</v>
      </c>
      <c r="AD27">
        <v>2025</v>
      </c>
      <c r="AE27">
        <v>8</v>
      </c>
      <c r="AF27" t="s">
        <v>82</v>
      </c>
      <c r="AG27" t="s">
        <v>87</v>
      </c>
    </row>
    <row r="28" spans="1:33">
      <c r="A28" t="s">
        <v>146</v>
      </c>
      <c r="B28">
        <v>45463</v>
      </c>
      <c r="D28" t="s">
        <v>21</v>
      </c>
      <c r="E28">
        <v>300</v>
      </c>
      <c r="F28">
        <v>832.89</v>
      </c>
      <c r="G28">
        <v>0.66</v>
      </c>
      <c r="H28">
        <v>248217.88</v>
      </c>
      <c r="I28" t="s">
        <v>1729</v>
      </c>
      <c r="J28">
        <v>659.94</v>
      </c>
      <c r="K28">
        <v>197982</v>
      </c>
      <c r="L28">
        <v>4803.96</v>
      </c>
      <c r="M28">
        <v>1256.77</v>
      </c>
      <c r="N28">
        <v>2373.7600000000002</v>
      </c>
      <c r="O28">
        <v>206416.49</v>
      </c>
      <c r="P28">
        <v>50235.88</v>
      </c>
      <c r="Q28">
        <v>41801.39</v>
      </c>
      <c r="R28" t="s">
        <v>134</v>
      </c>
      <c r="S28">
        <v>0</v>
      </c>
      <c r="T28">
        <v>248217.88</v>
      </c>
      <c r="U28" t="s">
        <v>91</v>
      </c>
      <c r="V28" t="s">
        <v>16</v>
      </c>
      <c r="W28" t="s">
        <v>92</v>
      </c>
      <c r="X28" t="s">
        <v>147</v>
      </c>
      <c r="Y28" t="s">
        <v>28</v>
      </c>
      <c r="Z28">
        <v>1.33</v>
      </c>
      <c r="AA28">
        <f t="shared" si="0"/>
        <v>41801.39</v>
      </c>
      <c r="AB28">
        <f t="shared" si="1"/>
        <v>0.16840603908147148</v>
      </c>
      <c r="AC28">
        <f t="shared" si="2"/>
        <v>0</v>
      </c>
      <c r="AD28">
        <v>2024</v>
      </c>
      <c r="AE28">
        <v>6</v>
      </c>
      <c r="AF28" t="s">
        <v>111</v>
      </c>
      <c r="AG28" t="s">
        <v>148</v>
      </c>
    </row>
    <row r="29" spans="1:33">
      <c r="A29" t="s">
        <v>149</v>
      </c>
      <c r="B29">
        <v>45852</v>
      </c>
      <c r="C29">
        <v>45859</v>
      </c>
      <c r="D29" t="s">
        <v>21</v>
      </c>
      <c r="E29">
        <v>50</v>
      </c>
      <c r="F29">
        <v>906.03</v>
      </c>
      <c r="G29">
        <v>2.2000000000000002</v>
      </c>
      <c r="H29">
        <v>44304.87</v>
      </c>
      <c r="I29" t="s">
        <v>1729</v>
      </c>
      <c r="J29">
        <v>671.95</v>
      </c>
      <c r="K29">
        <v>33597.5</v>
      </c>
      <c r="L29">
        <v>264.61</v>
      </c>
      <c r="M29">
        <v>95.03</v>
      </c>
      <c r="N29">
        <v>9747.92</v>
      </c>
      <c r="O29">
        <v>43705.06</v>
      </c>
      <c r="P29">
        <v>10707.37</v>
      </c>
      <c r="Q29">
        <v>599.80999999999995</v>
      </c>
      <c r="R29" t="s">
        <v>85</v>
      </c>
      <c r="S29">
        <v>24041.37</v>
      </c>
      <c r="T29">
        <v>20263.5</v>
      </c>
      <c r="U29" t="s">
        <v>66</v>
      </c>
      <c r="V29" t="s">
        <v>6</v>
      </c>
      <c r="W29" t="s">
        <v>141</v>
      </c>
      <c r="X29" t="s">
        <v>150</v>
      </c>
      <c r="Y29" t="s">
        <v>30</v>
      </c>
      <c r="Z29">
        <v>1.52</v>
      </c>
      <c r="AA29">
        <f t="shared" si="0"/>
        <v>599.80999999999995</v>
      </c>
      <c r="AB29">
        <f t="shared" si="1"/>
        <v>1.353824082995842E-2</v>
      </c>
      <c r="AC29">
        <f t="shared" si="2"/>
        <v>0</v>
      </c>
      <c r="AD29">
        <v>2025</v>
      </c>
      <c r="AE29">
        <v>7</v>
      </c>
      <c r="AF29" t="s">
        <v>69</v>
      </c>
      <c r="AG29" t="s">
        <v>151</v>
      </c>
    </row>
    <row r="30" spans="1:33">
      <c r="A30" t="s">
        <v>152</v>
      </c>
      <c r="B30">
        <v>45862</v>
      </c>
      <c r="C30">
        <v>45868</v>
      </c>
      <c r="D30" t="s">
        <v>21</v>
      </c>
      <c r="E30">
        <v>300</v>
      </c>
      <c r="F30">
        <v>870.02</v>
      </c>
      <c r="G30">
        <v>2.08</v>
      </c>
      <c r="H30">
        <v>255577.08</v>
      </c>
      <c r="I30" t="s">
        <v>1729</v>
      </c>
      <c r="J30">
        <v>656.96</v>
      </c>
      <c r="K30">
        <v>197088</v>
      </c>
      <c r="L30">
        <v>6174.06</v>
      </c>
      <c r="M30">
        <v>1041.3599999999999</v>
      </c>
      <c r="N30">
        <v>2514.4299999999998</v>
      </c>
      <c r="O30">
        <v>206817.85</v>
      </c>
      <c r="P30">
        <v>58489.08</v>
      </c>
      <c r="Q30">
        <v>48759.23</v>
      </c>
      <c r="R30" t="s">
        <v>65</v>
      </c>
      <c r="S30">
        <v>255577.08</v>
      </c>
      <c r="T30">
        <v>0</v>
      </c>
      <c r="U30" t="s">
        <v>66</v>
      </c>
      <c r="V30" t="s">
        <v>14</v>
      </c>
      <c r="W30" t="s">
        <v>74</v>
      </c>
      <c r="X30" t="s">
        <v>93</v>
      </c>
      <c r="Y30" t="s">
        <v>26</v>
      </c>
      <c r="Z30">
        <v>1.69</v>
      </c>
      <c r="AA30">
        <f t="shared" si="0"/>
        <v>48759.23</v>
      </c>
      <c r="AB30">
        <f t="shared" si="1"/>
        <v>0.1907809182263136</v>
      </c>
      <c r="AC30">
        <f t="shared" si="2"/>
        <v>0</v>
      </c>
      <c r="AD30">
        <v>2025</v>
      </c>
      <c r="AE30">
        <v>7</v>
      </c>
      <c r="AF30" t="s">
        <v>69</v>
      </c>
      <c r="AG30" t="s">
        <v>151</v>
      </c>
    </row>
    <row r="31" spans="1:33">
      <c r="A31" t="s">
        <v>153</v>
      </c>
      <c r="B31">
        <v>45753</v>
      </c>
      <c r="D31" t="s">
        <v>21</v>
      </c>
      <c r="E31">
        <v>200</v>
      </c>
      <c r="F31">
        <v>856.96</v>
      </c>
      <c r="G31">
        <v>1.82</v>
      </c>
      <c r="H31">
        <v>168272.67</v>
      </c>
      <c r="I31" t="s">
        <v>1727</v>
      </c>
      <c r="J31">
        <v>732.87</v>
      </c>
      <c r="K31">
        <v>146574</v>
      </c>
      <c r="L31">
        <v>3592.05</v>
      </c>
      <c r="M31">
        <v>1007.4</v>
      </c>
      <c r="N31">
        <v>11173.81</v>
      </c>
      <c r="O31">
        <v>162347.26</v>
      </c>
      <c r="P31">
        <v>21698.67</v>
      </c>
      <c r="Q31">
        <v>5925.41</v>
      </c>
      <c r="R31" t="s">
        <v>65</v>
      </c>
      <c r="S31">
        <v>168272.67</v>
      </c>
      <c r="T31">
        <v>0</v>
      </c>
      <c r="U31" t="s">
        <v>91</v>
      </c>
      <c r="V31" t="s">
        <v>8</v>
      </c>
      <c r="W31" t="s">
        <v>92</v>
      </c>
      <c r="X31" t="s">
        <v>110</v>
      </c>
      <c r="Y31" t="s">
        <v>28</v>
      </c>
      <c r="Z31">
        <v>0.35</v>
      </c>
      <c r="AA31">
        <f t="shared" si="0"/>
        <v>5925.41</v>
      </c>
      <c r="AB31">
        <f t="shared" si="1"/>
        <v>3.5213145426408216E-2</v>
      </c>
      <c r="AC31">
        <f t="shared" si="2"/>
        <v>0</v>
      </c>
      <c r="AD31">
        <v>2025</v>
      </c>
      <c r="AE31">
        <v>4</v>
      </c>
      <c r="AF31" t="s">
        <v>154</v>
      </c>
      <c r="AG31" t="s">
        <v>155</v>
      </c>
    </row>
    <row r="32" spans="1:33">
      <c r="A32" t="s">
        <v>156</v>
      </c>
      <c r="B32">
        <v>45408</v>
      </c>
      <c r="C32">
        <v>45421</v>
      </c>
      <c r="D32" t="s">
        <v>21</v>
      </c>
      <c r="E32">
        <v>200</v>
      </c>
      <c r="F32">
        <v>890.13</v>
      </c>
      <c r="G32">
        <v>1.24</v>
      </c>
      <c r="H32">
        <v>175818.48</v>
      </c>
      <c r="I32" t="s">
        <v>1728</v>
      </c>
      <c r="J32">
        <v>707.76</v>
      </c>
      <c r="K32">
        <v>141552</v>
      </c>
      <c r="L32">
        <v>4610.08</v>
      </c>
      <c r="M32">
        <v>602.91999999999996</v>
      </c>
      <c r="N32">
        <v>2749.04</v>
      </c>
      <c r="O32">
        <v>149514.04</v>
      </c>
      <c r="P32">
        <v>34266.480000000003</v>
      </c>
      <c r="Q32">
        <v>26304.44</v>
      </c>
      <c r="R32" t="s">
        <v>65</v>
      </c>
      <c r="S32">
        <v>175818.48</v>
      </c>
      <c r="T32">
        <v>0</v>
      </c>
      <c r="U32" t="s">
        <v>73</v>
      </c>
      <c r="V32" t="s">
        <v>8</v>
      </c>
      <c r="W32" t="s">
        <v>74</v>
      </c>
      <c r="X32" t="s">
        <v>150</v>
      </c>
      <c r="Y32" t="s">
        <v>30</v>
      </c>
      <c r="Z32">
        <v>1.91</v>
      </c>
      <c r="AA32">
        <f t="shared" si="0"/>
        <v>26304.44</v>
      </c>
      <c r="AB32">
        <f t="shared" si="1"/>
        <v>0.14961134915965602</v>
      </c>
      <c r="AC32">
        <f t="shared" si="2"/>
        <v>0</v>
      </c>
      <c r="AD32">
        <v>2024</v>
      </c>
      <c r="AE32">
        <v>4</v>
      </c>
      <c r="AF32" t="s">
        <v>154</v>
      </c>
      <c r="AG32" t="s">
        <v>157</v>
      </c>
    </row>
    <row r="33" spans="1:33">
      <c r="A33" t="s">
        <v>158</v>
      </c>
      <c r="B33">
        <v>45933</v>
      </c>
      <c r="C33">
        <v>45946</v>
      </c>
      <c r="D33" t="s">
        <v>27</v>
      </c>
      <c r="E33">
        <v>100</v>
      </c>
      <c r="F33">
        <v>787.71</v>
      </c>
      <c r="G33">
        <v>0.23</v>
      </c>
      <c r="H33">
        <v>78589.83</v>
      </c>
      <c r="I33" t="s">
        <v>1726</v>
      </c>
      <c r="J33">
        <v>545.51</v>
      </c>
      <c r="K33">
        <v>54551</v>
      </c>
      <c r="L33">
        <v>1211.32</v>
      </c>
      <c r="M33">
        <v>243.64</v>
      </c>
      <c r="N33">
        <v>5721.87</v>
      </c>
      <c r="O33">
        <v>61727.83</v>
      </c>
      <c r="P33">
        <v>24038.83</v>
      </c>
      <c r="Q33">
        <v>16862</v>
      </c>
      <c r="R33" t="s">
        <v>65</v>
      </c>
      <c r="S33">
        <v>78589.83</v>
      </c>
      <c r="T33">
        <v>0</v>
      </c>
      <c r="U33" t="s">
        <v>73</v>
      </c>
      <c r="V33" t="s">
        <v>6</v>
      </c>
      <c r="W33" t="s">
        <v>74</v>
      </c>
      <c r="X33" t="s">
        <v>159</v>
      </c>
      <c r="Y33" t="s">
        <v>30</v>
      </c>
      <c r="Z33">
        <v>2.12</v>
      </c>
      <c r="AA33">
        <f t="shared" si="0"/>
        <v>16862</v>
      </c>
      <c r="AB33">
        <f t="shared" si="1"/>
        <v>0.21455702347237549</v>
      </c>
      <c r="AC33">
        <f t="shared" si="2"/>
        <v>0</v>
      </c>
      <c r="AD33">
        <v>2025</v>
      </c>
      <c r="AE33">
        <v>10</v>
      </c>
      <c r="AF33" t="s">
        <v>138</v>
      </c>
      <c r="AG33" t="s">
        <v>160</v>
      </c>
    </row>
    <row r="34" spans="1:33">
      <c r="A34" t="s">
        <v>161</v>
      </c>
      <c r="B34">
        <v>45670</v>
      </c>
      <c r="D34" t="s">
        <v>25</v>
      </c>
      <c r="E34">
        <v>500</v>
      </c>
      <c r="F34">
        <v>968.28</v>
      </c>
      <c r="G34">
        <v>0.4</v>
      </c>
      <c r="H34">
        <v>0</v>
      </c>
      <c r="I34" t="s">
        <v>1728</v>
      </c>
      <c r="J34">
        <v>803.36</v>
      </c>
      <c r="K34">
        <v>0</v>
      </c>
      <c r="L34">
        <v>0</v>
      </c>
      <c r="M34">
        <v>0</v>
      </c>
      <c r="N34">
        <v>0</v>
      </c>
      <c r="O34">
        <v>0</v>
      </c>
      <c r="P34">
        <v>0</v>
      </c>
      <c r="Q34">
        <v>0</v>
      </c>
      <c r="R34" t="s">
        <v>85</v>
      </c>
      <c r="S34">
        <v>0</v>
      </c>
      <c r="T34">
        <v>0</v>
      </c>
      <c r="U34" t="s">
        <v>117</v>
      </c>
      <c r="V34" t="s">
        <v>6</v>
      </c>
      <c r="W34" t="s">
        <v>74</v>
      </c>
      <c r="X34" t="s">
        <v>162</v>
      </c>
      <c r="Y34" t="s">
        <v>26</v>
      </c>
      <c r="Z34">
        <v>1.44</v>
      </c>
      <c r="AA34">
        <f t="shared" si="0"/>
        <v>0</v>
      </c>
      <c r="AB34" t="e">
        <f t="shared" si="1"/>
        <v>#DIV/0!</v>
      </c>
      <c r="AC34">
        <f t="shared" si="2"/>
        <v>0</v>
      </c>
      <c r="AD34">
        <v>2025</v>
      </c>
      <c r="AE34">
        <v>1</v>
      </c>
      <c r="AF34" t="s">
        <v>102</v>
      </c>
      <c r="AG34" t="s">
        <v>118</v>
      </c>
    </row>
    <row r="35" spans="1:33">
      <c r="A35" t="s">
        <v>163</v>
      </c>
      <c r="B35">
        <v>45629</v>
      </c>
      <c r="C35">
        <v>45636</v>
      </c>
      <c r="D35" t="s">
        <v>23</v>
      </c>
      <c r="E35">
        <v>250</v>
      </c>
      <c r="F35">
        <v>1429.02</v>
      </c>
      <c r="G35">
        <v>2.35</v>
      </c>
      <c r="H35">
        <v>348859.51</v>
      </c>
      <c r="I35" t="s">
        <v>1728</v>
      </c>
      <c r="J35">
        <v>1055.83</v>
      </c>
      <c r="K35">
        <v>263957.5</v>
      </c>
      <c r="L35">
        <v>5068.41</v>
      </c>
      <c r="M35">
        <v>627.41</v>
      </c>
      <c r="N35">
        <v>11735.64</v>
      </c>
      <c r="O35">
        <v>281388.96000000002</v>
      </c>
      <c r="P35">
        <v>84902.01</v>
      </c>
      <c r="Q35">
        <v>67470.55</v>
      </c>
      <c r="R35" t="s">
        <v>65</v>
      </c>
      <c r="S35">
        <v>348859.51</v>
      </c>
      <c r="T35">
        <v>0</v>
      </c>
      <c r="U35" t="s">
        <v>66</v>
      </c>
      <c r="V35" t="s">
        <v>16</v>
      </c>
      <c r="W35" t="s">
        <v>74</v>
      </c>
      <c r="X35" t="s">
        <v>164</v>
      </c>
      <c r="Y35" t="s">
        <v>24</v>
      </c>
      <c r="Z35">
        <v>2.41</v>
      </c>
      <c r="AA35">
        <f t="shared" si="0"/>
        <v>67470.55</v>
      </c>
      <c r="AB35">
        <f t="shared" si="1"/>
        <v>0.19340321265715243</v>
      </c>
      <c r="AC35">
        <f t="shared" si="2"/>
        <v>0</v>
      </c>
      <c r="AD35">
        <v>2024</v>
      </c>
      <c r="AE35">
        <v>12</v>
      </c>
      <c r="AF35" t="s">
        <v>98</v>
      </c>
      <c r="AG35" t="s">
        <v>99</v>
      </c>
    </row>
    <row r="36" spans="1:33">
      <c r="A36" t="s">
        <v>165</v>
      </c>
      <c r="B36">
        <v>45728</v>
      </c>
      <c r="C36">
        <v>45730</v>
      </c>
      <c r="D36" t="s">
        <v>23</v>
      </c>
      <c r="E36">
        <v>250</v>
      </c>
      <c r="F36">
        <v>1388.55</v>
      </c>
      <c r="G36">
        <v>0.05</v>
      </c>
      <c r="H36">
        <v>346963.93</v>
      </c>
      <c r="I36" t="s">
        <v>1727</v>
      </c>
      <c r="J36">
        <v>974.98</v>
      </c>
      <c r="K36">
        <v>243745</v>
      </c>
      <c r="L36">
        <v>4852</v>
      </c>
      <c r="M36">
        <v>1361.22</v>
      </c>
      <c r="N36">
        <v>204.04</v>
      </c>
      <c r="O36">
        <v>250162.26</v>
      </c>
      <c r="P36">
        <v>103218.93</v>
      </c>
      <c r="Q36">
        <v>96801.67</v>
      </c>
      <c r="R36" t="s">
        <v>85</v>
      </c>
      <c r="S36">
        <v>91678.99</v>
      </c>
      <c r="T36">
        <v>255284.94</v>
      </c>
      <c r="U36" t="s">
        <v>73</v>
      </c>
      <c r="V36" t="s">
        <v>10</v>
      </c>
      <c r="W36" t="s">
        <v>74</v>
      </c>
      <c r="X36" t="s">
        <v>125</v>
      </c>
      <c r="Y36" t="s">
        <v>24</v>
      </c>
      <c r="Z36">
        <v>0.7</v>
      </c>
      <c r="AA36">
        <f t="shared" si="0"/>
        <v>96801.67</v>
      </c>
      <c r="AB36">
        <f t="shared" si="1"/>
        <v>0.27899634985112143</v>
      </c>
      <c r="AC36">
        <f t="shared" si="2"/>
        <v>0</v>
      </c>
      <c r="AD36">
        <v>2025</v>
      </c>
      <c r="AE36">
        <v>3</v>
      </c>
      <c r="AF36" t="s">
        <v>105</v>
      </c>
      <c r="AG36" t="s">
        <v>106</v>
      </c>
    </row>
    <row r="37" spans="1:33">
      <c r="A37" t="s">
        <v>166</v>
      </c>
      <c r="B37">
        <v>46004</v>
      </c>
      <c r="C37">
        <v>46004</v>
      </c>
      <c r="D37" t="s">
        <v>29</v>
      </c>
      <c r="E37">
        <v>50</v>
      </c>
      <c r="F37">
        <v>2861.17</v>
      </c>
      <c r="G37">
        <v>0.04</v>
      </c>
      <c r="H37">
        <v>143001.28</v>
      </c>
      <c r="I37" t="s">
        <v>1728</v>
      </c>
      <c r="J37">
        <v>2444.84</v>
      </c>
      <c r="K37">
        <v>122242</v>
      </c>
      <c r="L37">
        <v>636.35</v>
      </c>
      <c r="M37">
        <v>266.23</v>
      </c>
      <c r="N37">
        <v>1489.86</v>
      </c>
      <c r="O37">
        <v>124634.44</v>
      </c>
      <c r="P37">
        <v>20759.28</v>
      </c>
      <c r="Q37">
        <v>18366.84</v>
      </c>
      <c r="R37" t="s">
        <v>85</v>
      </c>
      <c r="S37">
        <v>99918.23</v>
      </c>
      <c r="T37">
        <v>43083.05</v>
      </c>
      <c r="U37" t="s">
        <v>66</v>
      </c>
      <c r="V37" t="s">
        <v>12</v>
      </c>
      <c r="W37" t="s">
        <v>67</v>
      </c>
      <c r="X37" t="s">
        <v>167</v>
      </c>
      <c r="Y37" t="s">
        <v>31</v>
      </c>
      <c r="Z37">
        <v>1.0900000000000001</v>
      </c>
      <c r="AA37">
        <f t="shared" si="0"/>
        <v>18366.84</v>
      </c>
      <c r="AB37">
        <f t="shared" si="1"/>
        <v>0.1284382909020115</v>
      </c>
      <c r="AC37">
        <f t="shared" si="2"/>
        <v>0</v>
      </c>
      <c r="AD37">
        <v>2025</v>
      </c>
      <c r="AE37">
        <v>12</v>
      </c>
      <c r="AF37" t="s">
        <v>98</v>
      </c>
      <c r="AG37" t="s">
        <v>168</v>
      </c>
    </row>
    <row r="38" spans="1:33">
      <c r="A38" t="s">
        <v>169</v>
      </c>
      <c r="B38">
        <v>45642</v>
      </c>
      <c r="C38">
        <v>45656</v>
      </c>
      <c r="D38" t="s">
        <v>25</v>
      </c>
      <c r="E38">
        <v>200</v>
      </c>
      <c r="F38">
        <v>988.4</v>
      </c>
      <c r="G38">
        <v>2.33</v>
      </c>
      <c r="H38">
        <v>193074.06</v>
      </c>
      <c r="I38" t="s">
        <v>1726</v>
      </c>
      <c r="J38">
        <v>728.18</v>
      </c>
      <c r="K38">
        <v>145636</v>
      </c>
      <c r="L38">
        <v>4584.32</v>
      </c>
      <c r="M38">
        <v>1057.5999999999999</v>
      </c>
      <c r="N38">
        <v>9535.89</v>
      </c>
      <c r="O38">
        <v>160813.81</v>
      </c>
      <c r="P38">
        <v>47438.06</v>
      </c>
      <c r="Q38">
        <v>32260.25</v>
      </c>
      <c r="R38" t="s">
        <v>65</v>
      </c>
      <c r="S38">
        <v>193074.06</v>
      </c>
      <c r="T38">
        <v>0</v>
      </c>
      <c r="U38" t="s">
        <v>66</v>
      </c>
      <c r="V38" t="s">
        <v>6</v>
      </c>
      <c r="W38" t="s">
        <v>80</v>
      </c>
      <c r="X38" t="s">
        <v>108</v>
      </c>
      <c r="Y38" t="s">
        <v>22</v>
      </c>
      <c r="Z38">
        <v>0.9</v>
      </c>
      <c r="AA38">
        <f t="shared" si="0"/>
        <v>32260.25</v>
      </c>
      <c r="AB38">
        <f t="shared" si="1"/>
        <v>0.1670874378463891</v>
      </c>
      <c r="AC38">
        <f t="shared" si="2"/>
        <v>0</v>
      </c>
      <c r="AD38">
        <v>2024</v>
      </c>
      <c r="AE38">
        <v>12</v>
      </c>
      <c r="AF38" t="s">
        <v>98</v>
      </c>
      <c r="AG38" t="s">
        <v>99</v>
      </c>
    </row>
    <row r="39" spans="1:33">
      <c r="A39" t="s">
        <v>170</v>
      </c>
      <c r="B39">
        <v>45641</v>
      </c>
      <c r="C39">
        <v>45641</v>
      </c>
      <c r="D39" t="s">
        <v>21</v>
      </c>
      <c r="E39">
        <v>200</v>
      </c>
      <c r="F39">
        <v>874.51</v>
      </c>
      <c r="G39">
        <v>0.8</v>
      </c>
      <c r="H39">
        <v>173502.78</v>
      </c>
      <c r="I39" t="s">
        <v>1727</v>
      </c>
      <c r="J39">
        <v>696.36</v>
      </c>
      <c r="K39">
        <v>139272</v>
      </c>
      <c r="L39">
        <v>1103.83</v>
      </c>
      <c r="M39">
        <v>442.81</v>
      </c>
      <c r="N39">
        <v>4254.5200000000004</v>
      </c>
      <c r="O39">
        <v>145073.16</v>
      </c>
      <c r="P39">
        <v>34230.78</v>
      </c>
      <c r="Q39">
        <v>28429.62</v>
      </c>
      <c r="R39" t="s">
        <v>85</v>
      </c>
      <c r="S39">
        <v>101562.34</v>
      </c>
      <c r="T39">
        <v>71940.44</v>
      </c>
      <c r="U39" t="s">
        <v>66</v>
      </c>
      <c r="V39" t="s">
        <v>14</v>
      </c>
      <c r="W39" t="s">
        <v>74</v>
      </c>
      <c r="X39" t="s">
        <v>115</v>
      </c>
      <c r="Y39" t="s">
        <v>22</v>
      </c>
      <c r="Z39">
        <v>1.27</v>
      </c>
      <c r="AA39">
        <f t="shared" si="0"/>
        <v>28429.62</v>
      </c>
      <c r="AB39">
        <f t="shared" si="1"/>
        <v>0.16385685578063935</v>
      </c>
      <c r="AC39">
        <f t="shared" si="2"/>
        <v>0</v>
      </c>
      <c r="AD39">
        <v>2024</v>
      </c>
      <c r="AE39">
        <v>12</v>
      </c>
      <c r="AF39" t="s">
        <v>98</v>
      </c>
      <c r="AG39" t="s">
        <v>99</v>
      </c>
    </row>
    <row r="40" spans="1:33">
      <c r="A40" t="s">
        <v>171</v>
      </c>
      <c r="B40">
        <v>45328</v>
      </c>
      <c r="D40" t="s">
        <v>25</v>
      </c>
      <c r="E40">
        <v>1000</v>
      </c>
      <c r="F40">
        <v>1004.83</v>
      </c>
      <c r="G40">
        <v>5</v>
      </c>
      <c r="H40">
        <v>954588.5</v>
      </c>
      <c r="I40" t="s">
        <v>1728</v>
      </c>
      <c r="J40">
        <v>815.17</v>
      </c>
      <c r="K40">
        <v>815170</v>
      </c>
      <c r="L40">
        <v>15523.85</v>
      </c>
      <c r="M40">
        <v>5576.13</v>
      </c>
      <c r="N40">
        <v>3040.11</v>
      </c>
      <c r="O40">
        <v>839310.09</v>
      </c>
      <c r="P40">
        <v>139418.5</v>
      </c>
      <c r="Q40">
        <v>115278.41</v>
      </c>
      <c r="R40" t="s">
        <v>85</v>
      </c>
      <c r="S40">
        <v>760073.6</v>
      </c>
      <c r="T40">
        <v>194514.9</v>
      </c>
      <c r="U40" t="s">
        <v>91</v>
      </c>
      <c r="V40" t="s">
        <v>10</v>
      </c>
      <c r="W40" t="s">
        <v>74</v>
      </c>
      <c r="X40" t="s">
        <v>89</v>
      </c>
      <c r="Y40" t="s">
        <v>28</v>
      </c>
      <c r="Z40">
        <v>0.28000000000000003</v>
      </c>
      <c r="AA40">
        <f t="shared" si="0"/>
        <v>115278.41</v>
      </c>
      <c r="AB40">
        <f t="shared" si="1"/>
        <v>0.12076241228550313</v>
      </c>
      <c r="AC40">
        <f t="shared" si="2"/>
        <v>0</v>
      </c>
      <c r="AD40">
        <v>2024</v>
      </c>
      <c r="AE40">
        <v>2</v>
      </c>
      <c r="AF40" t="s">
        <v>172</v>
      </c>
      <c r="AG40" t="s">
        <v>173</v>
      </c>
    </row>
    <row r="41" spans="1:33">
      <c r="A41" t="s">
        <v>174</v>
      </c>
      <c r="B41">
        <v>45725</v>
      </c>
      <c r="C41">
        <v>45737</v>
      </c>
      <c r="D41" t="s">
        <v>23</v>
      </c>
      <c r="E41">
        <v>100</v>
      </c>
      <c r="F41">
        <v>1388.46</v>
      </c>
      <c r="G41">
        <v>1.2</v>
      </c>
      <c r="H41">
        <v>137179.85</v>
      </c>
      <c r="I41" t="s">
        <v>1727</v>
      </c>
      <c r="J41">
        <v>998.79</v>
      </c>
      <c r="K41">
        <v>99879</v>
      </c>
      <c r="L41">
        <v>1493.95</v>
      </c>
      <c r="M41">
        <v>150.38999999999999</v>
      </c>
      <c r="N41">
        <v>1836.05</v>
      </c>
      <c r="O41">
        <v>103359.39</v>
      </c>
      <c r="P41">
        <v>37300.85</v>
      </c>
      <c r="Q41">
        <v>33820.46</v>
      </c>
      <c r="R41" t="s">
        <v>65</v>
      </c>
      <c r="S41">
        <v>137179.85</v>
      </c>
      <c r="T41">
        <v>0</v>
      </c>
      <c r="U41" t="s">
        <v>66</v>
      </c>
      <c r="V41" t="s">
        <v>10</v>
      </c>
      <c r="W41" t="s">
        <v>92</v>
      </c>
      <c r="X41" t="s">
        <v>123</v>
      </c>
      <c r="Y41" t="s">
        <v>22</v>
      </c>
      <c r="Z41">
        <v>2.2200000000000002</v>
      </c>
      <c r="AA41">
        <f t="shared" si="0"/>
        <v>33820.46</v>
      </c>
      <c r="AB41">
        <f t="shared" si="1"/>
        <v>0.24654101896160405</v>
      </c>
      <c r="AC41">
        <f t="shared" si="2"/>
        <v>0</v>
      </c>
      <c r="AD41">
        <v>2025</v>
      </c>
      <c r="AE41">
        <v>3</v>
      </c>
      <c r="AF41" t="s">
        <v>105</v>
      </c>
      <c r="AG41" t="s">
        <v>106</v>
      </c>
    </row>
    <row r="42" spans="1:33">
      <c r="A42" t="s">
        <v>175</v>
      </c>
      <c r="B42">
        <v>45906</v>
      </c>
      <c r="C42">
        <v>45907</v>
      </c>
      <c r="D42" t="s">
        <v>21</v>
      </c>
      <c r="E42">
        <v>300</v>
      </c>
      <c r="F42">
        <v>854.63</v>
      </c>
      <c r="G42">
        <v>2.34</v>
      </c>
      <c r="H42">
        <v>250389.5</v>
      </c>
      <c r="I42" t="s">
        <v>1728</v>
      </c>
      <c r="J42">
        <v>684.8</v>
      </c>
      <c r="K42">
        <v>205440</v>
      </c>
      <c r="L42">
        <v>5489.88</v>
      </c>
      <c r="M42">
        <v>503.12</v>
      </c>
      <c r="N42">
        <v>11798.92</v>
      </c>
      <c r="O42">
        <v>223231.92</v>
      </c>
      <c r="P42">
        <v>44949.5</v>
      </c>
      <c r="Q42">
        <v>27157.58</v>
      </c>
      <c r="R42" t="s">
        <v>65</v>
      </c>
      <c r="S42">
        <v>250389.5</v>
      </c>
      <c r="T42">
        <v>0</v>
      </c>
      <c r="U42" t="s">
        <v>66</v>
      </c>
      <c r="V42" t="s">
        <v>10</v>
      </c>
      <c r="W42" t="s">
        <v>92</v>
      </c>
      <c r="X42" t="s">
        <v>176</v>
      </c>
      <c r="Y42" t="s">
        <v>22</v>
      </c>
      <c r="Z42">
        <v>1.28</v>
      </c>
      <c r="AA42">
        <f t="shared" si="0"/>
        <v>27157.58</v>
      </c>
      <c r="AB42">
        <f t="shared" si="1"/>
        <v>0.10846133723658541</v>
      </c>
      <c r="AC42">
        <f t="shared" si="2"/>
        <v>0</v>
      </c>
      <c r="AD42">
        <v>2025</v>
      </c>
      <c r="AE42">
        <v>9</v>
      </c>
      <c r="AF42" t="s">
        <v>131</v>
      </c>
      <c r="AG42" t="s">
        <v>132</v>
      </c>
    </row>
    <row r="43" spans="1:33">
      <c r="A43" t="s">
        <v>177</v>
      </c>
      <c r="B43">
        <v>45780</v>
      </c>
      <c r="D43" t="s">
        <v>25</v>
      </c>
      <c r="E43">
        <v>200</v>
      </c>
      <c r="F43">
        <v>1005.5</v>
      </c>
      <c r="G43">
        <v>0.09</v>
      </c>
      <c r="H43">
        <v>200919.01</v>
      </c>
      <c r="I43" t="s">
        <v>1729</v>
      </c>
      <c r="J43">
        <v>795.89</v>
      </c>
      <c r="K43">
        <v>159178</v>
      </c>
      <c r="L43">
        <v>2449.58</v>
      </c>
      <c r="M43">
        <v>649.69000000000005</v>
      </c>
      <c r="N43">
        <v>11123.64</v>
      </c>
      <c r="O43">
        <v>173400.91</v>
      </c>
      <c r="P43">
        <v>41741.01</v>
      </c>
      <c r="Q43">
        <v>27518.1</v>
      </c>
      <c r="R43" t="s">
        <v>65</v>
      </c>
      <c r="S43">
        <v>200919.01</v>
      </c>
      <c r="T43">
        <v>0</v>
      </c>
      <c r="U43" t="s">
        <v>91</v>
      </c>
      <c r="V43" t="s">
        <v>8</v>
      </c>
      <c r="W43" t="s">
        <v>74</v>
      </c>
      <c r="X43" t="s">
        <v>101</v>
      </c>
      <c r="Y43" t="s">
        <v>22</v>
      </c>
      <c r="Z43">
        <v>1.26</v>
      </c>
      <c r="AA43">
        <f t="shared" si="0"/>
        <v>27518.1</v>
      </c>
      <c r="AB43">
        <f t="shared" si="1"/>
        <v>0.13696115663719424</v>
      </c>
      <c r="AC43">
        <f t="shared" si="2"/>
        <v>0</v>
      </c>
      <c r="AD43">
        <v>2025</v>
      </c>
      <c r="AE43">
        <v>5</v>
      </c>
      <c r="AF43" t="s">
        <v>76</v>
      </c>
      <c r="AG43" t="s">
        <v>94</v>
      </c>
    </row>
    <row r="44" spans="1:33">
      <c r="A44" t="s">
        <v>178</v>
      </c>
      <c r="B44">
        <v>45898</v>
      </c>
      <c r="C44">
        <v>45902</v>
      </c>
      <c r="D44" t="s">
        <v>25</v>
      </c>
      <c r="E44">
        <v>100</v>
      </c>
      <c r="F44">
        <v>1040.98</v>
      </c>
      <c r="G44">
        <v>1.57</v>
      </c>
      <c r="H44">
        <v>102463.66</v>
      </c>
      <c r="I44" t="s">
        <v>1726</v>
      </c>
      <c r="J44">
        <v>755.69</v>
      </c>
      <c r="K44">
        <v>75569</v>
      </c>
      <c r="L44">
        <v>1743.34</v>
      </c>
      <c r="M44">
        <v>185.82</v>
      </c>
      <c r="N44">
        <v>406.47</v>
      </c>
      <c r="O44">
        <v>77904.63</v>
      </c>
      <c r="P44">
        <v>26894.66</v>
      </c>
      <c r="Q44">
        <v>24559.03</v>
      </c>
      <c r="R44" t="s">
        <v>65</v>
      </c>
      <c r="S44">
        <v>102463.66</v>
      </c>
      <c r="T44">
        <v>0</v>
      </c>
      <c r="U44" t="s">
        <v>73</v>
      </c>
      <c r="V44" t="s">
        <v>6</v>
      </c>
      <c r="W44" t="s">
        <v>92</v>
      </c>
      <c r="X44" t="s">
        <v>162</v>
      </c>
      <c r="Y44" t="s">
        <v>26</v>
      </c>
      <c r="Z44">
        <v>1.58</v>
      </c>
      <c r="AA44">
        <f t="shared" si="0"/>
        <v>24559.03</v>
      </c>
      <c r="AB44">
        <f t="shared" si="1"/>
        <v>0.23968526988007258</v>
      </c>
      <c r="AC44">
        <f t="shared" si="2"/>
        <v>0</v>
      </c>
      <c r="AD44">
        <v>2025</v>
      </c>
      <c r="AE44">
        <v>8</v>
      </c>
      <c r="AF44" t="s">
        <v>82</v>
      </c>
      <c r="AG44" t="s">
        <v>87</v>
      </c>
    </row>
    <row r="45" spans="1:33">
      <c r="A45" t="s">
        <v>179</v>
      </c>
      <c r="B45">
        <v>45859</v>
      </c>
      <c r="D45" t="s">
        <v>23</v>
      </c>
      <c r="E45">
        <v>100</v>
      </c>
      <c r="F45">
        <v>1296.17</v>
      </c>
      <c r="G45">
        <v>1.24</v>
      </c>
      <c r="H45">
        <v>0</v>
      </c>
      <c r="I45" t="s">
        <v>1727</v>
      </c>
      <c r="J45">
        <v>1096.43</v>
      </c>
      <c r="K45">
        <v>0</v>
      </c>
      <c r="L45">
        <v>0</v>
      </c>
      <c r="M45">
        <v>0</v>
      </c>
      <c r="N45">
        <v>0</v>
      </c>
      <c r="O45">
        <v>0</v>
      </c>
      <c r="P45">
        <v>0</v>
      </c>
      <c r="Q45">
        <v>0</v>
      </c>
      <c r="R45" t="s">
        <v>65</v>
      </c>
      <c r="S45">
        <v>0</v>
      </c>
      <c r="T45">
        <v>0</v>
      </c>
      <c r="U45" t="s">
        <v>117</v>
      </c>
      <c r="V45" t="s">
        <v>10</v>
      </c>
      <c r="W45" t="s">
        <v>74</v>
      </c>
      <c r="X45" t="s">
        <v>123</v>
      </c>
      <c r="Y45" t="s">
        <v>22</v>
      </c>
      <c r="Z45">
        <v>0.22</v>
      </c>
      <c r="AA45">
        <f t="shared" si="0"/>
        <v>0</v>
      </c>
      <c r="AB45" t="e">
        <f t="shared" si="1"/>
        <v>#DIV/0!</v>
      </c>
      <c r="AC45">
        <f t="shared" si="2"/>
        <v>0</v>
      </c>
      <c r="AD45">
        <v>2025</v>
      </c>
      <c r="AE45">
        <v>7</v>
      </c>
      <c r="AF45" t="s">
        <v>69</v>
      </c>
      <c r="AG45" t="s">
        <v>151</v>
      </c>
    </row>
    <row r="46" spans="1:33">
      <c r="A46" t="s">
        <v>180</v>
      </c>
      <c r="B46">
        <v>45921</v>
      </c>
      <c r="C46">
        <v>45935</v>
      </c>
      <c r="D46" t="s">
        <v>21</v>
      </c>
      <c r="E46">
        <v>200</v>
      </c>
      <c r="F46">
        <v>954.25</v>
      </c>
      <c r="G46">
        <v>1.92</v>
      </c>
      <c r="H46">
        <v>187185.68</v>
      </c>
      <c r="I46" t="s">
        <v>1726</v>
      </c>
      <c r="J46">
        <v>673.83</v>
      </c>
      <c r="K46">
        <v>134766</v>
      </c>
      <c r="L46">
        <v>3925.47</v>
      </c>
      <c r="M46">
        <v>366.28</v>
      </c>
      <c r="N46">
        <v>10015.31</v>
      </c>
      <c r="O46">
        <v>149073.06</v>
      </c>
      <c r="P46">
        <v>52419.68</v>
      </c>
      <c r="Q46">
        <v>38112.620000000003</v>
      </c>
      <c r="R46" t="s">
        <v>65</v>
      </c>
      <c r="S46">
        <v>187185.68</v>
      </c>
      <c r="T46">
        <v>0</v>
      </c>
      <c r="U46" t="s">
        <v>66</v>
      </c>
      <c r="V46" t="s">
        <v>6</v>
      </c>
      <c r="W46" t="s">
        <v>80</v>
      </c>
      <c r="X46" t="s">
        <v>127</v>
      </c>
      <c r="Y46" t="s">
        <v>22</v>
      </c>
      <c r="Z46">
        <v>1.67</v>
      </c>
      <c r="AA46">
        <f t="shared" si="0"/>
        <v>38112.620000000003</v>
      </c>
      <c r="AB46">
        <f t="shared" si="1"/>
        <v>0.20360863074568528</v>
      </c>
      <c r="AC46">
        <f t="shared" si="2"/>
        <v>0</v>
      </c>
      <c r="AD46">
        <v>2025</v>
      </c>
      <c r="AE46">
        <v>9</v>
      </c>
      <c r="AF46" t="s">
        <v>131</v>
      </c>
      <c r="AG46" t="s">
        <v>132</v>
      </c>
    </row>
    <row r="47" spans="1:33">
      <c r="A47" t="s">
        <v>181</v>
      </c>
      <c r="B47">
        <v>45371</v>
      </c>
      <c r="C47">
        <v>45380</v>
      </c>
      <c r="D47" t="s">
        <v>25</v>
      </c>
      <c r="E47">
        <v>300</v>
      </c>
      <c r="F47">
        <v>925.08</v>
      </c>
      <c r="G47">
        <v>1.43</v>
      </c>
      <c r="H47">
        <v>273555.40999999997</v>
      </c>
      <c r="I47" t="s">
        <v>1728</v>
      </c>
      <c r="J47">
        <v>824.27</v>
      </c>
      <c r="K47">
        <v>247281</v>
      </c>
      <c r="L47">
        <v>2874.9</v>
      </c>
      <c r="M47">
        <v>1387.87</v>
      </c>
      <c r="N47">
        <v>10557.61</v>
      </c>
      <c r="O47">
        <v>262101.38</v>
      </c>
      <c r="P47">
        <v>26274.41</v>
      </c>
      <c r="Q47">
        <v>11454.03</v>
      </c>
      <c r="R47" t="s">
        <v>65</v>
      </c>
      <c r="S47">
        <v>273555.40999999997</v>
      </c>
      <c r="T47">
        <v>0</v>
      </c>
      <c r="U47" t="s">
        <v>66</v>
      </c>
      <c r="V47" t="s">
        <v>8</v>
      </c>
      <c r="W47" t="s">
        <v>80</v>
      </c>
      <c r="X47" t="s">
        <v>182</v>
      </c>
      <c r="Y47" t="s">
        <v>26</v>
      </c>
      <c r="Z47">
        <v>1.5</v>
      </c>
      <c r="AA47">
        <f t="shared" si="0"/>
        <v>11454.03</v>
      </c>
      <c r="AB47">
        <f t="shared" si="1"/>
        <v>4.1870968664081624E-2</v>
      </c>
      <c r="AC47">
        <f t="shared" si="2"/>
        <v>0</v>
      </c>
      <c r="AD47">
        <v>2024</v>
      </c>
      <c r="AE47">
        <v>3</v>
      </c>
      <c r="AF47" t="s">
        <v>105</v>
      </c>
      <c r="AG47" t="s">
        <v>120</v>
      </c>
    </row>
    <row r="48" spans="1:33">
      <c r="A48" t="s">
        <v>183</v>
      </c>
      <c r="B48">
        <v>45447</v>
      </c>
      <c r="D48" t="s">
        <v>21</v>
      </c>
      <c r="E48">
        <v>50</v>
      </c>
      <c r="F48">
        <v>882.23</v>
      </c>
      <c r="G48">
        <v>0.59</v>
      </c>
      <c r="H48">
        <v>43851.24</v>
      </c>
      <c r="I48" t="s">
        <v>1728</v>
      </c>
      <c r="J48">
        <v>739.67</v>
      </c>
      <c r="K48">
        <v>36983.5</v>
      </c>
      <c r="L48">
        <v>1030.8599999999999</v>
      </c>
      <c r="M48">
        <v>217.84</v>
      </c>
      <c r="N48">
        <v>11336.45</v>
      </c>
      <c r="O48">
        <v>49568.65</v>
      </c>
      <c r="P48">
        <v>6867.74</v>
      </c>
      <c r="Q48">
        <v>-5717.41</v>
      </c>
      <c r="R48" t="s">
        <v>85</v>
      </c>
      <c r="S48">
        <v>19359.41</v>
      </c>
      <c r="T48">
        <v>24491.83</v>
      </c>
      <c r="U48" t="s">
        <v>91</v>
      </c>
      <c r="V48" t="s">
        <v>14</v>
      </c>
      <c r="W48" t="s">
        <v>92</v>
      </c>
      <c r="X48" t="s">
        <v>127</v>
      </c>
      <c r="Y48" t="s">
        <v>22</v>
      </c>
      <c r="Z48">
        <v>1.5</v>
      </c>
      <c r="AA48">
        <f t="shared" si="0"/>
        <v>-5717.41</v>
      </c>
      <c r="AB48">
        <f t="shared" si="1"/>
        <v>-0.13038194586971771</v>
      </c>
      <c r="AC48">
        <f t="shared" si="2"/>
        <v>0</v>
      </c>
      <c r="AD48">
        <v>2024</v>
      </c>
      <c r="AE48">
        <v>6</v>
      </c>
      <c r="AF48" t="s">
        <v>111</v>
      </c>
      <c r="AG48" t="s">
        <v>148</v>
      </c>
    </row>
    <row r="49" spans="1:33">
      <c r="A49" t="s">
        <v>184</v>
      </c>
      <c r="B49">
        <v>45297</v>
      </c>
      <c r="C49">
        <v>45308</v>
      </c>
      <c r="D49" t="s">
        <v>21</v>
      </c>
      <c r="E49">
        <v>750</v>
      </c>
      <c r="F49">
        <v>917.88</v>
      </c>
      <c r="G49">
        <v>1.99</v>
      </c>
      <c r="H49">
        <v>674710.64</v>
      </c>
      <c r="I49" t="s">
        <v>1727</v>
      </c>
      <c r="J49">
        <v>727.98</v>
      </c>
      <c r="K49">
        <v>545985</v>
      </c>
      <c r="L49">
        <v>6160.4</v>
      </c>
      <c r="M49">
        <v>3269.59</v>
      </c>
      <c r="N49">
        <v>271.25</v>
      </c>
      <c r="O49">
        <v>555686.24</v>
      </c>
      <c r="P49">
        <v>128725.64</v>
      </c>
      <c r="Q49">
        <v>119024.4</v>
      </c>
      <c r="R49" t="s">
        <v>65</v>
      </c>
      <c r="S49">
        <v>674710.64</v>
      </c>
      <c r="T49">
        <v>0</v>
      </c>
      <c r="U49" t="s">
        <v>66</v>
      </c>
      <c r="V49" t="s">
        <v>6</v>
      </c>
      <c r="W49" t="s">
        <v>74</v>
      </c>
      <c r="X49" t="s">
        <v>185</v>
      </c>
      <c r="Y49" t="s">
        <v>31</v>
      </c>
      <c r="Z49">
        <v>0.36</v>
      </c>
      <c r="AA49">
        <f t="shared" si="0"/>
        <v>119024.4</v>
      </c>
      <c r="AB49">
        <f t="shared" si="1"/>
        <v>0.17640806731608677</v>
      </c>
      <c r="AC49">
        <f t="shared" si="2"/>
        <v>0</v>
      </c>
      <c r="AD49">
        <v>2024</v>
      </c>
      <c r="AE49">
        <v>1</v>
      </c>
      <c r="AF49" t="s">
        <v>102</v>
      </c>
      <c r="AG49" t="s">
        <v>103</v>
      </c>
    </row>
    <row r="50" spans="1:33">
      <c r="A50" t="s">
        <v>186</v>
      </c>
      <c r="B50">
        <v>45759</v>
      </c>
      <c r="C50">
        <v>45763</v>
      </c>
      <c r="D50" t="s">
        <v>21</v>
      </c>
      <c r="E50">
        <v>150</v>
      </c>
      <c r="F50">
        <v>905.61</v>
      </c>
      <c r="G50">
        <v>0.24</v>
      </c>
      <c r="H50">
        <v>135515.48000000001</v>
      </c>
      <c r="I50" t="s">
        <v>1726</v>
      </c>
      <c r="J50">
        <v>692.67</v>
      </c>
      <c r="K50">
        <v>103900.5</v>
      </c>
      <c r="L50">
        <v>1526.15</v>
      </c>
      <c r="M50">
        <v>325.89</v>
      </c>
      <c r="N50">
        <v>5526.11</v>
      </c>
      <c r="O50">
        <v>111278.65</v>
      </c>
      <c r="P50">
        <v>31614.98</v>
      </c>
      <c r="Q50">
        <v>24236.83</v>
      </c>
      <c r="R50" t="s">
        <v>65</v>
      </c>
      <c r="S50">
        <v>135515.48000000001</v>
      </c>
      <c r="T50">
        <v>0</v>
      </c>
      <c r="U50" t="s">
        <v>66</v>
      </c>
      <c r="V50" t="s">
        <v>10</v>
      </c>
      <c r="W50" t="s">
        <v>74</v>
      </c>
      <c r="X50" t="s">
        <v>68</v>
      </c>
      <c r="Y50" t="s">
        <v>31</v>
      </c>
      <c r="Z50">
        <v>0.27</v>
      </c>
      <c r="AA50">
        <f t="shared" si="0"/>
        <v>24236.83</v>
      </c>
      <c r="AB50">
        <f t="shared" si="1"/>
        <v>0.17884916173414284</v>
      </c>
      <c r="AC50">
        <f t="shared" si="2"/>
        <v>0</v>
      </c>
      <c r="AD50">
        <v>2025</v>
      </c>
      <c r="AE50">
        <v>4</v>
      </c>
      <c r="AF50" t="s">
        <v>154</v>
      </c>
      <c r="AG50" t="s">
        <v>155</v>
      </c>
    </row>
    <row r="51" spans="1:33">
      <c r="A51" t="s">
        <v>187</v>
      </c>
      <c r="B51">
        <v>45546</v>
      </c>
      <c r="C51">
        <v>45554</v>
      </c>
      <c r="D51" t="s">
        <v>23</v>
      </c>
      <c r="E51">
        <v>100</v>
      </c>
      <c r="F51">
        <v>1253.81</v>
      </c>
      <c r="G51">
        <v>2.41</v>
      </c>
      <c r="H51">
        <v>122359.32</v>
      </c>
      <c r="I51" t="s">
        <v>1728</v>
      </c>
      <c r="J51">
        <v>971.04</v>
      </c>
      <c r="K51">
        <v>97104</v>
      </c>
      <c r="L51">
        <v>670.26</v>
      </c>
      <c r="M51">
        <v>323.85000000000002</v>
      </c>
      <c r="N51">
        <v>1780.45</v>
      </c>
      <c r="O51">
        <v>99878.56</v>
      </c>
      <c r="P51">
        <v>25255.32</v>
      </c>
      <c r="Q51">
        <v>22480.76</v>
      </c>
      <c r="R51" t="s">
        <v>65</v>
      </c>
      <c r="S51">
        <v>122359.32</v>
      </c>
      <c r="T51">
        <v>0</v>
      </c>
      <c r="U51" t="s">
        <v>66</v>
      </c>
      <c r="V51" t="s">
        <v>16</v>
      </c>
      <c r="W51" t="s">
        <v>74</v>
      </c>
      <c r="X51" t="s">
        <v>115</v>
      </c>
      <c r="Y51" t="s">
        <v>22</v>
      </c>
      <c r="Z51">
        <v>1.1499999999999999</v>
      </c>
      <c r="AA51">
        <f t="shared" si="0"/>
        <v>22480.76</v>
      </c>
      <c r="AB51">
        <f t="shared" si="1"/>
        <v>0.18372740221178083</v>
      </c>
      <c r="AC51">
        <f t="shared" si="2"/>
        <v>0</v>
      </c>
      <c r="AD51">
        <v>2024</v>
      </c>
      <c r="AE51">
        <v>9</v>
      </c>
      <c r="AF51" t="s">
        <v>131</v>
      </c>
      <c r="AG51" t="s">
        <v>188</v>
      </c>
    </row>
    <row r="52" spans="1:33">
      <c r="A52" t="s">
        <v>189</v>
      </c>
      <c r="B52">
        <v>46001</v>
      </c>
      <c r="C52">
        <v>46015</v>
      </c>
      <c r="D52" t="s">
        <v>23</v>
      </c>
      <c r="E52">
        <v>500</v>
      </c>
      <c r="F52">
        <v>1322.3</v>
      </c>
      <c r="G52">
        <v>1.6</v>
      </c>
      <c r="H52">
        <v>650571.6</v>
      </c>
      <c r="I52" t="s">
        <v>1727</v>
      </c>
      <c r="J52">
        <v>1073.96</v>
      </c>
      <c r="K52">
        <v>536980</v>
      </c>
      <c r="L52">
        <v>11832.25</v>
      </c>
      <c r="M52">
        <v>1374.08</v>
      </c>
      <c r="N52">
        <v>3469.73</v>
      </c>
      <c r="O52">
        <v>553656.06000000006</v>
      </c>
      <c r="P52">
        <v>113591.6</v>
      </c>
      <c r="Q52">
        <v>96915.54</v>
      </c>
      <c r="R52" t="s">
        <v>65</v>
      </c>
      <c r="S52">
        <v>650571.6</v>
      </c>
      <c r="T52">
        <v>0</v>
      </c>
      <c r="U52" t="s">
        <v>66</v>
      </c>
      <c r="V52" t="s">
        <v>10</v>
      </c>
      <c r="W52" t="s">
        <v>92</v>
      </c>
      <c r="X52" t="s">
        <v>176</v>
      </c>
      <c r="Y52" t="s">
        <v>22</v>
      </c>
      <c r="Z52">
        <v>1.01</v>
      </c>
      <c r="AA52">
        <f t="shared" si="0"/>
        <v>96915.54</v>
      </c>
      <c r="AB52">
        <f t="shared" si="1"/>
        <v>0.14896982899345745</v>
      </c>
      <c r="AC52">
        <f t="shared" si="2"/>
        <v>0</v>
      </c>
      <c r="AD52">
        <v>2025</v>
      </c>
      <c r="AE52">
        <v>12</v>
      </c>
      <c r="AF52" t="s">
        <v>98</v>
      </c>
      <c r="AG52" t="s">
        <v>168</v>
      </c>
    </row>
    <row r="53" spans="1:33">
      <c r="A53" t="s">
        <v>190</v>
      </c>
      <c r="B53">
        <v>45773</v>
      </c>
      <c r="C53">
        <v>45784</v>
      </c>
      <c r="D53" t="s">
        <v>21</v>
      </c>
      <c r="E53">
        <v>750</v>
      </c>
      <c r="F53">
        <v>844.15</v>
      </c>
      <c r="G53">
        <v>3.23</v>
      </c>
      <c r="H53">
        <v>612662.97</v>
      </c>
      <c r="I53" t="s">
        <v>1728</v>
      </c>
      <c r="J53">
        <v>723.75</v>
      </c>
      <c r="K53">
        <v>542812.5</v>
      </c>
      <c r="L53">
        <v>12429.74</v>
      </c>
      <c r="M53">
        <v>1437.05</v>
      </c>
      <c r="N53">
        <v>5213.58</v>
      </c>
      <c r="O53">
        <v>561892.87</v>
      </c>
      <c r="P53">
        <v>69850.47</v>
      </c>
      <c r="Q53">
        <v>50770.1</v>
      </c>
      <c r="R53" t="s">
        <v>65</v>
      </c>
      <c r="S53">
        <v>612662.97</v>
      </c>
      <c r="T53">
        <v>0</v>
      </c>
      <c r="U53" t="s">
        <v>66</v>
      </c>
      <c r="V53" t="s">
        <v>14</v>
      </c>
      <c r="W53" t="s">
        <v>80</v>
      </c>
      <c r="X53" t="s">
        <v>108</v>
      </c>
      <c r="Y53" t="s">
        <v>22</v>
      </c>
      <c r="Z53">
        <v>1</v>
      </c>
      <c r="AA53">
        <f t="shared" si="0"/>
        <v>50770.1</v>
      </c>
      <c r="AB53">
        <f t="shared" si="1"/>
        <v>8.2867910231297318E-2</v>
      </c>
      <c r="AC53">
        <f t="shared" si="2"/>
        <v>0</v>
      </c>
      <c r="AD53">
        <v>2025</v>
      </c>
      <c r="AE53">
        <v>4</v>
      </c>
      <c r="AF53" t="s">
        <v>154</v>
      </c>
      <c r="AG53" t="s">
        <v>155</v>
      </c>
    </row>
    <row r="54" spans="1:33">
      <c r="A54" t="s">
        <v>191</v>
      </c>
      <c r="B54">
        <v>45978</v>
      </c>
      <c r="C54">
        <v>45980</v>
      </c>
      <c r="D54" t="s">
        <v>21</v>
      </c>
      <c r="E54">
        <v>150</v>
      </c>
      <c r="F54">
        <v>873.29</v>
      </c>
      <c r="G54">
        <v>0.15</v>
      </c>
      <c r="H54">
        <v>130797.01</v>
      </c>
      <c r="I54" t="s">
        <v>1727</v>
      </c>
      <c r="J54">
        <v>663.46</v>
      </c>
      <c r="K54">
        <v>99519</v>
      </c>
      <c r="L54">
        <v>1104.45</v>
      </c>
      <c r="M54">
        <v>797.1</v>
      </c>
      <c r="N54">
        <v>4676.7299999999996</v>
      </c>
      <c r="O54">
        <v>106097.28</v>
      </c>
      <c r="P54">
        <v>31278.01</v>
      </c>
      <c r="Q54">
        <v>24699.73</v>
      </c>
      <c r="R54" t="s">
        <v>65</v>
      </c>
      <c r="S54">
        <v>130797.01</v>
      </c>
      <c r="T54">
        <v>0</v>
      </c>
      <c r="U54" t="s">
        <v>66</v>
      </c>
      <c r="V54" t="s">
        <v>6</v>
      </c>
      <c r="W54" t="s">
        <v>92</v>
      </c>
      <c r="X54" t="s">
        <v>110</v>
      </c>
      <c r="Y54" t="s">
        <v>28</v>
      </c>
      <c r="Z54">
        <v>2.12</v>
      </c>
      <c r="AA54">
        <f t="shared" si="0"/>
        <v>24699.73</v>
      </c>
      <c r="AB54">
        <f t="shared" si="1"/>
        <v>0.18884017302842016</v>
      </c>
      <c r="AC54">
        <f t="shared" si="2"/>
        <v>0</v>
      </c>
      <c r="AD54">
        <v>2025</v>
      </c>
      <c r="AE54">
        <v>11</v>
      </c>
      <c r="AF54" t="s">
        <v>128</v>
      </c>
      <c r="AG54" t="s">
        <v>135</v>
      </c>
    </row>
    <row r="55" spans="1:33">
      <c r="A55" t="s">
        <v>192</v>
      </c>
      <c r="B55">
        <v>45902</v>
      </c>
      <c r="C55">
        <v>45911</v>
      </c>
      <c r="D55" t="s">
        <v>21</v>
      </c>
      <c r="E55">
        <v>1000</v>
      </c>
      <c r="F55">
        <v>908.45</v>
      </c>
      <c r="G55">
        <v>3.12</v>
      </c>
      <c r="H55">
        <v>880106.36</v>
      </c>
      <c r="I55" t="s">
        <v>1728</v>
      </c>
      <c r="J55">
        <v>712.17</v>
      </c>
      <c r="K55">
        <v>712170</v>
      </c>
      <c r="L55">
        <v>8734.34</v>
      </c>
      <c r="M55">
        <v>4985.8100000000004</v>
      </c>
      <c r="N55">
        <v>5156.42</v>
      </c>
      <c r="O55">
        <v>731046.57</v>
      </c>
      <c r="P55">
        <v>167936.36</v>
      </c>
      <c r="Q55">
        <v>149059.79</v>
      </c>
      <c r="R55" t="s">
        <v>134</v>
      </c>
      <c r="S55">
        <v>0</v>
      </c>
      <c r="T55">
        <v>880106.36</v>
      </c>
      <c r="U55" t="s">
        <v>66</v>
      </c>
      <c r="V55" t="s">
        <v>16</v>
      </c>
      <c r="W55" t="s">
        <v>67</v>
      </c>
      <c r="X55" t="s">
        <v>193</v>
      </c>
      <c r="Y55" t="s">
        <v>30</v>
      </c>
      <c r="Z55">
        <v>1.1599999999999999</v>
      </c>
      <c r="AA55">
        <f t="shared" si="0"/>
        <v>149059.79</v>
      </c>
      <c r="AB55">
        <f t="shared" si="1"/>
        <v>0.1693656548510796</v>
      </c>
      <c r="AC55">
        <f t="shared" si="2"/>
        <v>0</v>
      </c>
      <c r="AD55">
        <v>2025</v>
      </c>
      <c r="AE55">
        <v>9</v>
      </c>
      <c r="AF55" t="s">
        <v>131</v>
      </c>
      <c r="AG55" t="s">
        <v>132</v>
      </c>
    </row>
    <row r="56" spans="1:33">
      <c r="A56" t="s">
        <v>194</v>
      </c>
      <c r="B56">
        <v>45835</v>
      </c>
      <c r="C56">
        <v>45843</v>
      </c>
      <c r="D56" t="s">
        <v>21</v>
      </c>
      <c r="E56">
        <v>150</v>
      </c>
      <c r="F56">
        <v>836.99</v>
      </c>
      <c r="G56">
        <v>0.69</v>
      </c>
      <c r="H56">
        <v>124682.22</v>
      </c>
      <c r="I56" t="s">
        <v>1726</v>
      </c>
      <c r="J56">
        <v>751.37</v>
      </c>
      <c r="K56">
        <v>112705.5</v>
      </c>
      <c r="L56">
        <v>2922.84</v>
      </c>
      <c r="M56">
        <v>301.43</v>
      </c>
      <c r="N56">
        <v>3009.95</v>
      </c>
      <c r="O56">
        <v>118939.72</v>
      </c>
      <c r="P56">
        <v>11976.72</v>
      </c>
      <c r="Q56">
        <v>5742.5</v>
      </c>
      <c r="R56" t="s">
        <v>85</v>
      </c>
      <c r="S56">
        <v>41873.599999999999</v>
      </c>
      <c r="T56">
        <v>82808.62</v>
      </c>
      <c r="U56" t="s">
        <v>73</v>
      </c>
      <c r="V56" t="s">
        <v>6</v>
      </c>
      <c r="W56" t="s">
        <v>141</v>
      </c>
      <c r="X56" t="s">
        <v>195</v>
      </c>
      <c r="Y56" t="s">
        <v>26</v>
      </c>
      <c r="Z56">
        <v>1.78</v>
      </c>
      <c r="AA56">
        <f t="shared" si="0"/>
        <v>5742.5</v>
      </c>
      <c r="AB56">
        <f t="shared" si="1"/>
        <v>4.605708817183396E-2</v>
      </c>
      <c r="AC56">
        <f t="shared" si="2"/>
        <v>0</v>
      </c>
      <c r="AD56">
        <v>2025</v>
      </c>
      <c r="AE56">
        <v>6</v>
      </c>
      <c r="AF56" t="s">
        <v>111</v>
      </c>
      <c r="AG56" t="s">
        <v>112</v>
      </c>
    </row>
    <row r="57" spans="1:33">
      <c r="A57" t="s">
        <v>196</v>
      </c>
      <c r="B57">
        <v>45630</v>
      </c>
      <c r="C57">
        <v>45644</v>
      </c>
      <c r="D57" t="s">
        <v>21</v>
      </c>
      <c r="E57">
        <v>200</v>
      </c>
      <c r="F57">
        <v>961.87</v>
      </c>
      <c r="G57">
        <v>0.55000000000000004</v>
      </c>
      <c r="H57">
        <v>191315.94</v>
      </c>
      <c r="I57" t="s">
        <v>1728</v>
      </c>
      <c r="J57">
        <v>654.49</v>
      </c>
      <c r="K57">
        <v>130898</v>
      </c>
      <c r="L57">
        <v>1084.4000000000001</v>
      </c>
      <c r="M57">
        <v>930.36</v>
      </c>
      <c r="N57">
        <v>11121.7</v>
      </c>
      <c r="O57">
        <v>144034.46</v>
      </c>
      <c r="P57">
        <v>60417.94</v>
      </c>
      <c r="Q57">
        <v>47281.48</v>
      </c>
      <c r="R57" t="s">
        <v>65</v>
      </c>
      <c r="S57">
        <v>191315.94</v>
      </c>
      <c r="T57">
        <v>0</v>
      </c>
      <c r="U57" t="s">
        <v>66</v>
      </c>
      <c r="V57" t="s">
        <v>16</v>
      </c>
      <c r="W57" t="s">
        <v>67</v>
      </c>
      <c r="X57" t="s">
        <v>108</v>
      </c>
      <c r="Y57" t="s">
        <v>22</v>
      </c>
      <c r="Z57">
        <v>2.2799999999999998</v>
      </c>
      <c r="AA57">
        <f t="shared" si="0"/>
        <v>47281.48</v>
      </c>
      <c r="AB57">
        <f t="shared" si="1"/>
        <v>0.24713821545658979</v>
      </c>
      <c r="AC57">
        <f t="shared" si="2"/>
        <v>0</v>
      </c>
      <c r="AD57">
        <v>2024</v>
      </c>
      <c r="AE57">
        <v>12</v>
      </c>
      <c r="AF57" t="s">
        <v>98</v>
      </c>
      <c r="AG57" t="s">
        <v>99</v>
      </c>
    </row>
    <row r="58" spans="1:33">
      <c r="A58" t="s">
        <v>197</v>
      </c>
      <c r="B58">
        <v>45601</v>
      </c>
      <c r="C58">
        <v>45602</v>
      </c>
      <c r="D58" t="s">
        <v>21</v>
      </c>
      <c r="E58">
        <v>200</v>
      </c>
      <c r="F58">
        <v>933.78</v>
      </c>
      <c r="G58">
        <v>2.11</v>
      </c>
      <c r="H58">
        <v>182815.45</v>
      </c>
      <c r="I58" t="s">
        <v>1729</v>
      </c>
      <c r="J58">
        <v>675.61</v>
      </c>
      <c r="K58">
        <v>135122</v>
      </c>
      <c r="L58">
        <v>4182.04</v>
      </c>
      <c r="M58">
        <v>791.31</v>
      </c>
      <c r="N58">
        <v>11057.91</v>
      </c>
      <c r="O58">
        <v>151153.26</v>
      </c>
      <c r="P58">
        <v>47693.45</v>
      </c>
      <c r="Q58">
        <v>31662.19</v>
      </c>
      <c r="R58" t="s">
        <v>134</v>
      </c>
      <c r="S58">
        <v>0</v>
      </c>
      <c r="T58">
        <v>182815.45</v>
      </c>
      <c r="U58" t="s">
        <v>66</v>
      </c>
      <c r="V58" t="s">
        <v>12</v>
      </c>
      <c r="W58" t="s">
        <v>74</v>
      </c>
      <c r="X58" t="s">
        <v>159</v>
      </c>
      <c r="Y58" t="s">
        <v>30</v>
      </c>
      <c r="Z58">
        <v>1.2</v>
      </c>
      <c r="AA58">
        <f t="shared" si="0"/>
        <v>31662.19</v>
      </c>
      <c r="AB58">
        <f t="shared" si="1"/>
        <v>0.17319209071224559</v>
      </c>
      <c r="AC58">
        <f t="shared" si="2"/>
        <v>0</v>
      </c>
      <c r="AD58">
        <v>2024</v>
      </c>
      <c r="AE58">
        <v>11</v>
      </c>
      <c r="AF58" t="s">
        <v>128</v>
      </c>
      <c r="AG58" t="s">
        <v>129</v>
      </c>
    </row>
    <row r="59" spans="1:33">
      <c r="A59" t="s">
        <v>198</v>
      </c>
      <c r="B59">
        <v>45339</v>
      </c>
      <c r="C59">
        <v>45342</v>
      </c>
      <c r="D59" t="s">
        <v>21</v>
      </c>
      <c r="E59">
        <v>300</v>
      </c>
      <c r="F59">
        <v>819.93</v>
      </c>
      <c r="G59">
        <v>1.47</v>
      </c>
      <c r="H59">
        <v>242363.11</v>
      </c>
      <c r="I59" t="s">
        <v>1729</v>
      </c>
      <c r="J59">
        <v>669.82</v>
      </c>
      <c r="K59">
        <v>200946</v>
      </c>
      <c r="L59">
        <v>6536.41</v>
      </c>
      <c r="M59">
        <v>584.54999999999995</v>
      </c>
      <c r="N59">
        <v>6538.08</v>
      </c>
      <c r="O59">
        <v>214605.04</v>
      </c>
      <c r="P59">
        <v>41417.11</v>
      </c>
      <c r="Q59">
        <v>27758.07</v>
      </c>
      <c r="R59" t="s">
        <v>65</v>
      </c>
      <c r="S59">
        <v>242363.11</v>
      </c>
      <c r="T59">
        <v>0</v>
      </c>
      <c r="U59" t="s">
        <v>66</v>
      </c>
      <c r="V59" t="s">
        <v>6</v>
      </c>
      <c r="W59" t="s">
        <v>80</v>
      </c>
      <c r="X59" t="s">
        <v>89</v>
      </c>
      <c r="Y59" t="s">
        <v>28</v>
      </c>
      <c r="Z59">
        <v>1.88</v>
      </c>
      <c r="AA59">
        <f t="shared" si="0"/>
        <v>27758.07</v>
      </c>
      <c r="AB59">
        <f t="shared" si="1"/>
        <v>0.11453092015529921</v>
      </c>
      <c r="AC59">
        <f t="shared" si="2"/>
        <v>0</v>
      </c>
      <c r="AD59">
        <v>2024</v>
      </c>
      <c r="AE59">
        <v>2</v>
      </c>
      <c r="AF59" t="s">
        <v>172</v>
      </c>
      <c r="AG59" t="s">
        <v>173</v>
      </c>
    </row>
    <row r="60" spans="1:33">
      <c r="A60" t="s">
        <v>199</v>
      </c>
      <c r="B60">
        <v>45847</v>
      </c>
      <c r="C60">
        <v>45861</v>
      </c>
      <c r="D60" t="s">
        <v>21</v>
      </c>
      <c r="E60">
        <v>1000</v>
      </c>
      <c r="F60">
        <v>894.04</v>
      </c>
      <c r="G60">
        <v>4.5999999999999996</v>
      </c>
      <c r="H60">
        <v>852914.16</v>
      </c>
      <c r="I60" t="s">
        <v>1729</v>
      </c>
      <c r="J60">
        <v>661.35</v>
      </c>
      <c r="K60">
        <v>661350</v>
      </c>
      <c r="L60">
        <v>19712.04</v>
      </c>
      <c r="M60">
        <v>3794.24</v>
      </c>
      <c r="N60">
        <v>5233.46</v>
      </c>
      <c r="O60">
        <v>690089.74</v>
      </c>
      <c r="P60">
        <v>191564.16</v>
      </c>
      <c r="Q60">
        <v>162824.42000000001</v>
      </c>
      <c r="R60" t="s">
        <v>65</v>
      </c>
      <c r="S60">
        <v>852914.16</v>
      </c>
      <c r="T60">
        <v>0</v>
      </c>
      <c r="U60" t="s">
        <v>66</v>
      </c>
      <c r="V60" t="s">
        <v>6</v>
      </c>
      <c r="W60" t="s">
        <v>80</v>
      </c>
      <c r="X60" t="s">
        <v>167</v>
      </c>
      <c r="Y60" t="s">
        <v>31</v>
      </c>
      <c r="Z60">
        <v>2.31</v>
      </c>
      <c r="AA60">
        <f t="shared" si="0"/>
        <v>162824.42000000001</v>
      </c>
      <c r="AB60">
        <f t="shared" si="1"/>
        <v>0.19090364263620621</v>
      </c>
      <c r="AC60">
        <f t="shared" si="2"/>
        <v>0</v>
      </c>
      <c r="AD60">
        <v>2025</v>
      </c>
      <c r="AE60">
        <v>7</v>
      </c>
      <c r="AF60" t="s">
        <v>69</v>
      </c>
      <c r="AG60" t="s">
        <v>151</v>
      </c>
    </row>
    <row r="61" spans="1:33">
      <c r="A61" t="s">
        <v>200</v>
      </c>
      <c r="B61">
        <v>45990</v>
      </c>
      <c r="C61">
        <v>45999</v>
      </c>
      <c r="D61" t="s">
        <v>23</v>
      </c>
      <c r="E61">
        <v>300</v>
      </c>
      <c r="F61">
        <v>1342.37</v>
      </c>
      <c r="G61">
        <v>1.38</v>
      </c>
      <c r="H61">
        <v>397153.59</v>
      </c>
      <c r="I61" t="s">
        <v>1728</v>
      </c>
      <c r="J61">
        <v>1044.28</v>
      </c>
      <c r="K61">
        <v>313284</v>
      </c>
      <c r="L61">
        <v>1822.22</v>
      </c>
      <c r="M61">
        <v>987.17</v>
      </c>
      <c r="N61">
        <v>1159.82</v>
      </c>
      <c r="O61">
        <v>317253.21000000002</v>
      </c>
      <c r="P61">
        <v>83869.59</v>
      </c>
      <c r="Q61">
        <v>79900.38</v>
      </c>
      <c r="R61" t="s">
        <v>85</v>
      </c>
      <c r="S61">
        <v>247732.82</v>
      </c>
      <c r="T61">
        <v>149420.76999999999</v>
      </c>
      <c r="U61" t="s">
        <v>66</v>
      </c>
      <c r="V61" t="s">
        <v>14</v>
      </c>
      <c r="W61" t="s">
        <v>80</v>
      </c>
      <c r="X61" t="s">
        <v>97</v>
      </c>
      <c r="Y61" t="s">
        <v>24</v>
      </c>
      <c r="Z61">
        <v>0.73</v>
      </c>
      <c r="AA61">
        <f t="shared" si="0"/>
        <v>79900.38</v>
      </c>
      <c r="AB61">
        <f t="shared" si="1"/>
        <v>0.20118257019910105</v>
      </c>
      <c r="AC61">
        <f t="shared" si="2"/>
        <v>0</v>
      </c>
      <c r="AD61">
        <v>2025</v>
      </c>
      <c r="AE61">
        <v>11</v>
      </c>
      <c r="AF61" t="s">
        <v>128</v>
      </c>
      <c r="AG61" t="s">
        <v>135</v>
      </c>
    </row>
    <row r="62" spans="1:33">
      <c r="A62" t="s">
        <v>201</v>
      </c>
      <c r="B62">
        <v>45344</v>
      </c>
      <c r="D62" t="s">
        <v>23</v>
      </c>
      <c r="E62">
        <v>200</v>
      </c>
      <c r="F62">
        <v>1325.28</v>
      </c>
      <c r="G62">
        <v>0.28999999999999998</v>
      </c>
      <c r="H62">
        <v>0</v>
      </c>
      <c r="I62" t="s">
        <v>1726</v>
      </c>
      <c r="J62">
        <v>1042.92</v>
      </c>
      <c r="K62">
        <v>0</v>
      </c>
      <c r="L62">
        <v>0</v>
      </c>
      <c r="M62">
        <v>0</v>
      </c>
      <c r="N62">
        <v>0</v>
      </c>
      <c r="O62">
        <v>0</v>
      </c>
      <c r="P62">
        <v>0</v>
      </c>
      <c r="Q62">
        <v>0</v>
      </c>
      <c r="R62" t="s">
        <v>65</v>
      </c>
      <c r="S62">
        <v>0</v>
      </c>
      <c r="T62">
        <v>0</v>
      </c>
      <c r="U62" t="s">
        <v>117</v>
      </c>
      <c r="V62" t="s">
        <v>14</v>
      </c>
      <c r="W62" t="s">
        <v>74</v>
      </c>
      <c r="X62" t="s">
        <v>101</v>
      </c>
      <c r="Y62" t="s">
        <v>22</v>
      </c>
      <c r="Z62">
        <v>1.31</v>
      </c>
      <c r="AA62">
        <f t="shared" si="0"/>
        <v>0</v>
      </c>
      <c r="AB62" t="e">
        <f t="shared" si="1"/>
        <v>#DIV/0!</v>
      </c>
      <c r="AC62">
        <f t="shared" si="2"/>
        <v>0</v>
      </c>
      <c r="AD62">
        <v>2024</v>
      </c>
      <c r="AE62">
        <v>2</v>
      </c>
      <c r="AF62" t="s">
        <v>172</v>
      </c>
      <c r="AG62" t="s">
        <v>173</v>
      </c>
    </row>
    <row r="63" spans="1:33">
      <c r="A63" t="s">
        <v>202</v>
      </c>
      <c r="B63">
        <v>45438</v>
      </c>
      <c r="C63">
        <v>45439</v>
      </c>
      <c r="D63" t="s">
        <v>21</v>
      </c>
      <c r="E63">
        <v>50</v>
      </c>
      <c r="F63">
        <v>829.71</v>
      </c>
      <c r="G63">
        <v>1.72</v>
      </c>
      <c r="H63">
        <v>40771.949999999997</v>
      </c>
      <c r="I63" t="s">
        <v>1728</v>
      </c>
      <c r="J63">
        <v>659.78</v>
      </c>
      <c r="K63">
        <v>32989</v>
      </c>
      <c r="L63">
        <v>1179.3399999999999</v>
      </c>
      <c r="M63">
        <v>176.48</v>
      </c>
      <c r="N63">
        <v>11383.84</v>
      </c>
      <c r="O63">
        <v>45728.66</v>
      </c>
      <c r="P63">
        <v>7782.95</v>
      </c>
      <c r="Q63">
        <v>-4956.71</v>
      </c>
      <c r="R63" t="s">
        <v>65</v>
      </c>
      <c r="S63">
        <v>40771.949999999997</v>
      </c>
      <c r="T63">
        <v>0</v>
      </c>
      <c r="U63" t="s">
        <v>66</v>
      </c>
      <c r="V63" t="s">
        <v>6</v>
      </c>
      <c r="W63" t="s">
        <v>67</v>
      </c>
      <c r="X63" t="s">
        <v>115</v>
      </c>
      <c r="Y63" t="s">
        <v>22</v>
      </c>
      <c r="Z63">
        <v>1.39</v>
      </c>
      <c r="AA63">
        <f t="shared" si="0"/>
        <v>-4956.71</v>
      </c>
      <c r="AB63">
        <f t="shared" si="1"/>
        <v>-0.12157157065090093</v>
      </c>
      <c r="AC63">
        <f t="shared" si="2"/>
        <v>0</v>
      </c>
      <c r="AD63">
        <v>2024</v>
      </c>
      <c r="AE63">
        <v>5</v>
      </c>
      <c r="AF63" t="s">
        <v>76</v>
      </c>
      <c r="AG63" t="s">
        <v>77</v>
      </c>
    </row>
    <row r="64" spans="1:33">
      <c r="A64" t="s">
        <v>203</v>
      </c>
      <c r="B64">
        <v>45955</v>
      </c>
      <c r="C64">
        <v>45957</v>
      </c>
      <c r="D64" t="s">
        <v>21</v>
      </c>
      <c r="E64">
        <v>1200</v>
      </c>
      <c r="F64">
        <v>921.89</v>
      </c>
      <c r="G64">
        <v>4.42</v>
      </c>
      <c r="H64">
        <v>1057370.95</v>
      </c>
      <c r="I64" t="s">
        <v>1728</v>
      </c>
      <c r="J64">
        <v>679.61</v>
      </c>
      <c r="K64">
        <v>815532</v>
      </c>
      <c r="L64">
        <v>26111.74</v>
      </c>
      <c r="M64">
        <v>4080.36</v>
      </c>
      <c r="N64">
        <v>517.47</v>
      </c>
      <c r="O64">
        <v>846241.57</v>
      </c>
      <c r="P64">
        <v>241838.95</v>
      </c>
      <c r="Q64">
        <v>211129.38</v>
      </c>
      <c r="R64" t="s">
        <v>65</v>
      </c>
      <c r="S64">
        <v>1057370.95</v>
      </c>
      <c r="T64">
        <v>0</v>
      </c>
      <c r="U64" t="s">
        <v>66</v>
      </c>
      <c r="V64" t="s">
        <v>6</v>
      </c>
      <c r="W64" t="s">
        <v>74</v>
      </c>
      <c r="X64" t="s">
        <v>127</v>
      </c>
      <c r="Y64" t="s">
        <v>22</v>
      </c>
      <c r="Z64">
        <v>0.33</v>
      </c>
      <c r="AA64">
        <f t="shared" si="0"/>
        <v>211129.38</v>
      </c>
      <c r="AB64">
        <f t="shared" si="1"/>
        <v>0.19967389873913219</v>
      </c>
      <c r="AC64">
        <f t="shared" si="2"/>
        <v>0</v>
      </c>
      <c r="AD64">
        <v>2025</v>
      </c>
      <c r="AE64">
        <v>10</v>
      </c>
      <c r="AF64" t="s">
        <v>138</v>
      </c>
      <c r="AG64" t="s">
        <v>160</v>
      </c>
    </row>
    <row r="65" spans="1:33">
      <c r="A65" t="s">
        <v>204</v>
      </c>
      <c r="B65">
        <v>45465</v>
      </c>
      <c r="C65">
        <v>45470</v>
      </c>
      <c r="D65" t="s">
        <v>23</v>
      </c>
      <c r="E65">
        <v>750</v>
      </c>
      <c r="F65">
        <v>1176.97</v>
      </c>
      <c r="G65">
        <v>4.24</v>
      </c>
      <c r="H65">
        <v>845299.85</v>
      </c>
      <c r="I65" t="s">
        <v>1728</v>
      </c>
      <c r="J65">
        <v>1035.3800000000001</v>
      </c>
      <c r="K65">
        <v>776535</v>
      </c>
      <c r="L65">
        <v>13853.18</v>
      </c>
      <c r="M65">
        <v>3608.29</v>
      </c>
      <c r="N65">
        <v>7246.13</v>
      </c>
      <c r="O65">
        <v>801242.6</v>
      </c>
      <c r="P65">
        <v>68764.850000000006</v>
      </c>
      <c r="Q65">
        <v>44057.25</v>
      </c>
      <c r="R65" t="s">
        <v>65</v>
      </c>
      <c r="S65">
        <v>845299.85</v>
      </c>
      <c r="T65">
        <v>0</v>
      </c>
      <c r="U65" t="s">
        <v>73</v>
      </c>
      <c r="V65" t="s">
        <v>10</v>
      </c>
      <c r="W65" t="s">
        <v>92</v>
      </c>
      <c r="X65" t="s">
        <v>205</v>
      </c>
      <c r="Y65" t="s">
        <v>24</v>
      </c>
      <c r="Z65">
        <v>1.42</v>
      </c>
      <c r="AA65">
        <f t="shared" si="0"/>
        <v>44057.25</v>
      </c>
      <c r="AB65">
        <f t="shared" si="1"/>
        <v>5.212026241339094E-2</v>
      </c>
      <c r="AC65">
        <f t="shared" si="2"/>
        <v>0</v>
      </c>
      <c r="AD65">
        <v>2024</v>
      </c>
      <c r="AE65">
        <v>6</v>
      </c>
      <c r="AF65" t="s">
        <v>111</v>
      </c>
      <c r="AG65" t="s">
        <v>148</v>
      </c>
    </row>
    <row r="66" spans="1:33">
      <c r="A66" t="s">
        <v>206</v>
      </c>
      <c r="B66">
        <v>45581</v>
      </c>
      <c r="C66">
        <v>45590</v>
      </c>
      <c r="D66" t="s">
        <v>21</v>
      </c>
      <c r="E66">
        <v>250</v>
      </c>
      <c r="F66">
        <v>905.52</v>
      </c>
      <c r="G66">
        <v>2.1</v>
      </c>
      <c r="H66">
        <v>221626.02</v>
      </c>
      <c r="I66" t="s">
        <v>1726</v>
      </c>
      <c r="J66">
        <v>689.59</v>
      </c>
      <c r="K66">
        <v>172397.5</v>
      </c>
      <c r="L66">
        <v>4310.13</v>
      </c>
      <c r="M66">
        <v>664.29</v>
      </c>
      <c r="N66">
        <v>6337.5</v>
      </c>
      <c r="O66">
        <v>183709.42</v>
      </c>
      <c r="P66">
        <v>49228.52</v>
      </c>
      <c r="Q66">
        <v>37916.6</v>
      </c>
      <c r="R66" t="s">
        <v>134</v>
      </c>
      <c r="S66">
        <v>0</v>
      </c>
      <c r="T66">
        <v>221626.02</v>
      </c>
      <c r="U66" t="s">
        <v>66</v>
      </c>
      <c r="V66" t="s">
        <v>16</v>
      </c>
      <c r="W66" t="s">
        <v>67</v>
      </c>
      <c r="X66" t="s">
        <v>147</v>
      </c>
      <c r="Y66" t="s">
        <v>28</v>
      </c>
      <c r="Z66">
        <v>1.88</v>
      </c>
      <c r="AA66">
        <f t="shared" ref="AA66:AA129" si="3">ROUND(H66-O66,2)</f>
        <v>37916.6</v>
      </c>
      <c r="AB66">
        <f t="shared" ref="AB66:AB129" si="4">AA66/H66</f>
        <v>0.17108370217540342</v>
      </c>
      <c r="AC66">
        <f t="shared" ref="AC66:AC129" si="5">ROUND(AA66-Q66,2)</f>
        <v>0</v>
      </c>
      <c r="AD66">
        <v>2024</v>
      </c>
      <c r="AE66">
        <v>10</v>
      </c>
      <c r="AF66" t="s">
        <v>138</v>
      </c>
      <c r="AG66" t="s">
        <v>139</v>
      </c>
    </row>
    <row r="67" spans="1:33">
      <c r="A67" t="s">
        <v>207</v>
      </c>
      <c r="B67">
        <v>45365</v>
      </c>
      <c r="C67">
        <v>45370</v>
      </c>
      <c r="D67" t="s">
        <v>21</v>
      </c>
      <c r="E67">
        <v>150</v>
      </c>
      <c r="F67">
        <v>833.35</v>
      </c>
      <c r="G67">
        <v>2.04</v>
      </c>
      <c r="H67">
        <v>122452.45</v>
      </c>
      <c r="I67" t="s">
        <v>1728</v>
      </c>
      <c r="J67">
        <v>731.31</v>
      </c>
      <c r="K67">
        <v>109696.5</v>
      </c>
      <c r="L67">
        <v>1262.28</v>
      </c>
      <c r="M67">
        <v>682.21</v>
      </c>
      <c r="N67">
        <v>7350.19</v>
      </c>
      <c r="O67">
        <v>118991.18</v>
      </c>
      <c r="P67">
        <v>12755.95</v>
      </c>
      <c r="Q67">
        <v>3461.27</v>
      </c>
      <c r="R67" t="s">
        <v>134</v>
      </c>
      <c r="S67">
        <v>0</v>
      </c>
      <c r="T67">
        <v>122452.45</v>
      </c>
      <c r="U67" t="s">
        <v>66</v>
      </c>
      <c r="V67" t="s">
        <v>6</v>
      </c>
      <c r="W67" t="s">
        <v>67</v>
      </c>
      <c r="X67" t="s">
        <v>208</v>
      </c>
      <c r="Y67" t="s">
        <v>26</v>
      </c>
      <c r="Z67">
        <v>2</v>
      </c>
      <c r="AA67">
        <f t="shared" si="3"/>
        <v>3461.27</v>
      </c>
      <c r="AB67">
        <f t="shared" si="4"/>
        <v>2.8266237221060093E-2</v>
      </c>
      <c r="AC67">
        <f t="shared" si="5"/>
        <v>0</v>
      </c>
      <c r="AD67">
        <v>2024</v>
      </c>
      <c r="AE67">
        <v>3</v>
      </c>
      <c r="AF67" t="s">
        <v>105</v>
      </c>
      <c r="AG67" t="s">
        <v>120</v>
      </c>
    </row>
    <row r="68" spans="1:33">
      <c r="A68" t="s">
        <v>209</v>
      </c>
      <c r="B68">
        <v>45352</v>
      </c>
      <c r="C68">
        <v>45358</v>
      </c>
      <c r="D68" t="s">
        <v>21</v>
      </c>
      <c r="E68">
        <v>150</v>
      </c>
      <c r="F68">
        <v>853.25</v>
      </c>
      <c r="G68">
        <v>0.77</v>
      </c>
      <c r="H68">
        <v>127002</v>
      </c>
      <c r="I68" t="s">
        <v>1726</v>
      </c>
      <c r="J68">
        <v>654.51</v>
      </c>
      <c r="K68">
        <v>98176.5</v>
      </c>
      <c r="L68">
        <v>988.93</v>
      </c>
      <c r="M68">
        <v>826.67</v>
      </c>
      <c r="N68">
        <v>10936.15</v>
      </c>
      <c r="O68">
        <v>110928.25</v>
      </c>
      <c r="P68">
        <v>28825.5</v>
      </c>
      <c r="Q68">
        <v>16073.75</v>
      </c>
      <c r="R68" t="s">
        <v>65</v>
      </c>
      <c r="S68">
        <v>127002</v>
      </c>
      <c r="T68">
        <v>0</v>
      </c>
      <c r="U68" t="s">
        <v>66</v>
      </c>
      <c r="V68" t="s">
        <v>10</v>
      </c>
      <c r="W68" t="s">
        <v>80</v>
      </c>
      <c r="X68" t="s">
        <v>185</v>
      </c>
      <c r="Y68" t="s">
        <v>31</v>
      </c>
      <c r="Z68">
        <v>1.93</v>
      </c>
      <c r="AA68">
        <f t="shared" si="3"/>
        <v>16073.75</v>
      </c>
      <c r="AB68">
        <f t="shared" si="4"/>
        <v>0.12656296751232263</v>
      </c>
      <c r="AC68">
        <f t="shared" si="5"/>
        <v>0</v>
      </c>
      <c r="AD68">
        <v>2024</v>
      </c>
      <c r="AE68">
        <v>3</v>
      </c>
      <c r="AF68" t="s">
        <v>105</v>
      </c>
      <c r="AG68" t="s">
        <v>120</v>
      </c>
    </row>
    <row r="69" spans="1:33">
      <c r="A69" t="s">
        <v>210</v>
      </c>
      <c r="B69">
        <v>45597</v>
      </c>
      <c r="C69">
        <v>45605</v>
      </c>
      <c r="D69" t="s">
        <v>23</v>
      </c>
      <c r="E69">
        <v>250</v>
      </c>
      <c r="F69">
        <v>1360.55</v>
      </c>
      <c r="G69">
        <v>0.13</v>
      </c>
      <c r="H69">
        <v>339695.32</v>
      </c>
      <c r="I69" t="s">
        <v>1727</v>
      </c>
      <c r="J69">
        <v>997.92</v>
      </c>
      <c r="K69">
        <v>249480</v>
      </c>
      <c r="L69">
        <v>2058.5700000000002</v>
      </c>
      <c r="M69">
        <v>1343.72</v>
      </c>
      <c r="N69">
        <v>6262.15</v>
      </c>
      <c r="O69">
        <v>259144.44</v>
      </c>
      <c r="P69">
        <v>90215.32</v>
      </c>
      <c r="Q69">
        <v>80550.880000000005</v>
      </c>
      <c r="R69" t="s">
        <v>65</v>
      </c>
      <c r="S69">
        <v>339695.32</v>
      </c>
      <c r="T69">
        <v>0</v>
      </c>
      <c r="U69" t="s">
        <v>73</v>
      </c>
      <c r="V69" t="s">
        <v>16</v>
      </c>
      <c r="W69" t="s">
        <v>141</v>
      </c>
      <c r="X69" t="s">
        <v>123</v>
      </c>
      <c r="Y69" t="s">
        <v>22</v>
      </c>
      <c r="Z69">
        <v>0.33</v>
      </c>
      <c r="AA69">
        <f t="shared" si="3"/>
        <v>80550.880000000005</v>
      </c>
      <c r="AB69">
        <f t="shared" si="4"/>
        <v>0.23712684649291019</v>
      </c>
      <c r="AC69">
        <f t="shared" si="5"/>
        <v>0</v>
      </c>
      <c r="AD69">
        <v>2024</v>
      </c>
      <c r="AE69">
        <v>11</v>
      </c>
      <c r="AF69" t="s">
        <v>128</v>
      </c>
      <c r="AG69" t="s">
        <v>129</v>
      </c>
    </row>
    <row r="70" spans="1:33">
      <c r="A70" t="s">
        <v>211</v>
      </c>
      <c r="B70">
        <v>45800</v>
      </c>
      <c r="C70">
        <v>45810</v>
      </c>
      <c r="D70" t="s">
        <v>23</v>
      </c>
      <c r="E70">
        <v>200</v>
      </c>
      <c r="F70">
        <v>1283.3599999999999</v>
      </c>
      <c r="G70">
        <v>2.17</v>
      </c>
      <c r="H70">
        <v>251102.22</v>
      </c>
      <c r="I70" t="s">
        <v>1728</v>
      </c>
      <c r="J70">
        <v>1109.53</v>
      </c>
      <c r="K70">
        <v>221906</v>
      </c>
      <c r="L70">
        <v>3929.82</v>
      </c>
      <c r="M70">
        <v>733.03</v>
      </c>
      <c r="N70">
        <v>3916.57</v>
      </c>
      <c r="O70">
        <v>230485.42</v>
      </c>
      <c r="P70">
        <v>29196.22</v>
      </c>
      <c r="Q70">
        <v>20616.8</v>
      </c>
      <c r="R70" t="s">
        <v>65</v>
      </c>
      <c r="S70">
        <v>251102.22</v>
      </c>
      <c r="T70">
        <v>0</v>
      </c>
      <c r="U70" t="s">
        <v>73</v>
      </c>
      <c r="V70" t="s">
        <v>16</v>
      </c>
      <c r="W70" t="s">
        <v>67</v>
      </c>
      <c r="X70" t="s">
        <v>193</v>
      </c>
      <c r="Y70" t="s">
        <v>30</v>
      </c>
      <c r="Z70">
        <v>0.56000000000000005</v>
      </c>
      <c r="AA70">
        <f t="shared" si="3"/>
        <v>20616.8</v>
      </c>
      <c r="AB70">
        <f t="shared" si="4"/>
        <v>8.2105207990594425E-2</v>
      </c>
      <c r="AC70">
        <f t="shared" si="5"/>
        <v>0</v>
      </c>
      <c r="AD70">
        <v>2025</v>
      </c>
      <c r="AE70">
        <v>5</v>
      </c>
      <c r="AF70" t="s">
        <v>76</v>
      </c>
      <c r="AG70" t="s">
        <v>94</v>
      </c>
    </row>
    <row r="71" spans="1:33">
      <c r="A71" t="s">
        <v>212</v>
      </c>
      <c r="B71">
        <v>45810</v>
      </c>
      <c r="C71">
        <v>45821</v>
      </c>
      <c r="D71" t="s">
        <v>25</v>
      </c>
      <c r="E71">
        <v>750</v>
      </c>
      <c r="F71">
        <v>1023.27</v>
      </c>
      <c r="G71">
        <v>3.62</v>
      </c>
      <c r="H71">
        <v>739670.72</v>
      </c>
      <c r="I71" t="s">
        <v>1726</v>
      </c>
      <c r="J71">
        <v>744.4</v>
      </c>
      <c r="K71">
        <v>558300</v>
      </c>
      <c r="L71">
        <v>7155.01</v>
      </c>
      <c r="M71">
        <v>4124.07</v>
      </c>
      <c r="N71">
        <v>8913.8799999999992</v>
      </c>
      <c r="O71">
        <v>578492.96</v>
      </c>
      <c r="P71">
        <v>181370.72</v>
      </c>
      <c r="Q71">
        <v>161177.76</v>
      </c>
      <c r="R71" t="s">
        <v>134</v>
      </c>
      <c r="S71">
        <v>0</v>
      </c>
      <c r="T71">
        <v>739670.72</v>
      </c>
      <c r="U71" t="s">
        <v>73</v>
      </c>
      <c r="V71" t="s">
        <v>16</v>
      </c>
      <c r="W71" t="s">
        <v>67</v>
      </c>
      <c r="X71" t="s">
        <v>123</v>
      </c>
      <c r="Y71" t="s">
        <v>22</v>
      </c>
      <c r="Z71">
        <v>1.36</v>
      </c>
      <c r="AA71">
        <f t="shared" si="3"/>
        <v>161177.76</v>
      </c>
      <c r="AB71">
        <f t="shared" si="4"/>
        <v>0.21790474550621663</v>
      </c>
      <c r="AC71">
        <f t="shared" si="5"/>
        <v>0</v>
      </c>
      <c r="AD71">
        <v>2025</v>
      </c>
      <c r="AE71">
        <v>6</v>
      </c>
      <c r="AF71" t="s">
        <v>111</v>
      </c>
      <c r="AG71" t="s">
        <v>112</v>
      </c>
    </row>
    <row r="72" spans="1:33">
      <c r="A72" t="s">
        <v>213</v>
      </c>
      <c r="B72">
        <v>45330</v>
      </c>
      <c r="C72">
        <v>45330</v>
      </c>
      <c r="D72" t="s">
        <v>23</v>
      </c>
      <c r="E72">
        <v>500</v>
      </c>
      <c r="F72">
        <v>1194</v>
      </c>
      <c r="G72">
        <v>2.21</v>
      </c>
      <c r="H72">
        <v>583806.30000000005</v>
      </c>
      <c r="I72" t="s">
        <v>1727</v>
      </c>
      <c r="J72">
        <v>1093.76</v>
      </c>
      <c r="K72">
        <v>546880</v>
      </c>
      <c r="L72">
        <v>8351.61</v>
      </c>
      <c r="M72">
        <v>2193.29</v>
      </c>
      <c r="N72">
        <v>7711.88</v>
      </c>
      <c r="O72">
        <v>565136.78</v>
      </c>
      <c r="P72">
        <v>36926.300000000003</v>
      </c>
      <c r="Q72">
        <v>18669.52</v>
      </c>
      <c r="R72" t="s">
        <v>65</v>
      </c>
      <c r="S72">
        <v>583806.30000000005</v>
      </c>
      <c r="T72">
        <v>0</v>
      </c>
      <c r="U72" t="s">
        <v>66</v>
      </c>
      <c r="V72" t="s">
        <v>6</v>
      </c>
      <c r="W72" t="s">
        <v>74</v>
      </c>
      <c r="X72" t="s">
        <v>182</v>
      </c>
      <c r="Y72" t="s">
        <v>26</v>
      </c>
      <c r="Z72">
        <v>1.41</v>
      </c>
      <c r="AA72">
        <f t="shared" si="3"/>
        <v>18669.52</v>
      </c>
      <c r="AB72">
        <f t="shared" si="4"/>
        <v>3.1978962885463889E-2</v>
      </c>
      <c r="AC72">
        <f t="shared" si="5"/>
        <v>0</v>
      </c>
      <c r="AD72">
        <v>2024</v>
      </c>
      <c r="AE72">
        <v>2</v>
      </c>
      <c r="AF72" t="s">
        <v>172</v>
      </c>
      <c r="AG72" t="s">
        <v>173</v>
      </c>
    </row>
    <row r="73" spans="1:33">
      <c r="A73" t="s">
        <v>214</v>
      </c>
      <c r="B73">
        <v>45319</v>
      </c>
      <c r="C73">
        <v>45326</v>
      </c>
      <c r="D73" t="s">
        <v>21</v>
      </c>
      <c r="E73">
        <v>150</v>
      </c>
      <c r="F73">
        <v>916.43</v>
      </c>
      <c r="G73">
        <v>1.83</v>
      </c>
      <c r="H73">
        <v>134948.9</v>
      </c>
      <c r="I73" t="s">
        <v>1726</v>
      </c>
      <c r="J73">
        <v>702.83</v>
      </c>
      <c r="K73">
        <v>105424.5</v>
      </c>
      <c r="L73">
        <v>1432.19</v>
      </c>
      <c r="M73">
        <v>344.69</v>
      </c>
      <c r="N73">
        <v>1941.66</v>
      </c>
      <c r="O73">
        <v>109143.03999999999</v>
      </c>
      <c r="P73">
        <v>29524.400000000001</v>
      </c>
      <c r="Q73">
        <v>25805.86</v>
      </c>
      <c r="R73" t="s">
        <v>65</v>
      </c>
      <c r="S73">
        <v>134948.9</v>
      </c>
      <c r="T73">
        <v>0</v>
      </c>
      <c r="U73" t="s">
        <v>66</v>
      </c>
      <c r="V73" t="s">
        <v>16</v>
      </c>
      <c r="W73" t="s">
        <v>74</v>
      </c>
      <c r="X73" t="s">
        <v>164</v>
      </c>
      <c r="Y73" t="s">
        <v>24</v>
      </c>
      <c r="Z73">
        <v>1.54</v>
      </c>
      <c r="AA73">
        <f t="shared" si="3"/>
        <v>25805.86</v>
      </c>
      <c r="AB73">
        <f t="shared" si="4"/>
        <v>0.19122690144195323</v>
      </c>
      <c r="AC73">
        <f t="shared" si="5"/>
        <v>0</v>
      </c>
      <c r="AD73">
        <v>2024</v>
      </c>
      <c r="AE73">
        <v>1</v>
      </c>
      <c r="AF73" t="s">
        <v>102</v>
      </c>
      <c r="AG73" t="s">
        <v>103</v>
      </c>
    </row>
    <row r="74" spans="1:33">
      <c r="A74" t="s">
        <v>215</v>
      </c>
      <c r="B74">
        <v>45876</v>
      </c>
      <c r="C74">
        <v>45884</v>
      </c>
      <c r="D74" t="s">
        <v>25</v>
      </c>
      <c r="E74">
        <v>250</v>
      </c>
      <c r="F74">
        <v>967.66</v>
      </c>
      <c r="G74">
        <v>1.92</v>
      </c>
      <c r="H74">
        <v>237270.23</v>
      </c>
      <c r="I74" t="s">
        <v>1728</v>
      </c>
      <c r="J74">
        <v>725.21</v>
      </c>
      <c r="K74">
        <v>181302.5</v>
      </c>
      <c r="L74">
        <v>4004.88</v>
      </c>
      <c r="M74">
        <v>389.95</v>
      </c>
      <c r="N74">
        <v>1636.43</v>
      </c>
      <c r="O74">
        <v>187333.76000000001</v>
      </c>
      <c r="P74">
        <v>55967.73</v>
      </c>
      <c r="Q74">
        <v>49936.47</v>
      </c>
      <c r="R74" t="s">
        <v>65</v>
      </c>
      <c r="S74">
        <v>237270.23</v>
      </c>
      <c r="T74">
        <v>0</v>
      </c>
      <c r="U74" t="s">
        <v>73</v>
      </c>
      <c r="V74" t="s">
        <v>8</v>
      </c>
      <c r="W74" t="s">
        <v>141</v>
      </c>
      <c r="X74" t="s">
        <v>115</v>
      </c>
      <c r="Y74" t="s">
        <v>22</v>
      </c>
      <c r="Z74">
        <v>1.71</v>
      </c>
      <c r="AA74">
        <f t="shared" si="3"/>
        <v>49936.47</v>
      </c>
      <c r="AB74">
        <f t="shared" si="4"/>
        <v>0.21046243348775781</v>
      </c>
      <c r="AC74">
        <f t="shared" si="5"/>
        <v>0</v>
      </c>
      <c r="AD74">
        <v>2025</v>
      </c>
      <c r="AE74">
        <v>8</v>
      </c>
      <c r="AF74" t="s">
        <v>82</v>
      </c>
      <c r="AG74" t="s">
        <v>87</v>
      </c>
    </row>
    <row r="75" spans="1:33">
      <c r="A75" t="s">
        <v>216</v>
      </c>
      <c r="B75">
        <v>45492</v>
      </c>
      <c r="C75">
        <v>45497</v>
      </c>
      <c r="D75" t="s">
        <v>21</v>
      </c>
      <c r="E75">
        <v>50</v>
      </c>
      <c r="F75">
        <v>883.84</v>
      </c>
      <c r="G75">
        <v>1.67</v>
      </c>
      <c r="H75">
        <v>43453.99</v>
      </c>
      <c r="I75" t="s">
        <v>1727</v>
      </c>
      <c r="J75">
        <v>656.05</v>
      </c>
      <c r="K75">
        <v>32802.5</v>
      </c>
      <c r="L75">
        <v>994.52</v>
      </c>
      <c r="M75">
        <v>98.22</v>
      </c>
      <c r="N75">
        <v>4570.71</v>
      </c>
      <c r="O75">
        <v>38465.949999999997</v>
      </c>
      <c r="P75">
        <v>10651.49</v>
      </c>
      <c r="Q75">
        <v>4988.04</v>
      </c>
      <c r="R75" t="s">
        <v>134</v>
      </c>
      <c r="S75">
        <v>0</v>
      </c>
      <c r="T75">
        <v>43453.99</v>
      </c>
      <c r="U75" t="s">
        <v>66</v>
      </c>
      <c r="V75" t="s">
        <v>6</v>
      </c>
      <c r="W75" t="s">
        <v>74</v>
      </c>
      <c r="X75" t="s">
        <v>115</v>
      </c>
      <c r="Y75" t="s">
        <v>22</v>
      </c>
      <c r="Z75">
        <v>1.03</v>
      </c>
      <c r="AA75">
        <f t="shared" si="3"/>
        <v>4988.04</v>
      </c>
      <c r="AB75">
        <f t="shared" si="4"/>
        <v>0.11478899866272349</v>
      </c>
      <c r="AC75">
        <f t="shared" si="5"/>
        <v>0</v>
      </c>
      <c r="AD75">
        <v>2024</v>
      </c>
      <c r="AE75">
        <v>7</v>
      </c>
      <c r="AF75" t="s">
        <v>69</v>
      </c>
      <c r="AG75" t="s">
        <v>70</v>
      </c>
    </row>
    <row r="76" spans="1:33">
      <c r="A76" t="s">
        <v>217</v>
      </c>
      <c r="B76">
        <v>45949</v>
      </c>
      <c r="C76">
        <v>45954</v>
      </c>
      <c r="D76" t="s">
        <v>23</v>
      </c>
      <c r="E76">
        <v>300</v>
      </c>
      <c r="F76">
        <v>1250.24</v>
      </c>
      <c r="G76">
        <v>1.35</v>
      </c>
      <c r="H76">
        <v>370008.53</v>
      </c>
      <c r="I76" t="s">
        <v>1729</v>
      </c>
      <c r="J76">
        <v>1089.94</v>
      </c>
      <c r="K76">
        <v>326982</v>
      </c>
      <c r="L76">
        <v>2337.23</v>
      </c>
      <c r="M76">
        <v>1178.94</v>
      </c>
      <c r="N76">
        <v>2067.3000000000002</v>
      </c>
      <c r="O76">
        <v>332565.46999999997</v>
      </c>
      <c r="P76">
        <v>43026.53</v>
      </c>
      <c r="Q76">
        <v>37443.06</v>
      </c>
      <c r="R76" t="s">
        <v>65</v>
      </c>
      <c r="S76">
        <v>370008.53</v>
      </c>
      <c r="T76">
        <v>0</v>
      </c>
      <c r="U76" t="s">
        <v>66</v>
      </c>
      <c r="V76" t="s">
        <v>12</v>
      </c>
      <c r="W76" t="s">
        <v>80</v>
      </c>
      <c r="X76" t="s">
        <v>75</v>
      </c>
      <c r="Y76" t="s">
        <v>28</v>
      </c>
      <c r="Z76">
        <v>1.31</v>
      </c>
      <c r="AA76">
        <f t="shared" si="3"/>
        <v>37443.06</v>
      </c>
      <c r="AB76">
        <f t="shared" si="4"/>
        <v>0.10119512650154307</v>
      </c>
      <c r="AC76">
        <f t="shared" si="5"/>
        <v>0</v>
      </c>
      <c r="AD76">
        <v>2025</v>
      </c>
      <c r="AE76">
        <v>10</v>
      </c>
      <c r="AF76" t="s">
        <v>138</v>
      </c>
      <c r="AG76" t="s">
        <v>160</v>
      </c>
    </row>
    <row r="77" spans="1:33">
      <c r="A77" t="s">
        <v>218</v>
      </c>
      <c r="B77">
        <v>45531</v>
      </c>
      <c r="C77">
        <v>45544</v>
      </c>
      <c r="D77" t="s">
        <v>21</v>
      </c>
      <c r="E77">
        <v>300</v>
      </c>
      <c r="F77">
        <v>855.72</v>
      </c>
      <c r="G77">
        <v>0.54</v>
      </c>
      <c r="H77">
        <v>255329.73</v>
      </c>
      <c r="I77" t="s">
        <v>1726</v>
      </c>
      <c r="J77">
        <v>652.02</v>
      </c>
      <c r="K77">
        <v>195606</v>
      </c>
      <c r="L77">
        <v>7183.02</v>
      </c>
      <c r="M77">
        <v>1496.34</v>
      </c>
      <c r="N77">
        <v>8494.19</v>
      </c>
      <c r="O77">
        <v>212779.55</v>
      </c>
      <c r="P77">
        <v>59723.73</v>
      </c>
      <c r="Q77">
        <v>42550.18</v>
      </c>
      <c r="R77" t="s">
        <v>134</v>
      </c>
      <c r="S77">
        <v>0</v>
      </c>
      <c r="T77">
        <v>255329.73</v>
      </c>
      <c r="U77" t="s">
        <v>66</v>
      </c>
      <c r="V77" t="s">
        <v>14</v>
      </c>
      <c r="W77" t="s">
        <v>92</v>
      </c>
      <c r="X77" t="s">
        <v>123</v>
      </c>
      <c r="Y77" t="s">
        <v>22</v>
      </c>
      <c r="Z77">
        <v>1.31</v>
      </c>
      <c r="AA77">
        <f t="shared" si="3"/>
        <v>42550.18</v>
      </c>
      <c r="AB77">
        <f t="shared" si="4"/>
        <v>0.16664796535836229</v>
      </c>
      <c r="AC77">
        <f t="shared" si="5"/>
        <v>0</v>
      </c>
      <c r="AD77">
        <v>2024</v>
      </c>
      <c r="AE77">
        <v>8</v>
      </c>
      <c r="AF77" t="s">
        <v>82</v>
      </c>
      <c r="AG77" t="s">
        <v>83</v>
      </c>
    </row>
    <row r="78" spans="1:33">
      <c r="A78" t="s">
        <v>219</v>
      </c>
      <c r="B78">
        <v>45817</v>
      </c>
      <c r="C78">
        <v>45821</v>
      </c>
      <c r="D78" t="s">
        <v>21</v>
      </c>
      <c r="E78">
        <v>1000</v>
      </c>
      <c r="F78">
        <v>907.22</v>
      </c>
      <c r="G78">
        <v>4.1900000000000004</v>
      </c>
      <c r="H78">
        <v>869207.48</v>
      </c>
      <c r="I78" t="s">
        <v>1727</v>
      </c>
      <c r="J78">
        <v>726.66</v>
      </c>
      <c r="K78">
        <v>726660</v>
      </c>
      <c r="L78">
        <v>13571.57</v>
      </c>
      <c r="M78">
        <v>2934.62</v>
      </c>
      <c r="N78">
        <v>6019.06</v>
      </c>
      <c r="O78">
        <v>749185.25</v>
      </c>
      <c r="P78">
        <v>142547.48000000001</v>
      </c>
      <c r="Q78">
        <v>120022.23</v>
      </c>
      <c r="R78" t="s">
        <v>65</v>
      </c>
      <c r="S78">
        <v>869207.48</v>
      </c>
      <c r="T78">
        <v>0</v>
      </c>
      <c r="U78" t="s">
        <v>73</v>
      </c>
      <c r="V78" t="s">
        <v>6</v>
      </c>
      <c r="W78" t="s">
        <v>80</v>
      </c>
      <c r="X78" t="s">
        <v>142</v>
      </c>
      <c r="Y78" t="s">
        <v>28</v>
      </c>
      <c r="Z78">
        <v>1.81</v>
      </c>
      <c r="AA78">
        <f t="shared" si="3"/>
        <v>120022.23</v>
      </c>
      <c r="AB78">
        <f t="shared" si="4"/>
        <v>0.13808237131139275</v>
      </c>
      <c r="AC78">
        <f t="shared" si="5"/>
        <v>0</v>
      </c>
      <c r="AD78">
        <v>2025</v>
      </c>
      <c r="AE78">
        <v>6</v>
      </c>
      <c r="AF78" t="s">
        <v>111</v>
      </c>
      <c r="AG78" t="s">
        <v>112</v>
      </c>
    </row>
    <row r="79" spans="1:33">
      <c r="A79" t="s">
        <v>220</v>
      </c>
      <c r="B79">
        <v>45545</v>
      </c>
      <c r="C79">
        <v>45545</v>
      </c>
      <c r="D79" t="s">
        <v>21</v>
      </c>
      <c r="E79">
        <v>150</v>
      </c>
      <c r="F79">
        <v>939.16</v>
      </c>
      <c r="G79">
        <v>0.81</v>
      </c>
      <c r="H79">
        <v>139732.92000000001</v>
      </c>
      <c r="I79" t="s">
        <v>1726</v>
      </c>
      <c r="J79">
        <v>684.27</v>
      </c>
      <c r="K79">
        <v>102640.5</v>
      </c>
      <c r="L79">
        <v>3310.37</v>
      </c>
      <c r="M79">
        <v>508.11</v>
      </c>
      <c r="N79">
        <v>5921.3</v>
      </c>
      <c r="O79">
        <v>112380.28</v>
      </c>
      <c r="P79">
        <v>37092.42</v>
      </c>
      <c r="Q79">
        <v>27352.639999999999</v>
      </c>
      <c r="R79" t="s">
        <v>65</v>
      </c>
      <c r="S79">
        <v>139732.92000000001</v>
      </c>
      <c r="T79">
        <v>0</v>
      </c>
      <c r="U79" t="s">
        <v>66</v>
      </c>
      <c r="V79" t="s">
        <v>6</v>
      </c>
      <c r="W79" t="s">
        <v>141</v>
      </c>
      <c r="X79" t="s">
        <v>182</v>
      </c>
      <c r="Y79" t="s">
        <v>26</v>
      </c>
      <c r="Z79">
        <v>0.2</v>
      </c>
      <c r="AA79">
        <f t="shared" si="3"/>
        <v>27352.639999999999</v>
      </c>
      <c r="AB79">
        <f t="shared" si="4"/>
        <v>0.19574943399164632</v>
      </c>
      <c r="AC79">
        <f t="shared" si="5"/>
        <v>0</v>
      </c>
      <c r="AD79">
        <v>2024</v>
      </c>
      <c r="AE79">
        <v>9</v>
      </c>
      <c r="AF79" t="s">
        <v>131</v>
      </c>
      <c r="AG79" t="s">
        <v>188</v>
      </c>
    </row>
    <row r="80" spans="1:33">
      <c r="A80" t="s">
        <v>221</v>
      </c>
      <c r="B80">
        <v>45720</v>
      </c>
      <c r="D80" t="s">
        <v>21</v>
      </c>
      <c r="E80">
        <v>150</v>
      </c>
      <c r="F80">
        <v>922.46</v>
      </c>
      <c r="G80">
        <v>1.86</v>
      </c>
      <c r="H80">
        <v>0</v>
      </c>
      <c r="I80" t="s">
        <v>1727</v>
      </c>
      <c r="J80">
        <v>696.46</v>
      </c>
      <c r="K80">
        <v>0</v>
      </c>
      <c r="L80">
        <v>0</v>
      </c>
      <c r="M80">
        <v>0</v>
      </c>
      <c r="N80">
        <v>0</v>
      </c>
      <c r="O80">
        <v>0</v>
      </c>
      <c r="P80">
        <v>0</v>
      </c>
      <c r="Q80">
        <v>0</v>
      </c>
      <c r="R80" t="s">
        <v>65</v>
      </c>
      <c r="S80">
        <v>0</v>
      </c>
      <c r="T80">
        <v>0</v>
      </c>
      <c r="U80" t="s">
        <v>117</v>
      </c>
      <c r="V80" t="s">
        <v>10</v>
      </c>
      <c r="W80" t="s">
        <v>80</v>
      </c>
      <c r="X80" t="s">
        <v>147</v>
      </c>
      <c r="Y80" t="s">
        <v>28</v>
      </c>
      <c r="Z80">
        <v>2.16</v>
      </c>
      <c r="AA80">
        <f t="shared" si="3"/>
        <v>0</v>
      </c>
      <c r="AB80" t="e">
        <f t="shared" si="4"/>
        <v>#DIV/0!</v>
      </c>
      <c r="AC80">
        <f t="shared" si="5"/>
        <v>0</v>
      </c>
      <c r="AD80">
        <v>2025</v>
      </c>
      <c r="AE80">
        <v>3</v>
      </c>
      <c r="AF80" t="s">
        <v>105</v>
      </c>
      <c r="AG80" t="s">
        <v>106</v>
      </c>
    </row>
    <row r="81" spans="1:33">
      <c r="A81" t="s">
        <v>222</v>
      </c>
      <c r="B81">
        <v>46012</v>
      </c>
      <c r="D81" t="s">
        <v>27</v>
      </c>
      <c r="E81">
        <v>1000</v>
      </c>
      <c r="F81">
        <v>762.7</v>
      </c>
      <c r="G81">
        <v>2.89</v>
      </c>
      <c r="H81">
        <v>740657.97</v>
      </c>
      <c r="I81" t="s">
        <v>1728</v>
      </c>
      <c r="J81">
        <v>547.77</v>
      </c>
      <c r="K81">
        <v>547770</v>
      </c>
      <c r="L81">
        <v>7053.38</v>
      </c>
      <c r="M81">
        <v>2195.81</v>
      </c>
      <c r="N81">
        <v>6489.59</v>
      </c>
      <c r="O81">
        <v>563508.78</v>
      </c>
      <c r="P81">
        <v>192887.97</v>
      </c>
      <c r="Q81">
        <v>177149.19</v>
      </c>
      <c r="R81" t="s">
        <v>65</v>
      </c>
      <c r="S81">
        <v>740657.97</v>
      </c>
      <c r="T81">
        <v>0</v>
      </c>
      <c r="U81" t="s">
        <v>91</v>
      </c>
      <c r="V81" t="s">
        <v>12</v>
      </c>
      <c r="W81" t="s">
        <v>74</v>
      </c>
      <c r="X81" t="s">
        <v>81</v>
      </c>
      <c r="Y81" t="s">
        <v>24</v>
      </c>
      <c r="Z81">
        <v>0.5</v>
      </c>
      <c r="AA81">
        <f t="shared" si="3"/>
        <v>177149.19</v>
      </c>
      <c r="AB81">
        <f t="shared" si="4"/>
        <v>0.23917813238410168</v>
      </c>
      <c r="AC81">
        <f t="shared" si="5"/>
        <v>0</v>
      </c>
      <c r="AD81">
        <v>2025</v>
      </c>
      <c r="AE81">
        <v>12</v>
      </c>
      <c r="AF81" t="s">
        <v>98</v>
      </c>
      <c r="AG81" t="s">
        <v>168</v>
      </c>
    </row>
    <row r="82" spans="1:33">
      <c r="A82" t="s">
        <v>223</v>
      </c>
      <c r="B82">
        <v>45445</v>
      </c>
      <c r="C82">
        <v>45451</v>
      </c>
      <c r="D82" t="s">
        <v>25</v>
      </c>
      <c r="E82">
        <v>100</v>
      </c>
      <c r="F82">
        <v>972.56</v>
      </c>
      <c r="G82">
        <v>2.1</v>
      </c>
      <c r="H82">
        <v>95213.62</v>
      </c>
      <c r="I82" t="s">
        <v>1726</v>
      </c>
      <c r="J82">
        <v>820.18</v>
      </c>
      <c r="K82">
        <v>82018</v>
      </c>
      <c r="L82">
        <v>1822.4</v>
      </c>
      <c r="M82">
        <v>209.82</v>
      </c>
      <c r="N82">
        <v>9694.56</v>
      </c>
      <c r="O82">
        <v>93744.78</v>
      </c>
      <c r="P82">
        <v>13195.62</v>
      </c>
      <c r="Q82">
        <v>1468.84</v>
      </c>
      <c r="R82" t="s">
        <v>65</v>
      </c>
      <c r="S82">
        <v>95213.62</v>
      </c>
      <c r="T82">
        <v>0</v>
      </c>
      <c r="U82" t="s">
        <v>66</v>
      </c>
      <c r="V82" t="s">
        <v>6</v>
      </c>
      <c r="W82" t="s">
        <v>74</v>
      </c>
      <c r="X82" t="s">
        <v>224</v>
      </c>
      <c r="Y82" t="s">
        <v>31</v>
      </c>
      <c r="Z82">
        <v>0.46</v>
      </c>
      <c r="AA82">
        <f t="shared" si="3"/>
        <v>1468.84</v>
      </c>
      <c r="AB82">
        <f t="shared" si="4"/>
        <v>1.5426784529356198E-2</v>
      </c>
      <c r="AC82">
        <f t="shared" si="5"/>
        <v>0</v>
      </c>
      <c r="AD82">
        <v>2024</v>
      </c>
      <c r="AE82">
        <v>6</v>
      </c>
      <c r="AF82" t="s">
        <v>111</v>
      </c>
      <c r="AG82" t="s">
        <v>148</v>
      </c>
    </row>
    <row r="83" spans="1:33">
      <c r="A83" t="s">
        <v>225</v>
      </c>
      <c r="B83">
        <v>45418</v>
      </c>
      <c r="C83">
        <v>45425</v>
      </c>
      <c r="D83" t="s">
        <v>21</v>
      </c>
      <c r="E83">
        <v>750</v>
      </c>
      <c r="F83">
        <v>902.34</v>
      </c>
      <c r="G83">
        <v>2.64</v>
      </c>
      <c r="H83">
        <v>658888.67000000004</v>
      </c>
      <c r="I83" t="s">
        <v>1726</v>
      </c>
      <c r="J83">
        <v>658.25</v>
      </c>
      <c r="K83">
        <v>493687.5</v>
      </c>
      <c r="L83">
        <v>5589.68</v>
      </c>
      <c r="M83">
        <v>2190.4</v>
      </c>
      <c r="N83">
        <v>10682.45</v>
      </c>
      <c r="O83">
        <v>512150.03</v>
      </c>
      <c r="P83">
        <v>165201.17000000001</v>
      </c>
      <c r="Q83">
        <v>146738.64000000001</v>
      </c>
      <c r="R83" t="s">
        <v>65</v>
      </c>
      <c r="S83">
        <v>658888.67000000004</v>
      </c>
      <c r="T83">
        <v>0</v>
      </c>
      <c r="U83" t="s">
        <v>66</v>
      </c>
      <c r="V83" t="s">
        <v>8</v>
      </c>
      <c r="W83" t="s">
        <v>67</v>
      </c>
      <c r="X83" t="s">
        <v>108</v>
      </c>
      <c r="Y83" t="s">
        <v>22</v>
      </c>
      <c r="Z83">
        <v>1.48</v>
      </c>
      <c r="AA83">
        <f t="shared" si="3"/>
        <v>146738.64000000001</v>
      </c>
      <c r="AB83">
        <f t="shared" si="4"/>
        <v>0.22270627297324752</v>
      </c>
      <c r="AC83">
        <f t="shared" si="5"/>
        <v>0</v>
      </c>
      <c r="AD83">
        <v>2024</v>
      </c>
      <c r="AE83">
        <v>5</v>
      </c>
      <c r="AF83" t="s">
        <v>76</v>
      </c>
      <c r="AG83" t="s">
        <v>77</v>
      </c>
    </row>
    <row r="84" spans="1:33">
      <c r="A84" t="s">
        <v>226</v>
      </c>
      <c r="B84">
        <v>45472</v>
      </c>
      <c r="C84">
        <v>45477</v>
      </c>
      <c r="D84" t="s">
        <v>21</v>
      </c>
      <c r="E84">
        <v>150</v>
      </c>
      <c r="F84">
        <v>906.62</v>
      </c>
      <c r="G84">
        <v>1.45</v>
      </c>
      <c r="H84">
        <v>134021.1</v>
      </c>
      <c r="I84" t="s">
        <v>1729</v>
      </c>
      <c r="J84">
        <v>676.95</v>
      </c>
      <c r="K84">
        <v>101542.5</v>
      </c>
      <c r="L84">
        <v>1930.38</v>
      </c>
      <c r="M84">
        <v>377</v>
      </c>
      <c r="N84">
        <v>333.45</v>
      </c>
      <c r="O84">
        <v>104183.33</v>
      </c>
      <c r="P84">
        <v>32478.6</v>
      </c>
      <c r="Q84">
        <v>29837.77</v>
      </c>
      <c r="R84" t="s">
        <v>65</v>
      </c>
      <c r="S84">
        <v>134021.1</v>
      </c>
      <c r="T84">
        <v>0</v>
      </c>
      <c r="U84" t="s">
        <v>66</v>
      </c>
      <c r="V84" t="s">
        <v>8</v>
      </c>
      <c r="W84" t="s">
        <v>80</v>
      </c>
      <c r="X84" t="s">
        <v>145</v>
      </c>
      <c r="Y84" t="s">
        <v>30</v>
      </c>
      <c r="Z84">
        <v>1.9</v>
      </c>
      <c r="AA84">
        <f t="shared" si="3"/>
        <v>29837.77</v>
      </c>
      <c r="AB84">
        <f t="shared" si="4"/>
        <v>0.22263486868858709</v>
      </c>
      <c r="AC84">
        <f t="shared" si="5"/>
        <v>0</v>
      </c>
      <c r="AD84">
        <v>2024</v>
      </c>
      <c r="AE84">
        <v>6</v>
      </c>
      <c r="AF84" t="s">
        <v>111</v>
      </c>
      <c r="AG84" t="s">
        <v>148</v>
      </c>
    </row>
    <row r="85" spans="1:33">
      <c r="A85" t="s">
        <v>227</v>
      </c>
      <c r="B85">
        <v>45483</v>
      </c>
      <c r="C85">
        <v>45488</v>
      </c>
      <c r="D85" t="s">
        <v>25</v>
      </c>
      <c r="E85">
        <v>250</v>
      </c>
      <c r="F85">
        <v>891.93</v>
      </c>
      <c r="G85">
        <v>0.93</v>
      </c>
      <c r="H85">
        <v>220908.76</v>
      </c>
      <c r="I85" t="s">
        <v>1727</v>
      </c>
      <c r="J85">
        <v>784.61</v>
      </c>
      <c r="K85">
        <v>196152.5</v>
      </c>
      <c r="L85">
        <v>3284.53</v>
      </c>
      <c r="M85">
        <v>941.77</v>
      </c>
      <c r="N85">
        <v>6219.18</v>
      </c>
      <c r="O85">
        <v>206597.98</v>
      </c>
      <c r="P85">
        <v>24756.26</v>
      </c>
      <c r="Q85">
        <v>14310.78</v>
      </c>
      <c r="R85" t="s">
        <v>65</v>
      </c>
      <c r="S85">
        <v>220908.76</v>
      </c>
      <c r="T85">
        <v>0</v>
      </c>
      <c r="U85" t="s">
        <v>73</v>
      </c>
      <c r="V85" t="s">
        <v>12</v>
      </c>
      <c r="W85" t="s">
        <v>92</v>
      </c>
      <c r="X85" t="s">
        <v>125</v>
      </c>
      <c r="Y85" t="s">
        <v>24</v>
      </c>
      <c r="Z85">
        <v>1.59</v>
      </c>
      <c r="AA85">
        <f t="shared" si="3"/>
        <v>14310.78</v>
      </c>
      <c r="AB85">
        <f t="shared" si="4"/>
        <v>6.4781405680788759E-2</v>
      </c>
      <c r="AC85">
        <f t="shared" si="5"/>
        <v>0</v>
      </c>
      <c r="AD85">
        <v>2024</v>
      </c>
      <c r="AE85">
        <v>7</v>
      </c>
      <c r="AF85" t="s">
        <v>69</v>
      </c>
      <c r="AG85" t="s">
        <v>70</v>
      </c>
    </row>
    <row r="86" spans="1:33">
      <c r="A86" t="s">
        <v>228</v>
      </c>
      <c r="B86">
        <v>45629</v>
      </c>
      <c r="C86">
        <v>45642</v>
      </c>
      <c r="D86" t="s">
        <v>23</v>
      </c>
      <c r="E86">
        <v>200</v>
      </c>
      <c r="F86">
        <v>1312.61</v>
      </c>
      <c r="G86">
        <v>1.58</v>
      </c>
      <c r="H86">
        <v>258374.15</v>
      </c>
      <c r="I86" t="s">
        <v>1727</v>
      </c>
      <c r="J86">
        <v>1021.12</v>
      </c>
      <c r="K86">
        <v>204224</v>
      </c>
      <c r="L86">
        <v>3632.63</v>
      </c>
      <c r="M86">
        <v>1146.05</v>
      </c>
      <c r="N86">
        <v>6901.68</v>
      </c>
      <c r="O86">
        <v>215904.36</v>
      </c>
      <c r="P86">
        <v>54150.15</v>
      </c>
      <c r="Q86">
        <v>42469.79</v>
      </c>
      <c r="R86" t="s">
        <v>65</v>
      </c>
      <c r="S86">
        <v>258374.15</v>
      </c>
      <c r="T86">
        <v>0</v>
      </c>
      <c r="U86" t="s">
        <v>66</v>
      </c>
      <c r="V86" t="s">
        <v>6</v>
      </c>
      <c r="W86" t="s">
        <v>67</v>
      </c>
      <c r="X86" t="s">
        <v>75</v>
      </c>
      <c r="Y86" t="s">
        <v>28</v>
      </c>
      <c r="Z86">
        <v>2.04</v>
      </c>
      <c r="AA86">
        <f t="shared" si="3"/>
        <v>42469.79</v>
      </c>
      <c r="AB86">
        <f t="shared" si="4"/>
        <v>0.16437321612862588</v>
      </c>
      <c r="AC86">
        <f t="shared" si="5"/>
        <v>0</v>
      </c>
      <c r="AD86">
        <v>2024</v>
      </c>
      <c r="AE86">
        <v>12</v>
      </c>
      <c r="AF86" t="s">
        <v>98</v>
      </c>
      <c r="AG86" t="s">
        <v>99</v>
      </c>
    </row>
    <row r="87" spans="1:33">
      <c r="A87" t="s">
        <v>229</v>
      </c>
      <c r="B87">
        <v>45629</v>
      </c>
      <c r="C87">
        <v>45643</v>
      </c>
      <c r="D87" t="s">
        <v>21</v>
      </c>
      <c r="E87">
        <v>50</v>
      </c>
      <c r="F87">
        <v>972.01</v>
      </c>
      <c r="G87">
        <v>0.71</v>
      </c>
      <c r="H87">
        <v>48255.44</v>
      </c>
      <c r="I87" t="s">
        <v>1728</v>
      </c>
      <c r="J87">
        <v>696.05</v>
      </c>
      <c r="K87">
        <v>34802.5</v>
      </c>
      <c r="L87">
        <v>891.64</v>
      </c>
      <c r="M87">
        <v>285.26</v>
      </c>
      <c r="N87">
        <v>8058.19</v>
      </c>
      <c r="O87">
        <v>44037.59</v>
      </c>
      <c r="P87">
        <v>13452.94</v>
      </c>
      <c r="Q87">
        <v>4217.8500000000004</v>
      </c>
      <c r="R87" t="s">
        <v>65</v>
      </c>
      <c r="S87">
        <v>48255.44</v>
      </c>
      <c r="T87">
        <v>0</v>
      </c>
      <c r="U87" t="s">
        <v>66</v>
      </c>
      <c r="V87" t="s">
        <v>12</v>
      </c>
      <c r="W87" t="s">
        <v>80</v>
      </c>
      <c r="X87" t="s">
        <v>230</v>
      </c>
      <c r="Y87" t="s">
        <v>31</v>
      </c>
      <c r="Z87">
        <v>2.0299999999999998</v>
      </c>
      <c r="AA87">
        <f t="shared" si="3"/>
        <v>4217.8500000000004</v>
      </c>
      <c r="AB87">
        <f t="shared" si="4"/>
        <v>8.7406725542239383E-2</v>
      </c>
      <c r="AC87">
        <f t="shared" si="5"/>
        <v>0</v>
      </c>
      <c r="AD87">
        <v>2024</v>
      </c>
      <c r="AE87">
        <v>12</v>
      </c>
      <c r="AF87" t="s">
        <v>98</v>
      </c>
      <c r="AG87" t="s">
        <v>99</v>
      </c>
    </row>
    <row r="88" spans="1:33">
      <c r="A88" t="s">
        <v>231</v>
      </c>
      <c r="B88">
        <v>45280</v>
      </c>
      <c r="C88">
        <v>45294</v>
      </c>
      <c r="D88" t="s">
        <v>23</v>
      </c>
      <c r="E88">
        <v>100</v>
      </c>
      <c r="F88">
        <v>1264.03</v>
      </c>
      <c r="G88">
        <v>0.33</v>
      </c>
      <c r="H88">
        <v>125985.87</v>
      </c>
      <c r="I88" t="s">
        <v>1726</v>
      </c>
      <c r="J88">
        <v>1105.95</v>
      </c>
      <c r="K88">
        <v>110595</v>
      </c>
      <c r="L88">
        <v>1978.58</v>
      </c>
      <c r="M88">
        <v>443.17</v>
      </c>
      <c r="N88">
        <v>4095.59</v>
      </c>
      <c r="O88">
        <v>117112.34</v>
      </c>
      <c r="P88">
        <v>15390.87</v>
      </c>
      <c r="Q88">
        <v>8873.5300000000007</v>
      </c>
      <c r="R88" t="s">
        <v>65</v>
      </c>
      <c r="S88">
        <v>125985.87</v>
      </c>
      <c r="T88">
        <v>0</v>
      </c>
      <c r="U88" t="s">
        <v>73</v>
      </c>
      <c r="V88" t="s">
        <v>14</v>
      </c>
      <c r="W88" t="s">
        <v>80</v>
      </c>
      <c r="X88" t="s">
        <v>230</v>
      </c>
      <c r="Y88" t="s">
        <v>31</v>
      </c>
      <c r="Z88">
        <v>1.97</v>
      </c>
      <c r="AA88">
        <f t="shared" si="3"/>
        <v>8873.5300000000007</v>
      </c>
      <c r="AB88">
        <f t="shared" si="4"/>
        <v>7.043273979851869E-2</v>
      </c>
      <c r="AC88">
        <f t="shared" si="5"/>
        <v>0</v>
      </c>
      <c r="AD88">
        <v>2023</v>
      </c>
      <c r="AE88">
        <v>12</v>
      </c>
      <c r="AF88" t="s">
        <v>98</v>
      </c>
      <c r="AG88" t="s">
        <v>232</v>
      </c>
    </row>
    <row r="89" spans="1:33">
      <c r="A89" t="s">
        <v>233</v>
      </c>
      <c r="B89">
        <v>45731</v>
      </c>
      <c r="C89">
        <v>45731</v>
      </c>
      <c r="D89" t="s">
        <v>21</v>
      </c>
      <c r="E89">
        <v>100</v>
      </c>
      <c r="F89">
        <v>920.67</v>
      </c>
      <c r="G89">
        <v>1.76</v>
      </c>
      <c r="H89">
        <v>90446.62</v>
      </c>
      <c r="I89" t="s">
        <v>1727</v>
      </c>
      <c r="J89">
        <v>750.52</v>
      </c>
      <c r="K89">
        <v>75052</v>
      </c>
      <c r="L89">
        <v>1361.36</v>
      </c>
      <c r="M89">
        <v>575.16999999999996</v>
      </c>
      <c r="N89">
        <v>6606.02</v>
      </c>
      <c r="O89">
        <v>83594.55</v>
      </c>
      <c r="P89">
        <v>15394.62</v>
      </c>
      <c r="Q89">
        <v>6852.07</v>
      </c>
      <c r="R89" t="s">
        <v>65</v>
      </c>
      <c r="S89">
        <v>90446.62</v>
      </c>
      <c r="T89">
        <v>0</v>
      </c>
      <c r="U89" t="s">
        <v>66</v>
      </c>
      <c r="V89" t="s">
        <v>10</v>
      </c>
      <c r="W89" t="s">
        <v>74</v>
      </c>
      <c r="X89" t="s">
        <v>97</v>
      </c>
      <c r="Y89" t="s">
        <v>24</v>
      </c>
      <c r="Z89">
        <v>1.89</v>
      </c>
      <c r="AA89">
        <f t="shared" si="3"/>
        <v>6852.07</v>
      </c>
      <c r="AB89">
        <f t="shared" si="4"/>
        <v>7.5758165423981574E-2</v>
      </c>
      <c r="AC89">
        <f t="shared" si="5"/>
        <v>0</v>
      </c>
      <c r="AD89">
        <v>2025</v>
      </c>
      <c r="AE89">
        <v>3</v>
      </c>
      <c r="AF89" t="s">
        <v>105</v>
      </c>
      <c r="AG89" t="s">
        <v>106</v>
      </c>
    </row>
    <row r="90" spans="1:33">
      <c r="A90" t="s">
        <v>234</v>
      </c>
      <c r="B90">
        <v>45824</v>
      </c>
      <c r="C90">
        <v>45834</v>
      </c>
      <c r="D90" t="s">
        <v>21</v>
      </c>
      <c r="E90">
        <v>750</v>
      </c>
      <c r="F90">
        <v>829.07</v>
      </c>
      <c r="G90">
        <v>1.3</v>
      </c>
      <c r="H90">
        <v>613719.06999999995</v>
      </c>
      <c r="I90" t="s">
        <v>1727</v>
      </c>
      <c r="J90">
        <v>700.38</v>
      </c>
      <c r="K90">
        <v>525285</v>
      </c>
      <c r="L90">
        <v>17303.03</v>
      </c>
      <c r="M90">
        <v>2425.08</v>
      </c>
      <c r="N90">
        <v>11242.67</v>
      </c>
      <c r="O90">
        <v>556255.78</v>
      </c>
      <c r="P90">
        <v>88434.07</v>
      </c>
      <c r="Q90">
        <v>57463.29</v>
      </c>
      <c r="R90" t="s">
        <v>65</v>
      </c>
      <c r="S90">
        <v>613719.06999999995</v>
      </c>
      <c r="T90">
        <v>0</v>
      </c>
      <c r="U90" t="s">
        <v>66</v>
      </c>
      <c r="V90" t="s">
        <v>16</v>
      </c>
      <c r="W90" t="s">
        <v>74</v>
      </c>
      <c r="X90" t="s">
        <v>164</v>
      </c>
      <c r="Y90" t="s">
        <v>24</v>
      </c>
      <c r="Z90">
        <v>1.58</v>
      </c>
      <c r="AA90">
        <f t="shared" si="3"/>
        <v>57463.29</v>
      </c>
      <c r="AB90">
        <f t="shared" si="4"/>
        <v>9.3631260309379016E-2</v>
      </c>
      <c r="AC90">
        <f t="shared" si="5"/>
        <v>0</v>
      </c>
      <c r="AD90">
        <v>2025</v>
      </c>
      <c r="AE90">
        <v>6</v>
      </c>
      <c r="AF90" t="s">
        <v>111</v>
      </c>
      <c r="AG90" t="s">
        <v>112</v>
      </c>
    </row>
    <row r="91" spans="1:33">
      <c r="A91" t="s">
        <v>235</v>
      </c>
      <c r="B91">
        <v>45891</v>
      </c>
      <c r="C91">
        <v>45897</v>
      </c>
      <c r="D91" t="s">
        <v>21</v>
      </c>
      <c r="E91">
        <v>100</v>
      </c>
      <c r="F91">
        <v>914.85</v>
      </c>
      <c r="G91">
        <v>2.29</v>
      </c>
      <c r="H91">
        <v>89389.99</v>
      </c>
      <c r="I91" t="s">
        <v>1727</v>
      </c>
      <c r="J91">
        <v>688.31</v>
      </c>
      <c r="K91">
        <v>68831</v>
      </c>
      <c r="L91">
        <v>1838.52</v>
      </c>
      <c r="M91">
        <v>474.06</v>
      </c>
      <c r="N91">
        <v>10190.27</v>
      </c>
      <c r="O91">
        <v>81333.850000000006</v>
      </c>
      <c r="P91">
        <v>20558.990000000002</v>
      </c>
      <c r="Q91">
        <v>8056.14</v>
      </c>
      <c r="R91" t="s">
        <v>65</v>
      </c>
      <c r="S91">
        <v>89389.99</v>
      </c>
      <c r="T91">
        <v>0</v>
      </c>
      <c r="U91" t="s">
        <v>66</v>
      </c>
      <c r="V91" t="s">
        <v>12</v>
      </c>
      <c r="W91" t="s">
        <v>74</v>
      </c>
      <c r="X91" t="s">
        <v>182</v>
      </c>
      <c r="Y91" t="s">
        <v>26</v>
      </c>
      <c r="Z91">
        <v>0.2</v>
      </c>
      <c r="AA91">
        <f t="shared" si="3"/>
        <v>8056.14</v>
      </c>
      <c r="AB91">
        <f t="shared" si="4"/>
        <v>9.0123513829680479E-2</v>
      </c>
      <c r="AC91">
        <f t="shared" si="5"/>
        <v>0</v>
      </c>
      <c r="AD91">
        <v>2025</v>
      </c>
      <c r="AE91">
        <v>8</v>
      </c>
      <c r="AF91" t="s">
        <v>82</v>
      </c>
      <c r="AG91" t="s">
        <v>87</v>
      </c>
    </row>
    <row r="92" spans="1:33">
      <c r="A92" t="s">
        <v>236</v>
      </c>
      <c r="B92">
        <v>45853</v>
      </c>
      <c r="C92">
        <v>45862</v>
      </c>
      <c r="D92" t="s">
        <v>27</v>
      </c>
      <c r="E92">
        <v>100</v>
      </c>
      <c r="F92">
        <v>671.07</v>
      </c>
      <c r="G92">
        <v>0.57999999999999996</v>
      </c>
      <c r="H92">
        <v>66717.78</v>
      </c>
      <c r="I92" t="s">
        <v>1727</v>
      </c>
      <c r="J92">
        <v>529.29999999999995</v>
      </c>
      <c r="K92">
        <v>52930</v>
      </c>
      <c r="L92">
        <v>1712.72</v>
      </c>
      <c r="M92">
        <v>482.9</v>
      </c>
      <c r="N92">
        <v>9290.76</v>
      </c>
      <c r="O92">
        <v>64416.38</v>
      </c>
      <c r="P92">
        <v>13787.78</v>
      </c>
      <c r="Q92">
        <v>2301.4</v>
      </c>
      <c r="R92" t="s">
        <v>85</v>
      </c>
      <c r="S92">
        <v>28364.57</v>
      </c>
      <c r="T92">
        <v>38353.21</v>
      </c>
      <c r="U92" t="s">
        <v>66</v>
      </c>
      <c r="V92" t="s">
        <v>6</v>
      </c>
      <c r="W92" t="s">
        <v>74</v>
      </c>
      <c r="X92" t="s">
        <v>164</v>
      </c>
      <c r="Y92" t="s">
        <v>24</v>
      </c>
      <c r="Z92">
        <v>0.99</v>
      </c>
      <c r="AA92">
        <f t="shared" si="3"/>
        <v>2301.4</v>
      </c>
      <c r="AB92">
        <f t="shared" si="4"/>
        <v>3.4494553026194821E-2</v>
      </c>
      <c r="AC92">
        <f t="shared" si="5"/>
        <v>0</v>
      </c>
      <c r="AD92">
        <v>2025</v>
      </c>
      <c r="AE92">
        <v>7</v>
      </c>
      <c r="AF92" t="s">
        <v>69</v>
      </c>
      <c r="AG92" t="s">
        <v>151</v>
      </c>
    </row>
    <row r="93" spans="1:33">
      <c r="A93" t="s">
        <v>237</v>
      </c>
      <c r="B93">
        <v>45567</v>
      </c>
      <c r="C93">
        <v>45581</v>
      </c>
      <c r="D93" t="s">
        <v>21</v>
      </c>
      <c r="E93">
        <v>500</v>
      </c>
      <c r="F93">
        <v>848.88</v>
      </c>
      <c r="G93">
        <v>4.76</v>
      </c>
      <c r="H93">
        <v>404236.66</v>
      </c>
      <c r="I93" t="s">
        <v>1727</v>
      </c>
      <c r="J93">
        <v>706.6</v>
      </c>
      <c r="K93">
        <v>353300</v>
      </c>
      <c r="L93">
        <v>4285.58</v>
      </c>
      <c r="M93">
        <v>2663.34</v>
      </c>
      <c r="N93">
        <v>8084.24</v>
      </c>
      <c r="O93">
        <v>368333.16</v>
      </c>
      <c r="P93">
        <v>50936.66</v>
      </c>
      <c r="Q93">
        <v>35903.5</v>
      </c>
      <c r="R93" t="s">
        <v>85</v>
      </c>
      <c r="S93">
        <v>303148.71999999997</v>
      </c>
      <c r="T93">
        <v>101087.94</v>
      </c>
      <c r="U93" t="s">
        <v>73</v>
      </c>
      <c r="V93" t="s">
        <v>8</v>
      </c>
      <c r="W93" t="s">
        <v>141</v>
      </c>
      <c r="X93" t="s">
        <v>176</v>
      </c>
      <c r="Y93" t="s">
        <v>22</v>
      </c>
      <c r="Z93">
        <v>0.99</v>
      </c>
      <c r="AA93">
        <f t="shared" si="3"/>
        <v>35903.5</v>
      </c>
      <c r="AB93">
        <f t="shared" si="4"/>
        <v>8.8818020611985071E-2</v>
      </c>
      <c r="AC93">
        <f t="shared" si="5"/>
        <v>0</v>
      </c>
      <c r="AD93">
        <v>2024</v>
      </c>
      <c r="AE93">
        <v>10</v>
      </c>
      <c r="AF93" t="s">
        <v>138</v>
      </c>
      <c r="AG93" t="s">
        <v>139</v>
      </c>
    </row>
    <row r="94" spans="1:33">
      <c r="A94" t="s">
        <v>238</v>
      </c>
      <c r="B94">
        <v>45552</v>
      </c>
      <c r="C94">
        <v>45557</v>
      </c>
      <c r="D94" t="s">
        <v>27</v>
      </c>
      <c r="E94">
        <v>750</v>
      </c>
      <c r="F94">
        <v>726.07</v>
      </c>
      <c r="G94">
        <v>2.72</v>
      </c>
      <c r="H94">
        <v>529740.67000000004</v>
      </c>
      <c r="I94" t="s">
        <v>1726</v>
      </c>
      <c r="J94">
        <v>544.03</v>
      </c>
      <c r="K94">
        <v>408022.5</v>
      </c>
      <c r="L94">
        <v>11668.21</v>
      </c>
      <c r="M94">
        <v>3943.98</v>
      </c>
      <c r="N94">
        <v>7321.06</v>
      </c>
      <c r="O94">
        <v>430955.75</v>
      </c>
      <c r="P94">
        <v>121718.17</v>
      </c>
      <c r="Q94">
        <v>98784.92</v>
      </c>
      <c r="R94" t="s">
        <v>65</v>
      </c>
      <c r="S94">
        <v>529740.67000000004</v>
      </c>
      <c r="T94">
        <v>0</v>
      </c>
      <c r="U94" t="s">
        <v>73</v>
      </c>
      <c r="V94" t="s">
        <v>6</v>
      </c>
      <c r="W94" t="s">
        <v>67</v>
      </c>
      <c r="X94" t="s">
        <v>239</v>
      </c>
      <c r="Y94" t="s">
        <v>28</v>
      </c>
      <c r="Z94">
        <v>1.1499999999999999</v>
      </c>
      <c r="AA94">
        <f t="shared" si="3"/>
        <v>98784.92</v>
      </c>
      <c r="AB94">
        <f t="shared" si="4"/>
        <v>0.18647788549064959</v>
      </c>
      <c r="AC94">
        <f t="shared" si="5"/>
        <v>0</v>
      </c>
      <c r="AD94">
        <v>2024</v>
      </c>
      <c r="AE94">
        <v>9</v>
      </c>
      <c r="AF94" t="s">
        <v>131</v>
      </c>
      <c r="AG94" t="s">
        <v>188</v>
      </c>
    </row>
    <row r="95" spans="1:33">
      <c r="A95" t="s">
        <v>240</v>
      </c>
      <c r="B95">
        <v>45311</v>
      </c>
      <c r="C95">
        <v>45324</v>
      </c>
      <c r="D95" t="s">
        <v>21</v>
      </c>
      <c r="E95">
        <v>1000</v>
      </c>
      <c r="F95">
        <v>852.44</v>
      </c>
      <c r="G95">
        <v>2.0499999999999998</v>
      </c>
      <c r="H95">
        <v>834964.98</v>
      </c>
      <c r="I95" t="s">
        <v>1727</v>
      </c>
      <c r="J95">
        <v>670.79</v>
      </c>
      <c r="K95">
        <v>670790</v>
      </c>
      <c r="L95">
        <v>9853.09</v>
      </c>
      <c r="M95">
        <v>3359.08</v>
      </c>
      <c r="N95">
        <v>8024.9</v>
      </c>
      <c r="O95">
        <v>692027.07</v>
      </c>
      <c r="P95">
        <v>164174.98000000001</v>
      </c>
      <c r="Q95">
        <v>142937.91</v>
      </c>
      <c r="R95" t="s">
        <v>65</v>
      </c>
      <c r="S95">
        <v>834964.98</v>
      </c>
      <c r="T95">
        <v>0</v>
      </c>
      <c r="U95" t="s">
        <v>66</v>
      </c>
      <c r="V95" t="s">
        <v>10</v>
      </c>
      <c r="W95" t="s">
        <v>67</v>
      </c>
      <c r="X95" t="s">
        <v>108</v>
      </c>
      <c r="Y95" t="s">
        <v>22</v>
      </c>
      <c r="Z95">
        <v>0.18</v>
      </c>
      <c r="AA95">
        <f t="shared" si="3"/>
        <v>142937.91</v>
      </c>
      <c r="AB95">
        <f t="shared" si="4"/>
        <v>0.17119030549041711</v>
      </c>
      <c r="AC95">
        <f t="shared" si="5"/>
        <v>0</v>
      </c>
      <c r="AD95">
        <v>2024</v>
      </c>
      <c r="AE95">
        <v>1</v>
      </c>
      <c r="AF95" t="s">
        <v>102</v>
      </c>
      <c r="AG95" t="s">
        <v>103</v>
      </c>
    </row>
    <row r="96" spans="1:33">
      <c r="A96" t="s">
        <v>241</v>
      </c>
      <c r="B96">
        <v>45962</v>
      </c>
      <c r="D96" t="s">
        <v>21</v>
      </c>
      <c r="E96">
        <v>300</v>
      </c>
      <c r="F96">
        <v>903.76</v>
      </c>
      <c r="G96">
        <v>1.63</v>
      </c>
      <c r="H96">
        <v>266708.61</v>
      </c>
      <c r="I96" t="s">
        <v>1728</v>
      </c>
      <c r="J96">
        <v>712.58</v>
      </c>
      <c r="K96">
        <v>213774</v>
      </c>
      <c r="L96">
        <v>5040.59</v>
      </c>
      <c r="M96">
        <v>1131.47</v>
      </c>
      <c r="N96">
        <v>10601.83</v>
      </c>
      <c r="O96">
        <v>230547.89</v>
      </c>
      <c r="P96">
        <v>52934.61</v>
      </c>
      <c r="Q96">
        <v>36160.720000000001</v>
      </c>
      <c r="R96" t="s">
        <v>65</v>
      </c>
      <c r="S96">
        <v>266708.61</v>
      </c>
      <c r="T96">
        <v>0</v>
      </c>
      <c r="U96" t="s">
        <v>91</v>
      </c>
      <c r="V96" t="s">
        <v>6</v>
      </c>
      <c r="W96" t="s">
        <v>67</v>
      </c>
      <c r="X96" t="s">
        <v>125</v>
      </c>
      <c r="Y96" t="s">
        <v>24</v>
      </c>
      <c r="Z96">
        <v>1.03</v>
      </c>
      <c r="AA96">
        <f t="shared" si="3"/>
        <v>36160.720000000001</v>
      </c>
      <c r="AB96">
        <f t="shared" si="4"/>
        <v>0.13558137474451989</v>
      </c>
      <c r="AC96">
        <f t="shared" si="5"/>
        <v>0</v>
      </c>
      <c r="AD96">
        <v>2025</v>
      </c>
      <c r="AE96">
        <v>11</v>
      </c>
      <c r="AF96" t="s">
        <v>128</v>
      </c>
      <c r="AG96" t="s">
        <v>135</v>
      </c>
    </row>
    <row r="97" spans="1:33">
      <c r="A97" t="s">
        <v>242</v>
      </c>
      <c r="B97">
        <v>45615</v>
      </c>
      <c r="C97">
        <v>45620</v>
      </c>
      <c r="D97" t="s">
        <v>23</v>
      </c>
      <c r="E97">
        <v>200</v>
      </c>
      <c r="F97">
        <v>1345.78</v>
      </c>
      <c r="G97">
        <v>1.91</v>
      </c>
      <c r="H97">
        <v>264015.12</v>
      </c>
      <c r="I97" t="s">
        <v>1727</v>
      </c>
      <c r="J97">
        <v>1054.3599999999999</v>
      </c>
      <c r="K97">
        <v>210872</v>
      </c>
      <c r="L97">
        <v>2151.59</v>
      </c>
      <c r="M97">
        <v>455.02</v>
      </c>
      <c r="N97">
        <v>2491.88</v>
      </c>
      <c r="O97">
        <v>215970.49</v>
      </c>
      <c r="P97">
        <v>53143.12</v>
      </c>
      <c r="Q97">
        <v>48044.63</v>
      </c>
      <c r="R97" t="s">
        <v>65</v>
      </c>
      <c r="S97">
        <v>264015.12</v>
      </c>
      <c r="T97">
        <v>0</v>
      </c>
      <c r="U97" t="s">
        <v>73</v>
      </c>
      <c r="V97" t="s">
        <v>6</v>
      </c>
      <c r="W97" t="s">
        <v>74</v>
      </c>
      <c r="X97" t="s">
        <v>162</v>
      </c>
      <c r="Y97" t="s">
        <v>26</v>
      </c>
      <c r="Z97">
        <v>0.89</v>
      </c>
      <c r="AA97">
        <f t="shared" si="3"/>
        <v>48044.63</v>
      </c>
      <c r="AB97">
        <f t="shared" si="4"/>
        <v>0.18197681254013026</v>
      </c>
      <c r="AC97">
        <f t="shared" si="5"/>
        <v>0</v>
      </c>
      <c r="AD97">
        <v>2024</v>
      </c>
      <c r="AE97">
        <v>11</v>
      </c>
      <c r="AF97" t="s">
        <v>128</v>
      </c>
      <c r="AG97" t="s">
        <v>129</v>
      </c>
    </row>
    <row r="98" spans="1:33">
      <c r="A98" t="s">
        <v>243</v>
      </c>
      <c r="B98">
        <v>45695</v>
      </c>
      <c r="C98">
        <v>45708</v>
      </c>
      <c r="D98" t="s">
        <v>23</v>
      </c>
      <c r="E98">
        <v>500</v>
      </c>
      <c r="F98">
        <v>1348.84</v>
      </c>
      <c r="G98">
        <v>3.43</v>
      </c>
      <c r="H98">
        <v>651287.39</v>
      </c>
      <c r="I98" t="s">
        <v>1728</v>
      </c>
      <c r="J98">
        <v>977.88</v>
      </c>
      <c r="K98">
        <v>488940</v>
      </c>
      <c r="L98">
        <v>8462.86</v>
      </c>
      <c r="M98">
        <v>1855.53</v>
      </c>
      <c r="N98">
        <v>6253.83</v>
      </c>
      <c r="O98">
        <v>505512.22</v>
      </c>
      <c r="P98">
        <v>162347.39000000001</v>
      </c>
      <c r="Q98">
        <v>145775.17000000001</v>
      </c>
      <c r="R98" t="s">
        <v>134</v>
      </c>
      <c r="S98">
        <v>0</v>
      </c>
      <c r="T98">
        <v>651287.39</v>
      </c>
      <c r="U98" t="s">
        <v>66</v>
      </c>
      <c r="V98" t="s">
        <v>14</v>
      </c>
      <c r="W98" t="s">
        <v>74</v>
      </c>
      <c r="X98" t="s">
        <v>101</v>
      </c>
      <c r="Y98" t="s">
        <v>22</v>
      </c>
      <c r="Z98">
        <v>1.99</v>
      </c>
      <c r="AA98">
        <f t="shared" si="3"/>
        <v>145775.17000000001</v>
      </c>
      <c r="AB98">
        <f t="shared" si="4"/>
        <v>0.22382618217128389</v>
      </c>
      <c r="AC98">
        <f t="shared" si="5"/>
        <v>0</v>
      </c>
      <c r="AD98">
        <v>2025</v>
      </c>
      <c r="AE98">
        <v>2</v>
      </c>
      <c r="AF98" t="s">
        <v>172</v>
      </c>
      <c r="AG98" t="s">
        <v>244</v>
      </c>
    </row>
    <row r="99" spans="1:33">
      <c r="A99" t="s">
        <v>245</v>
      </c>
      <c r="B99">
        <v>45654</v>
      </c>
      <c r="C99">
        <v>45657</v>
      </c>
      <c r="D99" t="s">
        <v>21</v>
      </c>
      <c r="E99">
        <v>200</v>
      </c>
      <c r="F99">
        <v>865.75</v>
      </c>
      <c r="G99">
        <v>0.56000000000000005</v>
      </c>
      <c r="H99">
        <v>172180.36</v>
      </c>
      <c r="I99" t="s">
        <v>1726</v>
      </c>
      <c r="J99">
        <v>649.66</v>
      </c>
      <c r="K99">
        <v>129932</v>
      </c>
      <c r="L99">
        <v>2714.01</v>
      </c>
      <c r="M99">
        <v>385.3</v>
      </c>
      <c r="N99">
        <v>9949.89</v>
      </c>
      <c r="O99">
        <v>142981.20000000001</v>
      </c>
      <c r="P99">
        <v>42248.36</v>
      </c>
      <c r="Q99">
        <v>29199.16</v>
      </c>
      <c r="R99" t="s">
        <v>65</v>
      </c>
      <c r="S99">
        <v>172180.36</v>
      </c>
      <c r="T99">
        <v>0</v>
      </c>
      <c r="U99" t="s">
        <v>66</v>
      </c>
      <c r="V99" t="s">
        <v>6</v>
      </c>
      <c r="W99" t="s">
        <v>80</v>
      </c>
      <c r="X99" t="s">
        <v>115</v>
      </c>
      <c r="Y99" t="s">
        <v>22</v>
      </c>
      <c r="Z99">
        <v>1.2</v>
      </c>
      <c r="AA99">
        <f t="shared" si="3"/>
        <v>29199.16</v>
      </c>
      <c r="AB99">
        <f t="shared" si="4"/>
        <v>0.16958473080204967</v>
      </c>
      <c r="AC99">
        <f t="shared" si="5"/>
        <v>0</v>
      </c>
      <c r="AD99">
        <v>2024</v>
      </c>
      <c r="AE99">
        <v>12</v>
      </c>
      <c r="AF99" t="s">
        <v>98</v>
      </c>
      <c r="AG99" t="s">
        <v>99</v>
      </c>
    </row>
    <row r="100" spans="1:33">
      <c r="A100" t="s">
        <v>246</v>
      </c>
      <c r="B100">
        <v>45523</v>
      </c>
      <c r="D100" t="s">
        <v>27</v>
      </c>
      <c r="E100">
        <v>150</v>
      </c>
      <c r="F100">
        <v>707.39</v>
      </c>
      <c r="G100">
        <v>0.79</v>
      </c>
      <c r="H100">
        <v>105270.24</v>
      </c>
      <c r="I100" t="s">
        <v>1727</v>
      </c>
      <c r="J100">
        <v>526.99</v>
      </c>
      <c r="K100">
        <v>79048.5</v>
      </c>
      <c r="L100">
        <v>1859.56</v>
      </c>
      <c r="M100">
        <v>797.41</v>
      </c>
      <c r="N100">
        <v>8870.2800000000007</v>
      </c>
      <c r="O100">
        <v>90575.75</v>
      </c>
      <c r="P100">
        <v>26221.74</v>
      </c>
      <c r="Q100">
        <v>14694.49</v>
      </c>
      <c r="R100" t="s">
        <v>65</v>
      </c>
      <c r="S100">
        <v>105270.24</v>
      </c>
      <c r="T100">
        <v>0</v>
      </c>
      <c r="U100" t="s">
        <v>91</v>
      </c>
      <c r="V100" t="s">
        <v>10</v>
      </c>
      <c r="W100" t="s">
        <v>67</v>
      </c>
      <c r="X100" t="s">
        <v>97</v>
      </c>
      <c r="Y100" t="s">
        <v>24</v>
      </c>
      <c r="Z100">
        <v>2.27</v>
      </c>
      <c r="AA100">
        <f t="shared" si="3"/>
        <v>14694.49</v>
      </c>
      <c r="AB100">
        <f t="shared" si="4"/>
        <v>0.13958826350163159</v>
      </c>
      <c r="AC100">
        <f t="shared" si="5"/>
        <v>0</v>
      </c>
      <c r="AD100">
        <v>2024</v>
      </c>
      <c r="AE100">
        <v>8</v>
      </c>
      <c r="AF100" t="s">
        <v>82</v>
      </c>
      <c r="AG100" t="s">
        <v>83</v>
      </c>
    </row>
    <row r="101" spans="1:33">
      <c r="A101" t="s">
        <v>247</v>
      </c>
      <c r="B101">
        <v>46011</v>
      </c>
      <c r="C101">
        <v>46014</v>
      </c>
      <c r="D101" t="s">
        <v>21</v>
      </c>
      <c r="E101">
        <v>750</v>
      </c>
      <c r="F101">
        <v>891.62</v>
      </c>
      <c r="G101">
        <v>0.64</v>
      </c>
      <c r="H101">
        <v>664435.22</v>
      </c>
      <c r="I101" t="s">
        <v>1729</v>
      </c>
      <c r="J101">
        <v>671.59</v>
      </c>
      <c r="K101">
        <v>503692.5</v>
      </c>
      <c r="L101">
        <v>16464.740000000002</v>
      </c>
      <c r="M101">
        <v>4497.1899999999996</v>
      </c>
      <c r="N101">
        <v>6655.28</v>
      </c>
      <c r="O101">
        <v>531309.71</v>
      </c>
      <c r="P101">
        <v>160742.72</v>
      </c>
      <c r="Q101">
        <v>133125.51</v>
      </c>
      <c r="R101" t="s">
        <v>85</v>
      </c>
      <c r="S101">
        <v>206197.08</v>
      </c>
      <c r="T101">
        <v>458238.14</v>
      </c>
      <c r="U101" t="s">
        <v>66</v>
      </c>
      <c r="V101" t="s">
        <v>8</v>
      </c>
      <c r="W101" t="s">
        <v>80</v>
      </c>
      <c r="X101" t="s">
        <v>147</v>
      </c>
      <c r="Y101" t="s">
        <v>28</v>
      </c>
      <c r="Z101">
        <v>1.69</v>
      </c>
      <c r="AA101">
        <f t="shared" si="3"/>
        <v>133125.51</v>
      </c>
      <c r="AB101">
        <f t="shared" si="4"/>
        <v>0.20035890030031825</v>
      </c>
      <c r="AC101">
        <f t="shared" si="5"/>
        <v>0</v>
      </c>
      <c r="AD101">
        <v>2025</v>
      </c>
      <c r="AE101">
        <v>12</v>
      </c>
      <c r="AF101" t="s">
        <v>98</v>
      </c>
      <c r="AG101" t="s">
        <v>168</v>
      </c>
    </row>
    <row r="102" spans="1:33">
      <c r="A102" t="s">
        <v>248</v>
      </c>
      <c r="B102">
        <v>45600</v>
      </c>
      <c r="C102">
        <v>45608</v>
      </c>
      <c r="D102" t="s">
        <v>27</v>
      </c>
      <c r="E102">
        <v>150</v>
      </c>
      <c r="F102">
        <v>732.23</v>
      </c>
      <c r="G102">
        <v>1.64</v>
      </c>
      <c r="H102">
        <v>108033.21</v>
      </c>
      <c r="I102" t="s">
        <v>1726</v>
      </c>
      <c r="J102">
        <v>530.84</v>
      </c>
      <c r="K102">
        <v>79626</v>
      </c>
      <c r="L102">
        <v>2910.24</v>
      </c>
      <c r="M102">
        <v>536.23</v>
      </c>
      <c r="N102">
        <v>5889.96</v>
      </c>
      <c r="O102">
        <v>88962.43</v>
      </c>
      <c r="P102">
        <v>28407.21</v>
      </c>
      <c r="Q102">
        <v>19070.78</v>
      </c>
      <c r="R102" t="s">
        <v>65</v>
      </c>
      <c r="S102">
        <v>108033.21</v>
      </c>
      <c r="T102">
        <v>0</v>
      </c>
      <c r="U102" t="s">
        <v>66</v>
      </c>
      <c r="V102" t="s">
        <v>10</v>
      </c>
      <c r="W102" t="s">
        <v>80</v>
      </c>
      <c r="X102" t="s">
        <v>176</v>
      </c>
      <c r="Y102" t="s">
        <v>22</v>
      </c>
      <c r="Z102">
        <v>0.32</v>
      </c>
      <c r="AA102">
        <f t="shared" si="3"/>
        <v>19070.78</v>
      </c>
      <c r="AB102">
        <f t="shared" si="4"/>
        <v>0.17652701423941766</v>
      </c>
      <c r="AC102">
        <f t="shared" si="5"/>
        <v>0</v>
      </c>
      <c r="AD102">
        <v>2024</v>
      </c>
      <c r="AE102">
        <v>11</v>
      </c>
      <c r="AF102" t="s">
        <v>128</v>
      </c>
      <c r="AG102" t="s">
        <v>129</v>
      </c>
    </row>
    <row r="103" spans="1:33">
      <c r="A103" t="s">
        <v>249</v>
      </c>
      <c r="B103">
        <v>45797</v>
      </c>
      <c r="C103">
        <v>45801</v>
      </c>
      <c r="D103" t="s">
        <v>21</v>
      </c>
      <c r="E103">
        <v>200</v>
      </c>
      <c r="F103">
        <v>834.39</v>
      </c>
      <c r="G103">
        <v>1.2</v>
      </c>
      <c r="H103">
        <v>164875.46</v>
      </c>
      <c r="I103" t="s">
        <v>1726</v>
      </c>
      <c r="J103">
        <v>696.6</v>
      </c>
      <c r="K103">
        <v>139320</v>
      </c>
      <c r="L103">
        <v>1938.66</v>
      </c>
      <c r="M103">
        <v>1064.52</v>
      </c>
      <c r="N103">
        <v>9057.8799999999992</v>
      </c>
      <c r="O103">
        <v>151381.06</v>
      </c>
      <c r="P103">
        <v>25555.46</v>
      </c>
      <c r="Q103">
        <v>13494.4</v>
      </c>
      <c r="R103" t="s">
        <v>65</v>
      </c>
      <c r="S103">
        <v>164875.46</v>
      </c>
      <c r="T103">
        <v>0</v>
      </c>
      <c r="U103" t="s">
        <v>66</v>
      </c>
      <c r="V103" t="s">
        <v>6</v>
      </c>
      <c r="W103" t="s">
        <v>74</v>
      </c>
      <c r="X103" t="s">
        <v>195</v>
      </c>
      <c r="Y103" t="s">
        <v>26</v>
      </c>
      <c r="Z103">
        <v>0</v>
      </c>
      <c r="AA103">
        <f t="shared" si="3"/>
        <v>13494.4</v>
      </c>
      <c r="AB103">
        <f t="shared" si="4"/>
        <v>8.1846018807165119E-2</v>
      </c>
      <c r="AC103">
        <f t="shared" si="5"/>
        <v>0</v>
      </c>
      <c r="AD103">
        <v>2025</v>
      </c>
      <c r="AE103">
        <v>5</v>
      </c>
      <c r="AF103" t="s">
        <v>76</v>
      </c>
      <c r="AG103" t="s">
        <v>94</v>
      </c>
    </row>
    <row r="104" spans="1:33">
      <c r="A104" t="s">
        <v>250</v>
      </c>
      <c r="B104">
        <v>45589</v>
      </c>
      <c r="C104">
        <v>45601</v>
      </c>
      <c r="D104" t="s">
        <v>23</v>
      </c>
      <c r="E104">
        <v>1000</v>
      </c>
      <c r="F104">
        <v>1280.1300000000001</v>
      </c>
      <c r="G104">
        <v>4.8099999999999996</v>
      </c>
      <c r="H104">
        <v>1218555.75</v>
      </c>
      <c r="I104" t="s">
        <v>1726</v>
      </c>
      <c r="J104">
        <v>986.39</v>
      </c>
      <c r="K104">
        <v>986390</v>
      </c>
      <c r="L104">
        <v>18815.71</v>
      </c>
      <c r="M104">
        <v>3530.23</v>
      </c>
      <c r="N104">
        <v>10496.16</v>
      </c>
      <c r="O104">
        <v>1019232.1</v>
      </c>
      <c r="P104">
        <v>232165.75</v>
      </c>
      <c r="Q104">
        <v>199323.65</v>
      </c>
      <c r="R104" t="s">
        <v>65</v>
      </c>
      <c r="S104">
        <v>1218555.75</v>
      </c>
      <c r="T104">
        <v>0</v>
      </c>
      <c r="U104" t="s">
        <v>73</v>
      </c>
      <c r="V104" t="s">
        <v>6</v>
      </c>
      <c r="W104" t="s">
        <v>67</v>
      </c>
      <c r="X104" t="s">
        <v>164</v>
      </c>
      <c r="Y104" t="s">
        <v>24</v>
      </c>
      <c r="Z104">
        <v>1.26</v>
      </c>
      <c r="AA104">
        <f t="shared" si="3"/>
        <v>199323.65</v>
      </c>
      <c r="AB104">
        <f t="shared" si="4"/>
        <v>0.16357368138470479</v>
      </c>
      <c r="AC104">
        <f t="shared" si="5"/>
        <v>0</v>
      </c>
      <c r="AD104">
        <v>2024</v>
      </c>
      <c r="AE104">
        <v>10</v>
      </c>
      <c r="AF104" t="s">
        <v>138</v>
      </c>
      <c r="AG104" t="s">
        <v>139</v>
      </c>
    </row>
    <row r="105" spans="1:33">
      <c r="A105" t="s">
        <v>251</v>
      </c>
      <c r="B105">
        <v>45405</v>
      </c>
      <c r="C105">
        <v>45405</v>
      </c>
      <c r="D105" t="s">
        <v>25</v>
      </c>
      <c r="E105">
        <v>750</v>
      </c>
      <c r="F105">
        <v>982.28</v>
      </c>
      <c r="G105">
        <v>2.71</v>
      </c>
      <c r="H105">
        <v>716745.16</v>
      </c>
      <c r="I105" t="s">
        <v>1729</v>
      </c>
      <c r="J105">
        <v>742.75</v>
      </c>
      <c r="K105">
        <v>557062.5</v>
      </c>
      <c r="L105">
        <v>12974.54</v>
      </c>
      <c r="M105">
        <v>3680.46</v>
      </c>
      <c r="N105">
        <v>1081.5</v>
      </c>
      <c r="O105">
        <v>574799</v>
      </c>
      <c r="P105">
        <v>159682.66</v>
      </c>
      <c r="Q105">
        <v>141946.16</v>
      </c>
      <c r="R105" t="s">
        <v>85</v>
      </c>
      <c r="S105">
        <v>387857.66</v>
      </c>
      <c r="T105">
        <v>328887.5</v>
      </c>
      <c r="U105" t="s">
        <v>66</v>
      </c>
      <c r="V105" t="s">
        <v>12</v>
      </c>
      <c r="W105" t="s">
        <v>141</v>
      </c>
      <c r="X105" t="s">
        <v>75</v>
      </c>
      <c r="Y105" t="s">
        <v>28</v>
      </c>
      <c r="Z105">
        <v>1.79</v>
      </c>
      <c r="AA105">
        <f t="shared" si="3"/>
        <v>141946.16</v>
      </c>
      <c r="AB105">
        <f t="shared" si="4"/>
        <v>0.19804271855843436</v>
      </c>
      <c r="AC105">
        <f t="shared" si="5"/>
        <v>0</v>
      </c>
      <c r="AD105">
        <v>2024</v>
      </c>
      <c r="AE105">
        <v>4</v>
      </c>
      <c r="AF105" t="s">
        <v>154</v>
      </c>
      <c r="AG105" t="s">
        <v>157</v>
      </c>
    </row>
    <row r="106" spans="1:33">
      <c r="A106" t="s">
        <v>252</v>
      </c>
      <c r="B106">
        <v>45906</v>
      </c>
      <c r="C106">
        <v>45917</v>
      </c>
      <c r="D106" t="s">
        <v>21</v>
      </c>
      <c r="E106">
        <v>500</v>
      </c>
      <c r="F106">
        <v>884.7</v>
      </c>
      <c r="G106">
        <v>2.44</v>
      </c>
      <c r="H106">
        <v>431556.66</v>
      </c>
      <c r="I106" t="s">
        <v>1728</v>
      </c>
      <c r="J106">
        <v>726.08</v>
      </c>
      <c r="K106">
        <v>363040</v>
      </c>
      <c r="L106">
        <v>3841.29</v>
      </c>
      <c r="M106">
        <v>1534.77</v>
      </c>
      <c r="N106">
        <v>10801.17</v>
      </c>
      <c r="O106">
        <v>379217.23</v>
      </c>
      <c r="P106">
        <v>68516.66</v>
      </c>
      <c r="Q106">
        <v>52339.43</v>
      </c>
      <c r="R106" t="s">
        <v>65</v>
      </c>
      <c r="S106">
        <v>431556.66</v>
      </c>
      <c r="T106">
        <v>0</v>
      </c>
      <c r="U106" t="s">
        <v>73</v>
      </c>
      <c r="V106" t="s">
        <v>6</v>
      </c>
      <c r="W106" t="s">
        <v>141</v>
      </c>
      <c r="X106" t="s">
        <v>89</v>
      </c>
      <c r="Y106" t="s">
        <v>28</v>
      </c>
      <c r="Z106">
        <v>1.3</v>
      </c>
      <c r="AA106">
        <f t="shared" si="3"/>
        <v>52339.43</v>
      </c>
      <c r="AB106">
        <f t="shared" si="4"/>
        <v>0.12128055212958595</v>
      </c>
      <c r="AC106">
        <f t="shared" si="5"/>
        <v>0</v>
      </c>
      <c r="AD106">
        <v>2025</v>
      </c>
      <c r="AE106">
        <v>9</v>
      </c>
      <c r="AF106" t="s">
        <v>131</v>
      </c>
      <c r="AG106" t="s">
        <v>132</v>
      </c>
    </row>
    <row r="107" spans="1:33">
      <c r="A107" t="s">
        <v>253</v>
      </c>
      <c r="B107">
        <v>45651</v>
      </c>
      <c r="C107">
        <v>45662</v>
      </c>
      <c r="D107" t="s">
        <v>21</v>
      </c>
      <c r="E107">
        <v>50</v>
      </c>
      <c r="F107">
        <v>858.32</v>
      </c>
      <c r="G107">
        <v>1.77</v>
      </c>
      <c r="H107">
        <v>42156.39</v>
      </c>
      <c r="I107" t="s">
        <v>1728</v>
      </c>
      <c r="J107">
        <v>695.57</v>
      </c>
      <c r="K107">
        <v>34778.5</v>
      </c>
      <c r="L107">
        <v>700.8</v>
      </c>
      <c r="M107">
        <v>131.56</v>
      </c>
      <c r="N107">
        <v>7036.63</v>
      </c>
      <c r="O107">
        <v>42647.49</v>
      </c>
      <c r="P107">
        <v>7377.89</v>
      </c>
      <c r="Q107">
        <v>-491.1</v>
      </c>
      <c r="R107" t="s">
        <v>65</v>
      </c>
      <c r="S107">
        <v>42156.39</v>
      </c>
      <c r="T107">
        <v>0</v>
      </c>
      <c r="U107" t="s">
        <v>73</v>
      </c>
      <c r="V107" t="s">
        <v>6</v>
      </c>
      <c r="W107" t="s">
        <v>67</v>
      </c>
      <c r="X107" t="s">
        <v>123</v>
      </c>
      <c r="Y107" t="s">
        <v>22</v>
      </c>
      <c r="Z107">
        <v>1.55</v>
      </c>
      <c r="AA107">
        <f t="shared" si="3"/>
        <v>-491.1</v>
      </c>
      <c r="AB107">
        <f t="shared" si="4"/>
        <v>-1.1649479473930288E-2</v>
      </c>
      <c r="AC107">
        <f t="shared" si="5"/>
        <v>0</v>
      </c>
      <c r="AD107">
        <v>2024</v>
      </c>
      <c r="AE107">
        <v>12</v>
      </c>
      <c r="AF107" t="s">
        <v>98</v>
      </c>
      <c r="AG107" t="s">
        <v>99</v>
      </c>
    </row>
    <row r="108" spans="1:33">
      <c r="A108" t="s">
        <v>254</v>
      </c>
      <c r="B108">
        <v>45566</v>
      </c>
      <c r="D108" t="s">
        <v>21</v>
      </c>
      <c r="E108">
        <v>500</v>
      </c>
      <c r="F108">
        <v>876.22</v>
      </c>
      <c r="G108">
        <v>1.1000000000000001</v>
      </c>
      <c r="H108">
        <v>433290.79</v>
      </c>
      <c r="I108" t="s">
        <v>1726</v>
      </c>
      <c r="J108">
        <v>709.48</v>
      </c>
      <c r="K108">
        <v>354740</v>
      </c>
      <c r="L108">
        <v>2813.9</v>
      </c>
      <c r="M108">
        <v>1041.58</v>
      </c>
      <c r="N108">
        <v>4675.24</v>
      </c>
      <c r="O108">
        <v>363270.72</v>
      </c>
      <c r="P108">
        <v>78550.789999999994</v>
      </c>
      <c r="Q108">
        <v>70020.070000000007</v>
      </c>
      <c r="R108" t="s">
        <v>134</v>
      </c>
      <c r="S108">
        <v>0</v>
      </c>
      <c r="T108">
        <v>433290.79</v>
      </c>
      <c r="U108" t="s">
        <v>91</v>
      </c>
      <c r="V108" t="s">
        <v>8</v>
      </c>
      <c r="W108" t="s">
        <v>74</v>
      </c>
      <c r="X108" t="s">
        <v>101</v>
      </c>
      <c r="Y108" t="s">
        <v>22</v>
      </c>
      <c r="Z108">
        <v>0.02</v>
      </c>
      <c r="AA108">
        <f t="shared" si="3"/>
        <v>70020.070000000007</v>
      </c>
      <c r="AB108">
        <f t="shared" si="4"/>
        <v>0.16160064237691277</v>
      </c>
      <c r="AC108">
        <f t="shared" si="5"/>
        <v>0</v>
      </c>
      <c r="AD108">
        <v>2024</v>
      </c>
      <c r="AE108">
        <v>10</v>
      </c>
      <c r="AF108" t="s">
        <v>138</v>
      </c>
      <c r="AG108" t="s">
        <v>139</v>
      </c>
    </row>
    <row r="109" spans="1:33">
      <c r="A109" t="s">
        <v>255</v>
      </c>
      <c r="B109">
        <v>45476</v>
      </c>
      <c r="C109">
        <v>45479</v>
      </c>
      <c r="D109" t="s">
        <v>21</v>
      </c>
      <c r="E109">
        <v>100</v>
      </c>
      <c r="F109">
        <v>822.16</v>
      </c>
      <c r="G109">
        <v>0.45</v>
      </c>
      <c r="H109">
        <v>81846.03</v>
      </c>
      <c r="I109" t="s">
        <v>1726</v>
      </c>
      <c r="J109">
        <v>704.84</v>
      </c>
      <c r="K109">
        <v>70484</v>
      </c>
      <c r="L109">
        <v>1948.19</v>
      </c>
      <c r="M109">
        <v>397.31</v>
      </c>
      <c r="N109">
        <v>7245.47</v>
      </c>
      <c r="O109">
        <v>80074.97</v>
      </c>
      <c r="P109">
        <v>11362.03</v>
      </c>
      <c r="Q109">
        <v>1771.06</v>
      </c>
      <c r="R109" t="s">
        <v>65</v>
      </c>
      <c r="S109">
        <v>81846.03</v>
      </c>
      <c r="T109">
        <v>0</v>
      </c>
      <c r="U109" t="s">
        <v>66</v>
      </c>
      <c r="V109" t="s">
        <v>6</v>
      </c>
      <c r="W109" t="s">
        <v>74</v>
      </c>
      <c r="X109" t="s">
        <v>125</v>
      </c>
      <c r="Y109" t="s">
        <v>24</v>
      </c>
      <c r="Z109">
        <v>1.67</v>
      </c>
      <c r="AA109">
        <f t="shared" si="3"/>
        <v>1771.06</v>
      </c>
      <c r="AB109">
        <f t="shared" si="4"/>
        <v>2.1638923720551869E-2</v>
      </c>
      <c r="AC109">
        <f t="shared" si="5"/>
        <v>0</v>
      </c>
      <c r="AD109">
        <v>2024</v>
      </c>
      <c r="AE109">
        <v>7</v>
      </c>
      <c r="AF109" t="s">
        <v>69</v>
      </c>
      <c r="AG109" t="s">
        <v>70</v>
      </c>
    </row>
    <row r="110" spans="1:33">
      <c r="A110" t="s">
        <v>256</v>
      </c>
      <c r="B110">
        <v>45610</v>
      </c>
      <c r="D110" t="s">
        <v>25</v>
      </c>
      <c r="E110">
        <v>100</v>
      </c>
      <c r="F110">
        <v>991.82</v>
      </c>
      <c r="G110">
        <v>0.92</v>
      </c>
      <c r="H110">
        <v>0</v>
      </c>
      <c r="I110" t="s">
        <v>1728</v>
      </c>
      <c r="J110">
        <v>726.97</v>
      </c>
      <c r="K110">
        <v>0</v>
      </c>
      <c r="L110">
        <v>0</v>
      </c>
      <c r="M110">
        <v>0</v>
      </c>
      <c r="N110">
        <v>0</v>
      </c>
      <c r="O110">
        <v>0</v>
      </c>
      <c r="P110">
        <v>0</v>
      </c>
      <c r="Q110">
        <v>0</v>
      </c>
      <c r="R110" t="s">
        <v>65</v>
      </c>
      <c r="S110">
        <v>0</v>
      </c>
      <c r="T110">
        <v>0</v>
      </c>
      <c r="U110" t="s">
        <v>117</v>
      </c>
      <c r="V110" t="s">
        <v>6</v>
      </c>
      <c r="W110" t="s">
        <v>74</v>
      </c>
      <c r="X110" t="s">
        <v>208</v>
      </c>
      <c r="Y110" t="s">
        <v>26</v>
      </c>
      <c r="Z110">
        <v>1.38</v>
      </c>
      <c r="AA110">
        <f t="shared" si="3"/>
        <v>0</v>
      </c>
      <c r="AB110" t="e">
        <f t="shared" si="4"/>
        <v>#DIV/0!</v>
      </c>
      <c r="AC110">
        <f t="shared" si="5"/>
        <v>0</v>
      </c>
      <c r="AD110">
        <v>2024</v>
      </c>
      <c r="AE110">
        <v>11</v>
      </c>
      <c r="AF110" t="s">
        <v>128</v>
      </c>
      <c r="AG110" t="s">
        <v>129</v>
      </c>
    </row>
    <row r="111" spans="1:33">
      <c r="A111" t="s">
        <v>257</v>
      </c>
      <c r="B111">
        <v>45745</v>
      </c>
      <c r="C111">
        <v>45754</v>
      </c>
      <c r="D111" t="s">
        <v>21</v>
      </c>
      <c r="E111">
        <v>300</v>
      </c>
      <c r="F111">
        <v>893.4</v>
      </c>
      <c r="G111">
        <v>1.62</v>
      </c>
      <c r="H111">
        <v>263678.08000000002</v>
      </c>
      <c r="I111" t="s">
        <v>1727</v>
      </c>
      <c r="J111">
        <v>712.51</v>
      </c>
      <c r="K111">
        <v>213753</v>
      </c>
      <c r="L111">
        <v>6789.36</v>
      </c>
      <c r="M111">
        <v>797.41</v>
      </c>
      <c r="N111">
        <v>5324.64</v>
      </c>
      <c r="O111">
        <v>226664.41</v>
      </c>
      <c r="P111">
        <v>49925.08</v>
      </c>
      <c r="Q111">
        <v>37013.67</v>
      </c>
      <c r="R111" t="s">
        <v>65</v>
      </c>
      <c r="S111">
        <v>263678.08000000002</v>
      </c>
      <c r="T111">
        <v>0</v>
      </c>
      <c r="U111" t="s">
        <v>73</v>
      </c>
      <c r="V111" t="s">
        <v>16</v>
      </c>
      <c r="W111" t="s">
        <v>80</v>
      </c>
      <c r="X111" t="s">
        <v>97</v>
      </c>
      <c r="Y111" t="s">
        <v>24</v>
      </c>
      <c r="Z111">
        <v>2.0499999999999998</v>
      </c>
      <c r="AA111">
        <f t="shared" si="3"/>
        <v>37013.67</v>
      </c>
      <c r="AB111">
        <f t="shared" si="4"/>
        <v>0.1403744672291303</v>
      </c>
      <c r="AC111">
        <f t="shared" si="5"/>
        <v>0</v>
      </c>
      <c r="AD111">
        <v>2025</v>
      </c>
      <c r="AE111">
        <v>3</v>
      </c>
      <c r="AF111" t="s">
        <v>105</v>
      </c>
      <c r="AG111" t="s">
        <v>106</v>
      </c>
    </row>
    <row r="112" spans="1:33">
      <c r="A112" t="s">
        <v>258</v>
      </c>
      <c r="B112">
        <v>45392</v>
      </c>
      <c r="C112">
        <v>45394</v>
      </c>
      <c r="D112" t="s">
        <v>21</v>
      </c>
      <c r="E112">
        <v>100</v>
      </c>
      <c r="F112">
        <v>930.84</v>
      </c>
      <c r="G112">
        <v>0.94</v>
      </c>
      <c r="H112">
        <v>92209.01</v>
      </c>
      <c r="I112" t="s">
        <v>1727</v>
      </c>
      <c r="J112">
        <v>728.92</v>
      </c>
      <c r="K112">
        <v>72892</v>
      </c>
      <c r="L112">
        <v>1932.19</v>
      </c>
      <c r="M112">
        <v>509.86</v>
      </c>
      <c r="N112">
        <v>9874.19</v>
      </c>
      <c r="O112">
        <v>85208.24</v>
      </c>
      <c r="P112">
        <v>19317.009999999998</v>
      </c>
      <c r="Q112">
        <v>7000.77</v>
      </c>
      <c r="R112" t="s">
        <v>65</v>
      </c>
      <c r="S112">
        <v>92209.01</v>
      </c>
      <c r="T112">
        <v>0</v>
      </c>
      <c r="U112" t="s">
        <v>66</v>
      </c>
      <c r="V112" t="s">
        <v>10</v>
      </c>
      <c r="W112" t="s">
        <v>74</v>
      </c>
      <c r="X112" t="s">
        <v>115</v>
      </c>
      <c r="Y112" t="s">
        <v>22</v>
      </c>
      <c r="Z112">
        <v>1.71</v>
      </c>
      <c r="AA112">
        <f t="shared" si="3"/>
        <v>7000.77</v>
      </c>
      <c r="AB112">
        <f t="shared" si="4"/>
        <v>7.5922840945803455E-2</v>
      </c>
      <c r="AC112">
        <f t="shared" si="5"/>
        <v>0</v>
      </c>
      <c r="AD112">
        <v>2024</v>
      </c>
      <c r="AE112">
        <v>4</v>
      </c>
      <c r="AF112" t="s">
        <v>154</v>
      </c>
      <c r="AG112" t="s">
        <v>157</v>
      </c>
    </row>
    <row r="113" spans="1:33">
      <c r="A113" t="s">
        <v>259</v>
      </c>
      <c r="B113">
        <v>45863</v>
      </c>
      <c r="D113" t="s">
        <v>21</v>
      </c>
      <c r="E113">
        <v>200</v>
      </c>
      <c r="F113">
        <v>855.9</v>
      </c>
      <c r="G113">
        <v>1.1599999999999999</v>
      </c>
      <c r="H113">
        <v>169194.31</v>
      </c>
      <c r="I113" t="s">
        <v>1726</v>
      </c>
      <c r="J113">
        <v>713.94</v>
      </c>
      <c r="K113">
        <v>142788</v>
      </c>
      <c r="L113">
        <v>1407.19</v>
      </c>
      <c r="M113">
        <v>926.39</v>
      </c>
      <c r="N113">
        <v>8777.1</v>
      </c>
      <c r="O113">
        <v>153898.68</v>
      </c>
      <c r="P113">
        <v>26406.31</v>
      </c>
      <c r="Q113">
        <v>15295.63</v>
      </c>
      <c r="R113" t="s">
        <v>134</v>
      </c>
      <c r="S113">
        <v>0</v>
      </c>
      <c r="T113">
        <v>169194.31</v>
      </c>
      <c r="U113" t="s">
        <v>91</v>
      </c>
      <c r="V113" t="s">
        <v>6</v>
      </c>
      <c r="W113" t="s">
        <v>74</v>
      </c>
      <c r="X113" t="s">
        <v>86</v>
      </c>
      <c r="Y113" t="s">
        <v>30</v>
      </c>
      <c r="Z113">
        <v>2.4300000000000002</v>
      </c>
      <c r="AA113">
        <f t="shared" si="3"/>
        <v>15295.63</v>
      </c>
      <c r="AB113">
        <f t="shared" si="4"/>
        <v>9.0402744631305862E-2</v>
      </c>
      <c r="AC113">
        <f t="shared" si="5"/>
        <v>0</v>
      </c>
      <c r="AD113">
        <v>2025</v>
      </c>
      <c r="AE113">
        <v>7</v>
      </c>
      <c r="AF113" t="s">
        <v>69</v>
      </c>
      <c r="AG113" t="s">
        <v>151</v>
      </c>
    </row>
    <row r="114" spans="1:33">
      <c r="A114" t="s">
        <v>260</v>
      </c>
      <c r="B114">
        <v>45786</v>
      </c>
      <c r="C114">
        <v>45797</v>
      </c>
      <c r="D114" t="s">
        <v>21</v>
      </c>
      <c r="E114">
        <v>500</v>
      </c>
      <c r="F114">
        <v>923.52</v>
      </c>
      <c r="G114">
        <v>4.21</v>
      </c>
      <c r="H114">
        <v>442319.9</v>
      </c>
      <c r="I114" t="s">
        <v>1728</v>
      </c>
      <c r="J114">
        <v>751.32</v>
      </c>
      <c r="K114">
        <v>375660</v>
      </c>
      <c r="L114">
        <v>3719.3</v>
      </c>
      <c r="M114">
        <v>2274.4299999999998</v>
      </c>
      <c r="N114">
        <v>7976.54</v>
      </c>
      <c r="O114">
        <v>389630.27</v>
      </c>
      <c r="P114">
        <v>66659.899999999994</v>
      </c>
      <c r="Q114">
        <v>52689.63</v>
      </c>
      <c r="R114" t="s">
        <v>85</v>
      </c>
      <c r="S114">
        <v>353741.63</v>
      </c>
      <c r="T114">
        <v>88578.27</v>
      </c>
      <c r="U114" t="s">
        <v>73</v>
      </c>
      <c r="V114" t="s">
        <v>12</v>
      </c>
      <c r="W114" t="s">
        <v>74</v>
      </c>
      <c r="X114" t="s">
        <v>176</v>
      </c>
      <c r="Y114" t="s">
        <v>22</v>
      </c>
      <c r="Z114">
        <v>1.55</v>
      </c>
      <c r="AA114">
        <f t="shared" si="3"/>
        <v>52689.63</v>
      </c>
      <c r="AB114">
        <f t="shared" si="4"/>
        <v>0.11912109312739488</v>
      </c>
      <c r="AC114">
        <f t="shared" si="5"/>
        <v>0</v>
      </c>
      <c r="AD114">
        <v>2025</v>
      </c>
      <c r="AE114">
        <v>5</v>
      </c>
      <c r="AF114" t="s">
        <v>76</v>
      </c>
      <c r="AG114" t="s">
        <v>94</v>
      </c>
    </row>
    <row r="115" spans="1:33">
      <c r="A115" t="s">
        <v>261</v>
      </c>
      <c r="B115">
        <v>45784</v>
      </c>
      <c r="C115">
        <v>45787</v>
      </c>
      <c r="D115" t="s">
        <v>25</v>
      </c>
      <c r="E115">
        <v>150</v>
      </c>
      <c r="F115">
        <v>1025.7</v>
      </c>
      <c r="G115">
        <v>1.73</v>
      </c>
      <c r="H115">
        <v>151193.31</v>
      </c>
      <c r="I115" t="s">
        <v>1728</v>
      </c>
      <c r="J115">
        <v>742.98</v>
      </c>
      <c r="K115">
        <v>111447</v>
      </c>
      <c r="L115">
        <v>3170.25</v>
      </c>
      <c r="M115">
        <v>672.88</v>
      </c>
      <c r="N115">
        <v>1944.8</v>
      </c>
      <c r="O115">
        <v>117234.93</v>
      </c>
      <c r="P115">
        <v>39746.31</v>
      </c>
      <c r="Q115">
        <v>33958.379999999997</v>
      </c>
      <c r="R115" t="s">
        <v>134</v>
      </c>
      <c r="S115">
        <v>0</v>
      </c>
      <c r="T115">
        <v>151193.31</v>
      </c>
      <c r="U115" t="s">
        <v>66</v>
      </c>
      <c r="V115" t="s">
        <v>6</v>
      </c>
      <c r="W115" t="s">
        <v>74</v>
      </c>
      <c r="X115" t="s">
        <v>239</v>
      </c>
      <c r="Y115" t="s">
        <v>28</v>
      </c>
      <c r="Z115">
        <v>2.4700000000000002</v>
      </c>
      <c r="AA115">
        <f t="shared" si="3"/>
        <v>33958.379999999997</v>
      </c>
      <c r="AB115">
        <f t="shared" si="4"/>
        <v>0.2246023980822961</v>
      </c>
      <c r="AC115">
        <f t="shared" si="5"/>
        <v>0</v>
      </c>
      <c r="AD115">
        <v>2025</v>
      </c>
      <c r="AE115">
        <v>5</v>
      </c>
      <c r="AF115" t="s">
        <v>76</v>
      </c>
      <c r="AG115" t="s">
        <v>94</v>
      </c>
    </row>
    <row r="116" spans="1:33">
      <c r="A116" t="s">
        <v>262</v>
      </c>
      <c r="B116">
        <v>45888</v>
      </c>
      <c r="C116">
        <v>45890</v>
      </c>
      <c r="D116" t="s">
        <v>21</v>
      </c>
      <c r="E116">
        <v>150</v>
      </c>
      <c r="F116">
        <v>893.26</v>
      </c>
      <c r="G116">
        <v>1.51</v>
      </c>
      <c r="H116">
        <v>131965.76999999999</v>
      </c>
      <c r="I116" t="s">
        <v>1726</v>
      </c>
      <c r="J116">
        <v>674.37</v>
      </c>
      <c r="K116">
        <v>101155.5</v>
      </c>
      <c r="L116">
        <v>1306.67</v>
      </c>
      <c r="M116">
        <v>886.59</v>
      </c>
      <c r="N116">
        <v>4733.5</v>
      </c>
      <c r="O116">
        <v>108082.26</v>
      </c>
      <c r="P116">
        <v>30810.27</v>
      </c>
      <c r="Q116">
        <v>23883.51</v>
      </c>
      <c r="R116" t="s">
        <v>65</v>
      </c>
      <c r="S116">
        <v>131965.76999999999</v>
      </c>
      <c r="T116">
        <v>0</v>
      </c>
      <c r="U116" t="s">
        <v>66</v>
      </c>
      <c r="V116" t="s">
        <v>12</v>
      </c>
      <c r="W116" t="s">
        <v>74</v>
      </c>
      <c r="X116" t="s">
        <v>101</v>
      </c>
      <c r="Y116" t="s">
        <v>22</v>
      </c>
      <c r="Z116">
        <v>1.7</v>
      </c>
      <c r="AA116">
        <f t="shared" si="3"/>
        <v>23883.51</v>
      </c>
      <c r="AB116">
        <f t="shared" si="4"/>
        <v>0.18098261390055922</v>
      </c>
      <c r="AC116">
        <f t="shared" si="5"/>
        <v>0</v>
      </c>
      <c r="AD116">
        <v>2025</v>
      </c>
      <c r="AE116">
        <v>8</v>
      </c>
      <c r="AF116" t="s">
        <v>82</v>
      </c>
      <c r="AG116" t="s">
        <v>87</v>
      </c>
    </row>
    <row r="117" spans="1:33">
      <c r="A117" t="s">
        <v>263</v>
      </c>
      <c r="B117">
        <v>45307</v>
      </c>
      <c r="C117">
        <v>45314</v>
      </c>
      <c r="D117" t="s">
        <v>23</v>
      </c>
      <c r="E117">
        <v>500</v>
      </c>
      <c r="F117">
        <v>1354.74</v>
      </c>
      <c r="G117">
        <v>3.47</v>
      </c>
      <c r="H117">
        <v>653865.26</v>
      </c>
      <c r="I117" t="s">
        <v>1726</v>
      </c>
      <c r="J117">
        <v>1043.8900000000001</v>
      </c>
      <c r="K117">
        <v>521945</v>
      </c>
      <c r="L117">
        <v>10285.24</v>
      </c>
      <c r="M117">
        <v>2073.89</v>
      </c>
      <c r="N117">
        <v>10915.4</v>
      </c>
      <c r="O117">
        <v>545219.53</v>
      </c>
      <c r="P117">
        <v>131920.26</v>
      </c>
      <c r="Q117">
        <v>108645.73</v>
      </c>
      <c r="R117" t="s">
        <v>134</v>
      </c>
      <c r="S117">
        <v>0</v>
      </c>
      <c r="T117">
        <v>653865.26</v>
      </c>
      <c r="U117" t="s">
        <v>66</v>
      </c>
      <c r="V117" t="s">
        <v>8</v>
      </c>
      <c r="W117" t="s">
        <v>141</v>
      </c>
      <c r="X117" t="s">
        <v>193</v>
      </c>
      <c r="Y117" t="s">
        <v>30</v>
      </c>
      <c r="Z117">
        <v>2.13</v>
      </c>
      <c r="AA117">
        <f t="shared" si="3"/>
        <v>108645.73</v>
      </c>
      <c r="AB117">
        <f t="shared" si="4"/>
        <v>0.16615920227968678</v>
      </c>
      <c r="AC117">
        <f t="shared" si="5"/>
        <v>0</v>
      </c>
      <c r="AD117">
        <v>2024</v>
      </c>
      <c r="AE117">
        <v>1</v>
      </c>
      <c r="AF117" t="s">
        <v>102</v>
      </c>
      <c r="AG117" t="s">
        <v>103</v>
      </c>
    </row>
    <row r="118" spans="1:33">
      <c r="A118" t="s">
        <v>264</v>
      </c>
      <c r="B118">
        <v>45761</v>
      </c>
      <c r="C118">
        <v>45768</v>
      </c>
      <c r="D118" t="s">
        <v>21</v>
      </c>
      <c r="E118">
        <v>1000</v>
      </c>
      <c r="F118">
        <v>950.95</v>
      </c>
      <c r="G118">
        <v>3.06</v>
      </c>
      <c r="H118">
        <v>921850.93</v>
      </c>
      <c r="I118" t="s">
        <v>1729</v>
      </c>
      <c r="J118">
        <v>654.49</v>
      </c>
      <c r="K118">
        <v>654490</v>
      </c>
      <c r="L118">
        <v>15198.62</v>
      </c>
      <c r="M118">
        <v>4555.34</v>
      </c>
      <c r="N118">
        <v>7951.56</v>
      </c>
      <c r="O118">
        <v>682195.52</v>
      </c>
      <c r="P118">
        <v>267360.93</v>
      </c>
      <c r="Q118">
        <v>239655.41</v>
      </c>
      <c r="R118" t="s">
        <v>65</v>
      </c>
      <c r="S118">
        <v>921850.93</v>
      </c>
      <c r="T118">
        <v>0</v>
      </c>
      <c r="U118" t="s">
        <v>66</v>
      </c>
      <c r="V118" t="s">
        <v>12</v>
      </c>
      <c r="W118" t="s">
        <v>80</v>
      </c>
      <c r="X118" t="s">
        <v>159</v>
      </c>
      <c r="Y118" t="s">
        <v>30</v>
      </c>
      <c r="Z118">
        <v>0.68</v>
      </c>
      <c r="AA118">
        <f t="shared" si="3"/>
        <v>239655.41</v>
      </c>
      <c r="AB118">
        <f t="shared" si="4"/>
        <v>0.25997197833276581</v>
      </c>
      <c r="AC118">
        <f t="shared" si="5"/>
        <v>0</v>
      </c>
      <c r="AD118">
        <v>2025</v>
      </c>
      <c r="AE118">
        <v>4</v>
      </c>
      <c r="AF118" t="s">
        <v>154</v>
      </c>
      <c r="AG118" t="s">
        <v>155</v>
      </c>
    </row>
    <row r="119" spans="1:33">
      <c r="A119" t="s">
        <v>265</v>
      </c>
      <c r="B119">
        <v>45490</v>
      </c>
      <c r="C119">
        <v>45497</v>
      </c>
      <c r="D119" t="s">
        <v>21</v>
      </c>
      <c r="E119">
        <v>500</v>
      </c>
      <c r="F119">
        <v>865.62</v>
      </c>
      <c r="G119">
        <v>0.24</v>
      </c>
      <c r="H119">
        <v>431771.26</v>
      </c>
      <c r="I119" t="s">
        <v>1726</v>
      </c>
      <c r="J119">
        <v>747.43</v>
      </c>
      <c r="K119">
        <v>373715</v>
      </c>
      <c r="L119">
        <v>4895.45</v>
      </c>
      <c r="M119">
        <v>1350.95</v>
      </c>
      <c r="N119">
        <v>7008.78</v>
      </c>
      <c r="O119">
        <v>386970.18</v>
      </c>
      <c r="P119">
        <v>58056.26</v>
      </c>
      <c r="Q119">
        <v>44801.08</v>
      </c>
      <c r="R119" t="s">
        <v>85</v>
      </c>
      <c r="S119">
        <v>265299.56</v>
      </c>
      <c r="T119">
        <v>166471.70000000001</v>
      </c>
      <c r="U119" t="s">
        <v>66</v>
      </c>
      <c r="V119" t="s">
        <v>10</v>
      </c>
      <c r="W119" t="s">
        <v>67</v>
      </c>
      <c r="X119" t="s">
        <v>101</v>
      </c>
      <c r="Y119" t="s">
        <v>22</v>
      </c>
      <c r="Z119">
        <v>1.35</v>
      </c>
      <c r="AA119">
        <f t="shared" si="3"/>
        <v>44801.08</v>
      </c>
      <c r="AB119">
        <f t="shared" si="4"/>
        <v>0.10376114426884273</v>
      </c>
      <c r="AC119">
        <f t="shared" si="5"/>
        <v>0</v>
      </c>
      <c r="AD119">
        <v>2024</v>
      </c>
      <c r="AE119">
        <v>7</v>
      </c>
      <c r="AF119" t="s">
        <v>69</v>
      </c>
      <c r="AG119" t="s">
        <v>70</v>
      </c>
    </row>
    <row r="120" spans="1:33">
      <c r="A120" t="s">
        <v>266</v>
      </c>
      <c r="B120">
        <v>45596</v>
      </c>
      <c r="C120">
        <v>45602</v>
      </c>
      <c r="D120" t="s">
        <v>21</v>
      </c>
      <c r="E120">
        <v>50</v>
      </c>
      <c r="F120">
        <v>956.71</v>
      </c>
      <c r="G120">
        <v>0</v>
      </c>
      <c r="H120">
        <v>47835.5</v>
      </c>
      <c r="I120" t="s">
        <v>1727</v>
      </c>
      <c r="J120">
        <v>671.85</v>
      </c>
      <c r="K120">
        <v>33592.5</v>
      </c>
      <c r="L120">
        <v>956.83</v>
      </c>
      <c r="M120">
        <v>224.62</v>
      </c>
      <c r="N120">
        <v>7923.54</v>
      </c>
      <c r="O120">
        <v>42697.49</v>
      </c>
      <c r="P120">
        <v>14243</v>
      </c>
      <c r="Q120">
        <v>5138.01</v>
      </c>
      <c r="R120" t="s">
        <v>85</v>
      </c>
      <c r="S120">
        <v>16006.03</v>
      </c>
      <c r="T120">
        <v>31829.47</v>
      </c>
      <c r="U120" t="s">
        <v>66</v>
      </c>
      <c r="V120" t="s">
        <v>8</v>
      </c>
      <c r="W120" t="s">
        <v>67</v>
      </c>
      <c r="X120" t="s">
        <v>176</v>
      </c>
      <c r="Y120" t="s">
        <v>22</v>
      </c>
      <c r="Z120">
        <v>0.53</v>
      </c>
      <c r="AA120">
        <f t="shared" si="3"/>
        <v>5138.01</v>
      </c>
      <c r="AB120">
        <f t="shared" si="4"/>
        <v>0.10740997794524987</v>
      </c>
      <c r="AC120">
        <f t="shared" si="5"/>
        <v>0</v>
      </c>
      <c r="AD120">
        <v>2024</v>
      </c>
      <c r="AE120">
        <v>10</v>
      </c>
      <c r="AF120" t="s">
        <v>138</v>
      </c>
      <c r="AG120" t="s">
        <v>139</v>
      </c>
    </row>
    <row r="121" spans="1:33">
      <c r="A121" t="s">
        <v>267</v>
      </c>
      <c r="B121">
        <v>45507</v>
      </c>
      <c r="D121" t="s">
        <v>27</v>
      </c>
      <c r="E121">
        <v>750</v>
      </c>
      <c r="F121">
        <v>731.28</v>
      </c>
      <c r="G121">
        <v>2.06</v>
      </c>
      <c r="H121">
        <v>0</v>
      </c>
      <c r="I121" t="s">
        <v>1727</v>
      </c>
      <c r="J121">
        <v>585.04</v>
      </c>
      <c r="K121">
        <v>0</v>
      </c>
      <c r="L121">
        <v>0</v>
      </c>
      <c r="M121">
        <v>0</v>
      </c>
      <c r="N121">
        <v>0</v>
      </c>
      <c r="O121">
        <v>0</v>
      </c>
      <c r="P121">
        <v>0</v>
      </c>
      <c r="Q121">
        <v>0</v>
      </c>
      <c r="R121" t="s">
        <v>85</v>
      </c>
      <c r="S121">
        <v>0</v>
      </c>
      <c r="T121">
        <v>0</v>
      </c>
      <c r="U121" t="s">
        <v>117</v>
      </c>
      <c r="V121" t="s">
        <v>12</v>
      </c>
      <c r="W121" t="s">
        <v>67</v>
      </c>
      <c r="X121" t="s">
        <v>182</v>
      </c>
      <c r="Y121" t="s">
        <v>26</v>
      </c>
      <c r="Z121">
        <v>1</v>
      </c>
      <c r="AA121">
        <f t="shared" si="3"/>
        <v>0</v>
      </c>
      <c r="AB121" t="e">
        <f t="shared" si="4"/>
        <v>#DIV/0!</v>
      </c>
      <c r="AC121">
        <f t="shared" si="5"/>
        <v>0</v>
      </c>
      <c r="AD121">
        <v>2024</v>
      </c>
      <c r="AE121">
        <v>8</v>
      </c>
      <c r="AF121" t="s">
        <v>82</v>
      </c>
      <c r="AG121" t="s">
        <v>83</v>
      </c>
    </row>
    <row r="122" spans="1:33">
      <c r="A122" t="s">
        <v>268</v>
      </c>
      <c r="B122">
        <v>45802</v>
      </c>
      <c r="D122" t="s">
        <v>23</v>
      </c>
      <c r="E122">
        <v>100</v>
      </c>
      <c r="F122">
        <v>1275.53</v>
      </c>
      <c r="G122">
        <v>2.46</v>
      </c>
      <c r="H122">
        <v>124415.2</v>
      </c>
      <c r="I122" t="s">
        <v>1726</v>
      </c>
      <c r="J122">
        <v>1112.8699999999999</v>
      </c>
      <c r="K122">
        <v>111287</v>
      </c>
      <c r="L122">
        <v>1521.74</v>
      </c>
      <c r="M122">
        <v>510.64</v>
      </c>
      <c r="N122">
        <v>4522.8</v>
      </c>
      <c r="O122">
        <v>117842.18</v>
      </c>
      <c r="P122">
        <v>13128.2</v>
      </c>
      <c r="Q122">
        <v>6573.02</v>
      </c>
      <c r="R122" t="s">
        <v>134</v>
      </c>
      <c r="S122">
        <v>0</v>
      </c>
      <c r="T122">
        <v>124415.2</v>
      </c>
      <c r="U122" t="s">
        <v>91</v>
      </c>
      <c r="V122" t="s">
        <v>6</v>
      </c>
      <c r="W122" t="s">
        <v>74</v>
      </c>
      <c r="X122" t="s">
        <v>123</v>
      </c>
      <c r="Y122" t="s">
        <v>22</v>
      </c>
      <c r="Z122">
        <v>0.33</v>
      </c>
      <c r="AA122">
        <f t="shared" si="3"/>
        <v>6573.02</v>
      </c>
      <c r="AB122">
        <f t="shared" si="4"/>
        <v>5.2831326075913558E-2</v>
      </c>
      <c r="AC122">
        <f t="shared" si="5"/>
        <v>0</v>
      </c>
      <c r="AD122">
        <v>2025</v>
      </c>
      <c r="AE122">
        <v>5</v>
      </c>
      <c r="AF122" t="s">
        <v>76</v>
      </c>
      <c r="AG122" t="s">
        <v>94</v>
      </c>
    </row>
    <row r="123" spans="1:33">
      <c r="A123" t="s">
        <v>269</v>
      </c>
      <c r="B123">
        <v>45385</v>
      </c>
      <c r="C123">
        <v>45397</v>
      </c>
      <c r="D123" t="s">
        <v>21</v>
      </c>
      <c r="E123">
        <v>100</v>
      </c>
      <c r="F123">
        <v>853.34</v>
      </c>
      <c r="G123">
        <v>0.88</v>
      </c>
      <c r="H123">
        <v>84583.06</v>
      </c>
      <c r="I123" t="s">
        <v>1727</v>
      </c>
      <c r="J123">
        <v>653.51</v>
      </c>
      <c r="K123">
        <v>65351</v>
      </c>
      <c r="L123">
        <v>2155.31</v>
      </c>
      <c r="M123">
        <v>464.35</v>
      </c>
      <c r="N123">
        <v>4810.49</v>
      </c>
      <c r="O123">
        <v>72781.149999999994</v>
      </c>
      <c r="P123">
        <v>19232.060000000001</v>
      </c>
      <c r="Q123">
        <v>11801.91</v>
      </c>
      <c r="R123" t="s">
        <v>65</v>
      </c>
      <c r="S123">
        <v>84583.06</v>
      </c>
      <c r="T123">
        <v>0</v>
      </c>
      <c r="U123" t="s">
        <v>66</v>
      </c>
      <c r="V123" t="s">
        <v>6</v>
      </c>
      <c r="W123" t="s">
        <v>80</v>
      </c>
      <c r="X123" t="s">
        <v>167</v>
      </c>
      <c r="Y123" t="s">
        <v>31</v>
      </c>
      <c r="Z123">
        <v>0.57999999999999996</v>
      </c>
      <c r="AA123">
        <f t="shared" si="3"/>
        <v>11801.91</v>
      </c>
      <c r="AB123">
        <f t="shared" si="4"/>
        <v>0.13953042133968668</v>
      </c>
      <c r="AC123">
        <f t="shared" si="5"/>
        <v>0</v>
      </c>
      <c r="AD123">
        <v>2024</v>
      </c>
      <c r="AE123">
        <v>4</v>
      </c>
      <c r="AF123" t="s">
        <v>154</v>
      </c>
      <c r="AG123" t="s">
        <v>157</v>
      </c>
    </row>
    <row r="124" spans="1:33">
      <c r="A124" t="s">
        <v>270</v>
      </c>
      <c r="B124">
        <v>45988</v>
      </c>
      <c r="C124">
        <v>45992</v>
      </c>
      <c r="D124" t="s">
        <v>21</v>
      </c>
      <c r="E124">
        <v>100</v>
      </c>
      <c r="F124">
        <v>898.08</v>
      </c>
      <c r="G124">
        <v>1.29</v>
      </c>
      <c r="H124">
        <v>88649.48</v>
      </c>
      <c r="I124" t="s">
        <v>1727</v>
      </c>
      <c r="J124">
        <v>724.54</v>
      </c>
      <c r="K124">
        <v>72454</v>
      </c>
      <c r="L124">
        <v>1854.09</v>
      </c>
      <c r="M124">
        <v>577.51</v>
      </c>
      <c r="N124">
        <v>8842.9599999999991</v>
      </c>
      <c r="O124">
        <v>83728.56</v>
      </c>
      <c r="P124">
        <v>16195.48</v>
      </c>
      <c r="Q124">
        <v>4920.92</v>
      </c>
      <c r="R124" t="s">
        <v>65</v>
      </c>
      <c r="S124">
        <v>88649.48</v>
      </c>
      <c r="T124">
        <v>0</v>
      </c>
      <c r="U124" t="s">
        <v>66</v>
      </c>
      <c r="V124" t="s">
        <v>12</v>
      </c>
      <c r="W124" t="s">
        <v>74</v>
      </c>
      <c r="X124" t="s">
        <v>145</v>
      </c>
      <c r="Y124" t="s">
        <v>30</v>
      </c>
      <c r="Z124">
        <v>0.57999999999999996</v>
      </c>
      <c r="AA124">
        <f t="shared" si="3"/>
        <v>4920.92</v>
      </c>
      <c r="AB124">
        <f t="shared" si="4"/>
        <v>5.5509857474629297E-2</v>
      </c>
      <c r="AC124">
        <f t="shared" si="5"/>
        <v>0</v>
      </c>
      <c r="AD124">
        <v>2025</v>
      </c>
      <c r="AE124">
        <v>11</v>
      </c>
      <c r="AF124" t="s">
        <v>128</v>
      </c>
      <c r="AG124" t="s">
        <v>135</v>
      </c>
    </row>
    <row r="125" spans="1:33">
      <c r="A125" t="s">
        <v>271</v>
      </c>
      <c r="B125">
        <v>45694</v>
      </c>
      <c r="D125" t="s">
        <v>23</v>
      </c>
      <c r="E125">
        <v>500</v>
      </c>
      <c r="F125">
        <v>1251.27</v>
      </c>
      <c r="G125">
        <v>1.95</v>
      </c>
      <c r="H125">
        <v>613435.12</v>
      </c>
      <c r="I125" t="s">
        <v>1728</v>
      </c>
      <c r="J125">
        <v>976.5</v>
      </c>
      <c r="K125">
        <v>488250</v>
      </c>
      <c r="L125">
        <v>3065.07</v>
      </c>
      <c r="M125">
        <v>2608.1999999999998</v>
      </c>
      <c r="N125">
        <v>3824.87</v>
      </c>
      <c r="O125">
        <v>497748.14</v>
      </c>
      <c r="P125">
        <v>125185.12</v>
      </c>
      <c r="Q125">
        <v>115686.98</v>
      </c>
      <c r="R125" t="s">
        <v>65</v>
      </c>
      <c r="S125">
        <v>613435.12</v>
      </c>
      <c r="T125">
        <v>0</v>
      </c>
      <c r="U125" t="s">
        <v>91</v>
      </c>
      <c r="V125" t="s">
        <v>10</v>
      </c>
      <c r="W125" t="s">
        <v>74</v>
      </c>
      <c r="X125" t="s">
        <v>195</v>
      </c>
      <c r="Y125" t="s">
        <v>26</v>
      </c>
      <c r="Z125">
        <v>0.99</v>
      </c>
      <c r="AA125">
        <f t="shared" si="3"/>
        <v>115686.98</v>
      </c>
      <c r="AB125">
        <f t="shared" si="4"/>
        <v>0.18858877854922945</v>
      </c>
      <c r="AC125">
        <f t="shared" si="5"/>
        <v>0</v>
      </c>
      <c r="AD125">
        <v>2025</v>
      </c>
      <c r="AE125">
        <v>2</v>
      </c>
      <c r="AF125" t="s">
        <v>172</v>
      </c>
      <c r="AG125" t="s">
        <v>244</v>
      </c>
    </row>
    <row r="126" spans="1:33">
      <c r="A126" t="s">
        <v>272</v>
      </c>
      <c r="B126">
        <v>45449</v>
      </c>
      <c r="C126">
        <v>45454</v>
      </c>
      <c r="D126" t="s">
        <v>21</v>
      </c>
      <c r="E126">
        <v>100</v>
      </c>
      <c r="F126">
        <v>823.39</v>
      </c>
      <c r="G126">
        <v>0.72</v>
      </c>
      <c r="H126">
        <v>81746.16</v>
      </c>
      <c r="I126" t="s">
        <v>1726</v>
      </c>
      <c r="J126">
        <v>736.34</v>
      </c>
      <c r="K126">
        <v>73634</v>
      </c>
      <c r="L126">
        <v>520.71</v>
      </c>
      <c r="M126">
        <v>544.36</v>
      </c>
      <c r="N126">
        <v>11593.7</v>
      </c>
      <c r="O126">
        <v>86292.77</v>
      </c>
      <c r="P126">
        <v>8112.16</v>
      </c>
      <c r="Q126">
        <v>-4546.6099999999997</v>
      </c>
      <c r="R126" t="s">
        <v>65</v>
      </c>
      <c r="S126">
        <v>81746.16</v>
      </c>
      <c r="T126">
        <v>0</v>
      </c>
      <c r="U126" t="s">
        <v>66</v>
      </c>
      <c r="V126" t="s">
        <v>14</v>
      </c>
      <c r="W126" t="s">
        <v>92</v>
      </c>
      <c r="X126" t="s">
        <v>147</v>
      </c>
      <c r="Y126" t="s">
        <v>28</v>
      </c>
      <c r="Z126">
        <v>0.73</v>
      </c>
      <c r="AA126">
        <f t="shared" si="3"/>
        <v>-4546.6099999999997</v>
      </c>
      <c r="AB126">
        <f t="shared" si="4"/>
        <v>-5.5618637009983089E-2</v>
      </c>
      <c r="AC126">
        <f t="shared" si="5"/>
        <v>0</v>
      </c>
      <c r="AD126">
        <v>2024</v>
      </c>
      <c r="AE126">
        <v>6</v>
      </c>
      <c r="AF126" t="s">
        <v>111</v>
      </c>
      <c r="AG126" t="s">
        <v>148</v>
      </c>
    </row>
    <row r="127" spans="1:33">
      <c r="A127" t="s">
        <v>273</v>
      </c>
      <c r="B127">
        <v>45560</v>
      </c>
      <c r="C127">
        <v>45563</v>
      </c>
      <c r="D127" t="s">
        <v>21</v>
      </c>
      <c r="E127">
        <v>100</v>
      </c>
      <c r="F127">
        <v>934.74</v>
      </c>
      <c r="G127">
        <v>2.4</v>
      </c>
      <c r="H127">
        <v>91230.62</v>
      </c>
      <c r="I127" t="s">
        <v>1727</v>
      </c>
      <c r="J127">
        <v>725.6</v>
      </c>
      <c r="K127">
        <v>72560</v>
      </c>
      <c r="L127">
        <v>1209.0999999999999</v>
      </c>
      <c r="M127">
        <v>299.92</v>
      </c>
      <c r="N127">
        <v>732.7</v>
      </c>
      <c r="O127">
        <v>74801.72</v>
      </c>
      <c r="P127">
        <v>18670.62</v>
      </c>
      <c r="Q127">
        <v>16428.900000000001</v>
      </c>
      <c r="R127" t="s">
        <v>85</v>
      </c>
      <c r="S127">
        <v>36357.94</v>
      </c>
      <c r="T127">
        <v>54872.68</v>
      </c>
      <c r="U127" t="s">
        <v>66</v>
      </c>
      <c r="V127" t="s">
        <v>14</v>
      </c>
      <c r="W127" t="s">
        <v>74</v>
      </c>
      <c r="X127" t="s">
        <v>239</v>
      </c>
      <c r="Y127" t="s">
        <v>28</v>
      </c>
      <c r="Z127">
        <v>0.88</v>
      </c>
      <c r="AA127">
        <f t="shared" si="3"/>
        <v>16428.900000000001</v>
      </c>
      <c r="AB127">
        <f t="shared" si="4"/>
        <v>0.18008098596721148</v>
      </c>
      <c r="AC127">
        <f t="shared" si="5"/>
        <v>0</v>
      </c>
      <c r="AD127">
        <v>2024</v>
      </c>
      <c r="AE127">
        <v>9</v>
      </c>
      <c r="AF127" t="s">
        <v>131</v>
      </c>
      <c r="AG127" t="s">
        <v>188</v>
      </c>
    </row>
    <row r="128" spans="1:33">
      <c r="A128" t="s">
        <v>274</v>
      </c>
      <c r="B128">
        <v>45812</v>
      </c>
      <c r="C128">
        <v>45815</v>
      </c>
      <c r="D128" t="s">
        <v>25</v>
      </c>
      <c r="E128">
        <v>200</v>
      </c>
      <c r="F128">
        <v>902.98</v>
      </c>
      <c r="G128">
        <v>0.15</v>
      </c>
      <c r="H128">
        <v>180325.11</v>
      </c>
      <c r="I128" t="s">
        <v>1726</v>
      </c>
      <c r="J128">
        <v>733.18</v>
      </c>
      <c r="K128">
        <v>146636</v>
      </c>
      <c r="L128">
        <v>2559.44</v>
      </c>
      <c r="M128">
        <v>534.16999999999996</v>
      </c>
      <c r="N128">
        <v>9009.07</v>
      </c>
      <c r="O128">
        <v>158738.68</v>
      </c>
      <c r="P128">
        <v>33689.11</v>
      </c>
      <c r="Q128">
        <v>21586.43</v>
      </c>
      <c r="R128" t="s">
        <v>65</v>
      </c>
      <c r="S128">
        <v>180325.11</v>
      </c>
      <c r="T128">
        <v>0</v>
      </c>
      <c r="U128" t="s">
        <v>66</v>
      </c>
      <c r="V128" t="s">
        <v>16</v>
      </c>
      <c r="W128" t="s">
        <v>74</v>
      </c>
      <c r="X128" t="s">
        <v>275</v>
      </c>
      <c r="Y128" t="s">
        <v>31</v>
      </c>
      <c r="Z128">
        <v>1.1200000000000001</v>
      </c>
      <c r="AA128">
        <f t="shared" si="3"/>
        <v>21586.43</v>
      </c>
      <c r="AB128">
        <f t="shared" si="4"/>
        <v>0.1197083977932968</v>
      </c>
      <c r="AC128">
        <f t="shared" si="5"/>
        <v>0</v>
      </c>
      <c r="AD128">
        <v>2025</v>
      </c>
      <c r="AE128">
        <v>6</v>
      </c>
      <c r="AF128" t="s">
        <v>111</v>
      </c>
      <c r="AG128" t="s">
        <v>112</v>
      </c>
    </row>
    <row r="129" spans="1:33">
      <c r="A129" t="s">
        <v>276</v>
      </c>
      <c r="B129">
        <v>45323</v>
      </c>
      <c r="C129">
        <v>45327</v>
      </c>
      <c r="D129" t="s">
        <v>21</v>
      </c>
      <c r="E129">
        <v>150</v>
      </c>
      <c r="F129">
        <v>800.08</v>
      </c>
      <c r="G129">
        <v>1.26</v>
      </c>
      <c r="H129">
        <v>118499.85</v>
      </c>
      <c r="I129" t="s">
        <v>1728</v>
      </c>
      <c r="J129">
        <v>654.70000000000005</v>
      </c>
      <c r="K129">
        <v>98205</v>
      </c>
      <c r="L129">
        <v>3424.71</v>
      </c>
      <c r="M129">
        <v>611.25</v>
      </c>
      <c r="N129">
        <v>2095.85</v>
      </c>
      <c r="O129">
        <v>104336.81</v>
      </c>
      <c r="P129">
        <v>20294.849999999999</v>
      </c>
      <c r="Q129">
        <v>14163.04</v>
      </c>
      <c r="R129" t="s">
        <v>65</v>
      </c>
      <c r="S129">
        <v>118499.85</v>
      </c>
      <c r="T129">
        <v>0</v>
      </c>
      <c r="U129" t="s">
        <v>73</v>
      </c>
      <c r="V129" t="s">
        <v>6</v>
      </c>
      <c r="W129" t="s">
        <v>67</v>
      </c>
      <c r="X129" t="s">
        <v>93</v>
      </c>
      <c r="Y129" t="s">
        <v>26</v>
      </c>
      <c r="Z129">
        <v>2.2400000000000002</v>
      </c>
      <c r="AA129">
        <f t="shared" si="3"/>
        <v>14163.04</v>
      </c>
      <c r="AB129">
        <f t="shared" si="4"/>
        <v>0.11951947618499095</v>
      </c>
      <c r="AC129">
        <f t="shared" si="5"/>
        <v>0</v>
      </c>
      <c r="AD129">
        <v>2024</v>
      </c>
      <c r="AE129">
        <v>2</v>
      </c>
      <c r="AF129" t="s">
        <v>172</v>
      </c>
      <c r="AG129" t="s">
        <v>173</v>
      </c>
    </row>
    <row r="130" spans="1:33">
      <c r="A130" t="s">
        <v>277</v>
      </c>
      <c r="B130">
        <v>45460</v>
      </c>
      <c r="D130" t="s">
        <v>23</v>
      </c>
      <c r="E130">
        <v>1000</v>
      </c>
      <c r="F130">
        <v>1300.79</v>
      </c>
      <c r="G130">
        <v>3.44</v>
      </c>
      <c r="H130">
        <v>1256042.82</v>
      </c>
      <c r="I130" t="s">
        <v>1726</v>
      </c>
      <c r="J130">
        <v>1101.74</v>
      </c>
      <c r="K130">
        <v>1101740</v>
      </c>
      <c r="L130">
        <v>14601.08</v>
      </c>
      <c r="M130">
        <v>5700.25</v>
      </c>
      <c r="N130">
        <v>8675.1299999999992</v>
      </c>
      <c r="O130">
        <v>1130716.46</v>
      </c>
      <c r="P130">
        <v>154302.82</v>
      </c>
      <c r="Q130">
        <v>125326.36</v>
      </c>
      <c r="R130" t="s">
        <v>65</v>
      </c>
      <c r="S130">
        <v>1256042.82</v>
      </c>
      <c r="T130">
        <v>0</v>
      </c>
      <c r="U130" t="s">
        <v>91</v>
      </c>
      <c r="V130" t="s">
        <v>6</v>
      </c>
      <c r="W130" t="s">
        <v>80</v>
      </c>
      <c r="X130" t="s">
        <v>68</v>
      </c>
      <c r="Y130" t="s">
        <v>31</v>
      </c>
      <c r="Z130">
        <v>0.96</v>
      </c>
      <c r="AA130">
        <f t="shared" ref="AA130:AA193" si="6">ROUND(H130-O130,2)</f>
        <v>125326.36</v>
      </c>
      <c r="AB130">
        <f t="shared" ref="AB130:AB193" si="7">AA130/H130</f>
        <v>9.977873206583833E-2</v>
      </c>
      <c r="AC130">
        <f t="shared" ref="AC130:AC193" si="8">ROUND(AA130-Q130,2)</f>
        <v>0</v>
      </c>
      <c r="AD130">
        <v>2024</v>
      </c>
      <c r="AE130">
        <v>6</v>
      </c>
      <c r="AF130" t="s">
        <v>111</v>
      </c>
      <c r="AG130" t="s">
        <v>148</v>
      </c>
    </row>
    <row r="131" spans="1:33">
      <c r="A131" t="s">
        <v>278</v>
      </c>
      <c r="B131">
        <v>45702</v>
      </c>
      <c r="C131">
        <v>45708</v>
      </c>
      <c r="D131" t="s">
        <v>29</v>
      </c>
      <c r="E131">
        <v>50</v>
      </c>
      <c r="F131">
        <v>2733.13</v>
      </c>
      <c r="G131">
        <v>1.95</v>
      </c>
      <c r="H131">
        <v>133991.70000000001</v>
      </c>
      <c r="I131" t="s">
        <v>1726</v>
      </c>
      <c r="J131">
        <v>2384.09</v>
      </c>
      <c r="K131">
        <v>119204.5</v>
      </c>
      <c r="L131">
        <v>343.03</v>
      </c>
      <c r="M131">
        <v>77.930000000000007</v>
      </c>
      <c r="N131">
        <v>1273.6500000000001</v>
      </c>
      <c r="O131">
        <v>120899.11</v>
      </c>
      <c r="P131">
        <v>14787.2</v>
      </c>
      <c r="Q131">
        <v>13092.59</v>
      </c>
      <c r="R131" t="s">
        <v>65</v>
      </c>
      <c r="S131">
        <v>133991.70000000001</v>
      </c>
      <c r="T131">
        <v>0</v>
      </c>
      <c r="U131" t="s">
        <v>66</v>
      </c>
      <c r="V131" t="s">
        <v>12</v>
      </c>
      <c r="W131" t="s">
        <v>141</v>
      </c>
      <c r="X131" t="s">
        <v>110</v>
      </c>
      <c r="Y131" t="s">
        <v>28</v>
      </c>
      <c r="Z131">
        <v>1.08</v>
      </c>
      <c r="AA131">
        <f t="shared" si="6"/>
        <v>13092.59</v>
      </c>
      <c r="AB131">
        <f t="shared" si="7"/>
        <v>9.7711947829604365E-2</v>
      </c>
      <c r="AC131">
        <f t="shared" si="8"/>
        <v>0</v>
      </c>
      <c r="AD131">
        <v>2025</v>
      </c>
      <c r="AE131">
        <v>2</v>
      </c>
      <c r="AF131" t="s">
        <v>172</v>
      </c>
      <c r="AG131" t="s">
        <v>244</v>
      </c>
    </row>
    <row r="132" spans="1:33">
      <c r="A132" t="s">
        <v>279</v>
      </c>
      <c r="B132">
        <v>45451</v>
      </c>
      <c r="D132" t="s">
        <v>21</v>
      </c>
      <c r="E132">
        <v>100</v>
      </c>
      <c r="F132">
        <v>855.44</v>
      </c>
      <c r="G132">
        <v>1.85</v>
      </c>
      <c r="H132">
        <v>83961.44</v>
      </c>
      <c r="I132" t="s">
        <v>1726</v>
      </c>
      <c r="J132">
        <v>689.51</v>
      </c>
      <c r="K132">
        <v>68951</v>
      </c>
      <c r="L132">
        <v>1643.19</v>
      </c>
      <c r="M132">
        <v>568.78</v>
      </c>
      <c r="N132">
        <v>4942.2700000000004</v>
      </c>
      <c r="O132">
        <v>76105.240000000005</v>
      </c>
      <c r="P132">
        <v>15010.44</v>
      </c>
      <c r="Q132">
        <v>7856.2</v>
      </c>
      <c r="R132" t="s">
        <v>85</v>
      </c>
      <c r="S132">
        <v>26930.3</v>
      </c>
      <c r="T132">
        <v>57031.14</v>
      </c>
      <c r="U132" t="s">
        <v>91</v>
      </c>
      <c r="V132" t="s">
        <v>8</v>
      </c>
      <c r="W132" t="s">
        <v>74</v>
      </c>
      <c r="X132" t="s">
        <v>224</v>
      </c>
      <c r="Y132" t="s">
        <v>31</v>
      </c>
      <c r="Z132">
        <v>1.0900000000000001</v>
      </c>
      <c r="AA132">
        <f t="shared" si="6"/>
        <v>7856.2</v>
      </c>
      <c r="AB132">
        <f t="shared" si="7"/>
        <v>9.3569143168578339E-2</v>
      </c>
      <c r="AC132">
        <f t="shared" si="8"/>
        <v>0</v>
      </c>
      <c r="AD132">
        <v>2024</v>
      </c>
      <c r="AE132">
        <v>6</v>
      </c>
      <c r="AF132" t="s">
        <v>111</v>
      </c>
      <c r="AG132" t="s">
        <v>148</v>
      </c>
    </row>
    <row r="133" spans="1:33">
      <c r="A133" t="s">
        <v>280</v>
      </c>
      <c r="B133">
        <v>45378</v>
      </c>
      <c r="C133">
        <v>45378</v>
      </c>
      <c r="D133" t="s">
        <v>25</v>
      </c>
      <c r="E133">
        <v>200</v>
      </c>
      <c r="F133">
        <v>941.37</v>
      </c>
      <c r="G133">
        <v>0.65</v>
      </c>
      <c r="H133">
        <v>187050.22</v>
      </c>
      <c r="I133" t="s">
        <v>1727</v>
      </c>
      <c r="J133">
        <v>785.04</v>
      </c>
      <c r="K133">
        <v>157008</v>
      </c>
      <c r="L133">
        <v>2596.81</v>
      </c>
      <c r="M133">
        <v>626.85</v>
      </c>
      <c r="N133">
        <v>7513.27</v>
      </c>
      <c r="O133">
        <v>167744.93</v>
      </c>
      <c r="P133">
        <v>30042.22</v>
      </c>
      <c r="Q133">
        <v>19305.29</v>
      </c>
      <c r="R133" t="s">
        <v>65</v>
      </c>
      <c r="S133">
        <v>187050.22</v>
      </c>
      <c r="T133">
        <v>0</v>
      </c>
      <c r="U133" t="s">
        <v>66</v>
      </c>
      <c r="V133" t="s">
        <v>14</v>
      </c>
      <c r="W133" t="s">
        <v>141</v>
      </c>
      <c r="X133" t="s">
        <v>162</v>
      </c>
      <c r="Y133" t="s">
        <v>26</v>
      </c>
      <c r="Z133">
        <v>0.23</v>
      </c>
      <c r="AA133">
        <f t="shared" si="6"/>
        <v>19305.29</v>
      </c>
      <c r="AB133">
        <f t="shared" si="7"/>
        <v>0.10320912747389445</v>
      </c>
      <c r="AC133">
        <f t="shared" si="8"/>
        <v>0</v>
      </c>
      <c r="AD133">
        <v>2024</v>
      </c>
      <c r="AE133">
        <v>3</v>
      </c>
      <c r="AF133" t="s">
        <v>105</v>
      </c>
      <c r="AG133" t="s">
        <v>120</v>
      </c>
    </row>
    <row r="134" spans="1:33">
      <c r="A134" t="s">
        <v>281</v>
      </c>
      <c r="B134">
        <v>45627</v>
      </c>
      <c r="C134">
        <v>45630</v>
      </c>
      <c r="D134" t="s">
        <v>21</v>
      </c>
      <c r="E134">
        <v>100</v>
      </c>
      <c r="F134">
        <v>875.67</v>
      </c>
      <c r="G134">
        <v>1.05</v>
      </c>
      <c r="H134">
        <v>86647.55</v>
      </c>
      <c r="I134" t="s">
        <v>1727</v>
      </c>
      <c r="J134">
        <v>704.66</v>
      </c>
      <c r="K134">
        <v>70466</v>
      </c>
      <c r="L134">
        <v>2167.11</v>
      </c>
      <c r="M134">
        <v>183.58</v>
      </c>
      <c r="N134">
        <v>11343.72</v>
      </c>
      <c r="O134">
        <v>84160.41</v>
      </c>
      <c r="P134">
        <v>16181.55</v>
      </c>
      <c r="Q134">
        <v>2487.14</v>
      </c>
      <c r="R134" t="s">
        <v>65</v>
      </c>
      <c r="S134">
        <v>86647.55</v>
      </c>
      <c r="T134">
        <v>0</v>
      </c>
      <c r="U134" t="s">
        <v>66</v>
      </c>
      <c r="V134" t="s">
        <v>8</v>
      </c>
      <c r="W134" t="s">
        <v>74</v>
      </c>
      <c r="X134" t="s">
        <v>239</v>
      </c>
      <c r="Y134" t="s">
        <v>28</v>
      </c>
      <c r="Z134">
        <v>1.08</v>
      </c>
      <c r="AA134">
        <f t="shared" si="6"/>
        <v>2487.14</v>
      </c>
      <c r="AB134">
        <f t="shared" si="7"/>
        <v>2.8704100692979777E-2</v>
      </c>
      <c r="AC134">
        <f t="shared" si="8"/>
        <v>0</v>
      </c>
      <c r="AD134">
        <v>2024</v>
      </c>
      <c r="AE134">
        <v>12</v>
      </c>
      <c r="AF134" t="s">
        <v>98</v>
      </c>
      <c r="AG134" t="s">
        <v>99</v>
      </c>
    </row>
    <row r="135" spans="1:33">
      <c r="A135" t="s">
        <v>282</v>
      </c>
      <c r="B135">
        <v>45694</v>
      </c>
      <c r="C135">
        <v>45701</v>
      </c>
      <c r="D135" t="s">
        <v>27</v>
      </c>
      <c r="E135">
        <v>200</v>
      </c>
      <c r="F135">
        <v>745.5</v>
      </c>
      <c r="G135">
        <v>1.03</v>
      </c>
      <c r="H135">
        <v>147564.26999999999</v>
      </c>
      <c r="I135" t="s">
        <v>1727</v>
      </c>
      <c r="J135">
        <v>587.59</v>
      </c>
      <c r="K135">
        <v>117518</v>
      </c>
      <c r="L135">
        <v>1050.56</v>
      </c>
      <c r="M135">
        <v>645.27</v>
      </c>
      <c r="N135">
        <v>373.44</v>
      </c>
      <c r="O135">
        <v>119587.27</v>
      </c>
      <c r="P135">
        <v>30046.27</v>
      </c>
      <c r="Q135">
        <v>27977</v>
      </c>
      <c r="R135" t="s">
        <v>65</v>
      </c>
      <c r="S135">
        <v>147564.26999999999</v>
      </c>
      <c r="T135">
        <v>0</v>
      </c>
      <c r="U135" t="s">
        <v>66</v>
      </c>
      <c r="V135" t="s">
        <v>10</v>
      </c>
      <c r="W135" t="s">
        <v>67</v>
      </c>
      <c r="X135" t="s">
        <v>159</v>
      </c>
      <c r="Y135" t="s">
        <v>30</v>
      </c>
      <c r="Z135">
        <v>1.18</v>
      </c>
      <c r="AA135">
        <f t="shared" si="6"/>
        <v>27977</v>
      </c>
      <c r="AB135">
        <f t="shared" si="7"/>
        <v>0.18959196558895999</v>
      </c>
      <c r="AC135">
        <f t="shared" si="8"/>
        <v>0</v>
      </c>
      <c r="AD135">
        <v>2025</v>
      </c>
      <c r="AE135">
        <v>2</v>
      </c>
      <c r="AF135" t="s">
        <v>172</v>
      </c>
      <c r="AG135" t="s">
        <v>244</v>
      </c>
    </row>
    <row r="136" spans="1:33">
      <c r="A136" t="s">
        <v>283</v>
      </c>
      <c r="B136">
        <v>45937</v>
      </c>
      <c r="C136">
        <v>45948</v>
      </c>
      <c r="D136" t="s">
        <v>25</v>
      </c>
      <c r="E136">
        <v>200</v>
      </c>
      <c r="F136">
        <v>992.97</v>
      </c>
      <c r="G136">
        <v>0.82</v>
      </c>
      <c r="H136">
        <v>196965.53</v>
      </c>
      <c r="I136" t="s">
        <v>1726</v>
      </c>
      <c r="J136">
        <v>775.15</v>
      </c>
      <c r="K136">
        <v>155030</v>
      </c>
      <c r="L136">
        <v>2441.96</v>
      </c>
      <c r="M136">
        <v>632.41999999999996</v>
      </c>
      <c r="N136">
        <v>2343.73</v>
      </c>
      <c r="O136">
        <v>160448.10999999999</v>
      </c>
      <c r="P136">
        <v>41935.53</v>
      </c>
      <c r="Q136">
        <v>36517.42</v>
      </c>
      <c r="R136" t="s">
        <v>65</v>
      </c>
      <c r="S136">
        <v>196965.53</v>
      </c>
      <c r="T136">
        <v>0</v>
      </c>
      <c r="U136" t="s">
        <v>66</v>
      </c>
      <c r="V136" t="s">
        <v>6</v>
      </c>
      <c r="W136" t="s">
        <v>80</v>
      </c>
      <c r="X136" t="s">
        <v>97</v>
      </c>
      <c r="Y136" t="s">
        <v>24</v>
      </c>
      <c r="Z136">
        <v>0.41</v>
      </c>
      <c r="AA136">
        <f t="shared" si="6"/>
        <v>36517.42</v>
      </c>
      <c r="AB136">
        <f t="shared" si="7"/>
        <v>0.18540005451715333</v>
      </c>
      <c r="AC136">
        <f t="shared" si="8"/>
        <v>0</v>
      </c>
      <c r="AD136">
        <v>2025</v>
      </c>
      <c r="AE136">
        <v>10</v>
      </c>
      <c r="AF136" t="s">
        <v>138</v>
      </c>
      <c r="AG136" t="s">
        <v>160</v>
      </c>
    </row>
    <row r="137" spans="1:33">
      <c r="A137" t="s">
        <v>284</v>
      </c>
      <c r="B137">
        <v>45739</v>
      </c>
      <c r="C137">
        <v>45749</v>
      </c>
      <c r="D137" t="s">
        <v>21</v>
      </c>
      <c r="E137">
        <v>150</v>
      </c>
      <c r="F137">
        <v>948.93</v>
      </c>
      <c r="G137">
        <v>2.02</v>
      </c>
      <c r="H137">
        <v>139464.24</v>
      </c>
      <c r="I137" t="s">
        <v>1727</v>
      </c>
      <c r="J137">
        <v>676.37</v>
      </c>
      <c r="K137">
        <v>101455.5</v>
      </c>
      <c r="L137">
        <v>3191.56</v>
      </c>
      <c r="M137">
        <v>408.76</v>
      </c>
      <c r="N137">
        <v>2447.44</v>
      </c>
      <c r="O137">
        <v>107503.26</v>
      </c>
      <c r="P137">
        <v>38008.74</v>
      </c>
      <c r="Q137">
        <v>31960.98</v>
      </c>
      <c r="R137" t="s">
        <v>65</v>
      </c>
      <c r="S137">
        <v>139464.24</v>
      </c>
      <c r="T137">
        <v>0</v>
      </c>
      <c r="U137" t="s">
        <v>66</v>
      </c>
      <c r="V137" t="s">
        <v>6</v>
      </c>
      <c r="W137" t="s">
        <v>74</v>
      </c>
      <c r="X137" t="s">
        <v>285</v>
      </c>
      <c r="Y137" t="s">
        <v>28</v>
      </c>
      <c r="Z137">
        <v>2.2000000000000002</v>
      </c>
      <c r="AA137">
        <f t="shared" si="6"/>
        <v>31960.98</v>
      </c>
      <c r="AB137">
        <f t="shared" si="7"/>
        <v>0.2291697140428256</v>
      </c>
      <c r="AC137">
        <f t="shared" si="8"/>
        <v>0</v>
      </c>
      <c r="AD137">
        <v>2025</v>
      </c>
      <c r="AE137">
        <v>3</v>
      </c>
      <c r="AF137" t="s">
        <v>105</v>
      </c>
      <c r="AG137" t="s">
        <v>106</v>
      </c>
    </row>
    <row r="138" spans="1:33">
      <c r="A138" t="s">
        <v>286</v>
      </c>
      <c r="B138">
        <v>45747</v>
      </c>
      <c r="C138">
        <v>45761</v>
      </c>
      <c r="D138" t="s">
        <v>29</v>
      </c>
      <c r="E138">
        <v>750</v>
      </c>
      <c r="F138">
        <v>3093.49</v>
      </c>
      <c r="G138">
        <v>3.73</v>
      </c>
      <c r="H138">
        <v>2233577.12</v>
      </c>
      <c r="I138" t="s">
        <v>1728</v>
      </c>
      <c r="J138">
        <v>2163.94</v>
      </c>
      <c r="K138">
        <v>1622955</v>
      </c>
      <c r="L138">
        <v>6170.1</v>
      </c>
      <c r="M138">
        <v>4117.09</v>
      </c>
      <c r="N138">
        <v>11163.72</v>
      </c>
      <c r="O138">
        <v>1644405.91</v>
      </c>
      <c r="P138">
        <v>610622.12</v>
      </c>
      <c r="Q138">
        <v>589171.21</v>
      </c>
      <c r="R138" t="s">
        <v>65</v>
      </c>
      <c r="S138">
        <v>2233577.12</v>
      </c>
      <c r="T138">
        <v>0</v>
      </c>
      <c r="U138" t="s">
        <v>66</v>
      </c>
      <c r="V138" t="s">
        <v>10</v>
      </c>
      <c r="W138" t="s">
        <v>80</v>
      </c>
      <c r="X138" t="s">
        <v>145</v>
      </c>
      <c r="Y138" t="s">
        <v>30</v>
      </c>
      <c r="Z138">
        <v>0.78</v>
      </c>
      <c r="AA138">
        <f t="shared" si="6"/>
        <v>589171.21</v>
      </c>
      <c r="AB138">
        <f t="shared" si="7"/>
        <v>0.2637792108114001</v>
      </c>
      <c r="AC138">
        <f t="shared" si="8"/>
        <v>0</v>
      </c>
      <c r="AD138">
        <v>2025</v>
      </c>
      <c r="AE138">
        <v>3</v>
      </c>
      <c r="AF138" t="s">
        <v>105</v>
      </c>
      <c r="AG138" t="s">
        <v>106</v>
      </c>
    </row>
    <row r="139" spans="1:33">
      <c r="A139" t="s">
        <v>287</v>
      </c>
      <c r="B139">
        <v>45918</v>
      </c>
      <c r="C139">
        <v>45932</v>
      </c>
      <c r="D139" t="s">
        <v>23</v>
      </c>
      <c r="E139">
        <v>300</v>
      </c>
      <c r="F139">
        <v>1289.96</v>
      </c>
      <c r="G139">
        <v>0.43</v>
      </c>
      <c r="H139">
        <v>385323.95</v>
      </c>
      <c r="I139" t="s">
        <v>1726</v>
      </c>
      <c r="J139">
        <v>986.76</v>
      </c>
      <c r="K139">
        <v>296028</v>
      </c>
      <c r="L139">
        <v>6467.18</v>
      </c>
      <c r="M139">
        <v>949.5</v>
      </c>
      <c r="N139">
        <v>7888.14</v>
      </c>
      <c r="O139">
        <v>311332.82</v>
      </c>
      <c r="P139">
        <v>89295.95</v>
      </c>
      <c r="Q139">
        <v>73991.13</v>
      </c>
      <c r="R139" t="s">
        <v>65</v>
      </c>
      <c r="S139">
        <v>385323.95</v>
      </c>
      <c r="T139">
        <v>0</v>
      </c>
      <c r="U139" t="s">
        <v>73</v>
      </c>
      <c r="V139" t="s">
        <v>6</v>
      </c>
      <c r="W139" t="s">
        <v>92</v>
      </c>
      <c r="X139" t="s">
        <v>176</v>
      </c>
      <c r="Y139" t="s">
        <v>22</v>
      </c>
      <c r="Z139">
        <v>1.48</v>
      </c>
      <c r="AA139">
        <f t="shared" si="6"/>
        <v>73991.13</v>
      </c>
      <c r="AB139">
        <f t="shared" si="7"/>
        <v>0.19202317945718142</v>
      </c>
      <c r="AC139">
        <f t="shared" si="8"/>
        <v>0</v>
      </c>
      <c r="AD139">
        <v>2025</v>
      </c>
      <c r="AE139">
        <v>9</v>
      </c>
      <c r="AF139" t="s">
        <v>131</v>
      </c>
      <c r="AG139" t="s">
        <v>132</v>
      </c>
    </row>
    <row r="140" spans="1:33">
      <c r="A140" t="s">
        <v>288</v>
      </c>
      <c r="B140">
        <v>45971</v>
      </c>
      <c r="D140" t="s">
        <v>25</v>
      </c>
      <c r="E140">
        <v>150</v>
      </c>
      <c r="F140">
        <v>989.28</v>
      </c>
      <c r="G140">
        <v>2.09</v>
      </c>
      <c r="H140">
        <v>145290.60999999999</v>
      </c>
      <c r="I140" t="s">
        <v>1727</v>
      </c>
      <c r="J140">
        <v>793.15</v>
      </c>
      <c r="K140">
        <v>118972.5</v>
      </c>
      <c r="L140">
        <v>3531.45</v>
      </c>
      <c r="M140">
        <v>300.02999999999997</v>
      </c>
      <c r="N140">
        <v>11397.89</v>
      </c>
      <c r="O140">
        <v>134201.87</v>
      </c>
      <c r="P140">
        <v>26318.11</v>
      </c>
      <c r="Q140">
        <v>11088.74</v>
      </c>
      <c r="R140" t="s">
        <v>65</v>
      </c>
      <c r="S140">
        <v>145290.60999999999</v>
      </c>
      <c r="T140">
        <v>0</v>
      </c>
      <c r="U140" t="s">
        <v>91</v>
      </c>
      <c r="V140" t="s">
        <v>8</v>
      </c>
      <c r="W140" t="s">
        <v>141</v>
      </c>
      <c r="X140" t="s">
        <v>86</v>
      </c>
      <c r="Y140" t="s">
        <v>30</v>
      </c>
      <c r="Z140">
        <v>2.21</v>
      </c>
      <c r="AA140">
        <f t="shared" si="6"/>
        <v>11088.74</v>
      </c>
      <c r="AB140">
        <f t="shared" si="7"/>
        <v>7.6321105679162615E-2</v>
      </c>
      <c r="AC140">
        <f t="shared" si="8"/>
        <v>0</v>
      </c>
      <c r="AD140">
        <v>2025</v>
      </c>
      <c r="AE140">
        <v>11</v>
      </c>
      <c r="AF140" t="s">
        <v>128</v>
      </c>
      <c r="AG140" t="s">
        <v>135</v>
      </c>
    </row>
    <row r="141" spans="1:33">
      <c r="A141" t="s">
        <v>289</v>
      </c>
      <c r="B141">
        <v>45597</v>
      </c>
      <c r="C141">
        <v>45598</v>
      </c>
      <c r="D141" t="s">
        <v>25</v>
      </c>
      <c r="E141">
        <v>750</v>
      </c>
      <c r="F141">
        <v>1077</v>
      </c>
      <c r="G141">
        <v>4.87</v>
      </c>
      <c r="H141">
        <v>768412.58</v>
      </c>
      <c r="I141" t="s">
        <v>1727</v>
      </c>
      <c r="J141">
        <v>810.76</v>
      </c>
      <c r="K141">
        <v>608070</v>
      </c>
      <c r="L141">
        <v>16059.49</v>
      </c>
      <c r="M141">
        <v>2414.5500000000002</v>
      </c>
      <c r="N141">
        <v>3400.74</v>
      </c>
      <c r="O141">
        <v>629944.78</v>
      </c>
      <c r="P141">
        <v>160342.57999999999</v>
      </c>
      <c r="Q141">
        <v>138467.79999999999</v>
      </c>
      <c r="R141" t="s">
        <v>85</v>
      </c>
      <c r="S141">
        <v>607806.42000000004</v>
      </c>
      <c r="T141">
        <v>160606.16</v>
      </c>
      <c r="U141" t="s">
        <v>66</v>
      </c>
      <c r="V141" t="s">
        <v>10</v>
      </c>
      <c r="W141" t="s">
        <v>67</v>
      </c>
      <c r="X141" t="s">
        <v>205</v>
      </c>
      <c r="Y141" t="s">
        <v>24</v>
      </c>
      <c r="Z141">
        <v>1.24</v>
      </c>
      <c r="AA141">
        <f t="shared" si="6"/>
        <v>138467.79999999999</v>
      </c>
      <c r="AB141">
        <f t="shared" si="7"/>
        <v>0.18019980880583708</v>
      </c>
      <c r="AC141">
        <f t="shared" si="8"/>
        <v>0</v>
      </c>
      <c r="AD141">
        <v>2024</v>
      </c>
      <c r="AE141">
        <v>11</v>
      </c>
      <c r="AF141" t="s">
        <v>128</v>
      </c>
      <c r="AG141" t="s">
        <v>129</v>
      </c>
    </row>
    <row r="142" spans="1:33">
      <c r="A142" t="s">
        <v>290</v>
      </c>
      <c r="B142">
        <v>45925</v>
      </c>
      <c r="C142">
        <v>45928</v>
      </c>
      <c r="D142" t="s">
        <v>23</v>
      </c>
      <c r="E142">
        <v>200</v>
      </c>
      <c r="F142">
        <v>1210.27</v>
      </c>
      <c r="G142">
        <v>2.0299999999999998</v>
      </c>
      <c r="H142">
        <v>237140.3</v>
      </c>
      <c r="I142" t="s">
        <v>1726</v>
      </c>
      <c r="J142">
        <v>1031.5899999999999</v>
      </c>
      <c r="K142">
        <v>206318</v>
      </c>
      <c r="L142">
        <v>2198.1799999999998</v>
      </c>
      <c r="M142">
        <v>478</v>
      </c>
      <c r="N142">
        <v>5354.1</v>
      </c>
      <c r="O142">
        <v>214348.28</v>
      </c>
      <c r="P142">
        <v>30822.3</v>
      </c>
      <c r="Q142">
        <v>22792.02</v>
      </c>
      <c r="R142" t="s">
        <v>85</v>
      </c>
      <c r="S142">
        <v>102062.78</v>
      </c>
      <c r="T142">
        <v>135077.51999999999</v>
      </c>
      <c r="U142" t="s">
        <v>66</v>
      </c>
      <c r="V142" t="s">
        <v>6</v>
      </c>
      <c r="W142" t="s">
        <v>92</v>
      </c>
      <c r="X142" t="s">
        <v>110</v>
      </c>
      <c r="Y142" t="s">
        <v>28</v>
      </c>
      <c r="Z142">
        <v>1.08</v>
      </c>
      <c r="AA142">
        <f t="shared" si="6"/>
        <v>22792.02</v>
      </c>
      <c r="AB142">
        <f t="shared" si="7"/>
        <v>9.6111964098889988E-2</v>
      </c>
      <c r="AC142">
        <f t="shared" si="8"/>
        <v>0</v>
      </c>
      <c r="AD142">
        <v>2025</v>
      </c>
      <c r="AE142">
        <v>9</v>
      </c>
      <c r="AF142" t="s">
        <v>131</v>
      </c>
      <c r="AG142" t="s">
        <v>132</v>
      </c>
    </row>
    <row r="143" spans="1:33">
      <c r="A143" t="s">
        <v>291</v>
      </c>
      <c r="B143">
        <v>45941</v>
      </c>
      <c r="C143">
        <v>45949</v>
      </c>
      <c r="D143" t="s">
        <v>21</v>
      </c>
      <c r="E143">
        <v>500</v>
      </c>
      <c r="F143">
        <v>896.84</v>
      </c>
      <c r="G143">
        <v>4.6399999999999997</v>
      </c>
      <c r="H143">
        <v>427613.31</v>
      </c>
      <c r="I143" t="s">
        <v>1727</v>
      </c>
      <c r="J143">
        <v>703.13</v>
      </c>
      <c r="K143">
        <v>351565</v>
      </c>
      <c r="L143">
        <v>10145.69</v>
      </c>
      <c r="M143">
        <v>2130.9499999999998</v>
      </c>
      <c r="N143">
        <v>2875.93</v>
      </c>
      <c r="O143">
        <v>366717.57</v>
      </c>
      <c r="P143">
        <v>76048.31</v>
      </c>
      <c r="Q143">
        <v>60895.74</v>
      </c>
      <c r="R143" t="s">
        <v>65</v>
      </c>
      <c r="S143">
        <v>427613.31</v>
      </c>
      <c r="T143">
        <v>0</v>
      </c>
      <c r="U143" t="s">
        <v>66</v>
      </c>
      <c r="V143" t="s">
        <v>10</v>
      </c>
      <c r="W143" t="s">
        <v>92</v>
      </c>
      <c r="X143" t="s">
        <v>123</v>
      </c>
      <c r="Y143" t="s">
        <v>22</v>
      </c>
      <c r="Z143">
        <v>1.92</v>
      </c>
      <c r="AA143">
        <f t="shared" si="6"/>
        <v>60895.74</v>
      </c>
      <c r="AB143">
        <f t="shared" si="7"/>
        <v>0.14240842970954296</v>
      </c>
      <c r="AC143">
        <f t="shared" si="8"/>
        <v>0</v>
      </c>
      <c r="AD143">
        <v>2025</v>
      </c>
      <c r="AE143">
        <v>10</v>
      </c>
      <c r="AF143" t="s">
        <v>138</v>
      </c>
      <c r="AG143" t="s">
        <v>160</v>
      </c>
    </row>
    <row r="144" spans="1:33">
      <c r="A144" t="s">
        <v>292</v>
      </c>
      <c r="B144">
        <v>45756</v>
      </c>
      <c r="C144">
        <v>45761</v>
      </c>
      <c r="D144" t="s">
        <v>23</v>
      </c>
      <c r="E144">
        <v>250</v>
      </c>
      <c r="F144">
        <v>1310.75</v>
      </c>
      <c r="G144">
        <v>0.06</v>
      </c>
      <c r="H144">
        <v>327490.89</v>
      </c>
      <c r="I144" t="s">
        <v>1727</v>
      </c>
      <c r="J144">
        <v>981.59</v>
      </c>
      <c r="K144">
        <v>245397.5</v>
      </c>
      <c r="L144">
        <v>5524.58</v>
      </c>
      <c r="M144">
        <v>525.98</v>
      </c>
      <c r="N144">
        <v>9987.15</v>
      </c>
      <c r="O144">
        <v>261435.21</v>
      </c>
      <c r="P144">
        <v>82093.39</v>
      </c>
      <c r="Q144">
        <v>66055.679999999993</v>
      </c>
      <c r="R144" t="s">
        <v>65</v>
      </c>
      <c r="S144">
        <v>327490.89</v>
      </c>
      <c r="T144">
        <v>0</v>
      </c>
      <c r="U144" t="s">
        <v>66</v>
      </c>
      <c r="V144" t="s">
        <v>6</v>
      </c>
      <c r="W144" t="s">
        <v>67</v>
      </c>
      <c r="X144" t="s">
        <v>182</v>
      </c>
      <c r="Y144" t="s">
        <v>26</v>
      </c>
      <c r="Z144">
        <v>1.93</v>
      </c>
      <c r="AA144">
        <f t="shared" si="6"/>
        <v>66055.679999999993</v>
      </c>
      <c r="AB144">
        <f t="shared" si="7"/>
        <v>0.20170234353694538</v>
      </c>
      <c r="AC144">
        <f t="shared" si="8"/>
        <v>0</v>
      </c>
      <c r="AD144">
        <v>2025</v>
      </c>
      <c r="AE144">
        <v>4</v>
      </c>
      <c r="AF144" t="s">
        <v>154</v>
      </c>
      <c r="AG144" t="s">
        <v>155</v>
      </c>
    </row>
    <row r="145" spans="1:33">
      <c r="A145" t="s">
        <v>293</v>
      </c>
      <c r="B145">
        <v>45321</v>
      </c>
      <c r="C145">
        <v>45326</v>
      </c>
      <c r="D145" t="s">
        <v>21</v>
      </c>
      <c r="E145">
        <v>1000</v>
      </c>
      <c r="F145">
        <v>895.15</v>
      </c>
      <c r="G145">
        <v>3.31</v>
      </c>
      <c r="H145">
        <v>865520.54</v>
      </c>
      <c r="I145" t="s">
        <v>1726</v>
      </c>
      <c r="J145">
        <v>677.06</v>
      </c>
      <c r="K145">
        <v>677060</v>
      </c>
      <c r="L145">
        <v>19802.05</v>
      </c>
      <c r="M145">
        <v>2694.35</v>
      </c>
      <c r="N145">
        <v>7914.18</v>
      </c>
      <c r="O145">
        <v>707470.58</v>
      </c>
      <c r="P145">
        <v>188460.54</v>
      </c>
      <c r="Q145">
        <v>158049.96</v>
      </c>
      <c r="R145" t="s">
        <v>65</v>
      </c>
      <c r="S145">
        <v>865520.54</v>
      </c>
      <c r="T145">
        <v>0</v>
      </c>
      <c r="U145" t="s">
        <v>73</v>
      </c>
      <c r="V145" t="s">
        <v>6</v>
      </c>
      <c r="W145" t="s">
        <v>92</v>
      </c>
      <c r="X145" t="s">
        <v>101</v>
      </c>
      <c r="Y145" t="s">
        <v>22</v>
      </c>
      <c r="Z145">
        <v>1.86</v>
      </c>
      <c r="AA145">
        <f t="shared" si="6"/>
        <v>158049.96</v>
      </c>
      <c r="AB145">
        <f t="shared" si="7"/>
        <v>0.18260682756298308</v>
      </c>
      <c r="AC145">
        <f t="shared" si="8"/>
        <v>0</v>
      </c>
      <c r="AD145">
        <v>2024</v>
      </c>
      <c r="AE145">
        <v>1</v>
      </c>
      <c r="AF145" t="s">
        <v>102</v>
      </c>
      <c r="AG145" t="s">
        <v>103</v>
      </c>
    </row>
    <row r="146" spans="1:33">
      <c r="A146" t="s">
        <v>294</v>
      </c>
      <c r="B146">
        <v>45697</v>
      </c>
      <c r="C146">
        <v>45700</v>
      </c>
      <c r="D146" t="s">
        <v>27</v>
      </c>
      <c r="E146">
        <v>500</v>
      </c>
      <c r="F146">
        <v>732.23</v>
      </c>
      <c r="G146">
        <v>4.87</v>
      </c>
      <c r="H146">
        <v>348285.2</v>
      </c>
      <c r="I146" t="s">
        <v>1726</v>
      </c>
      <c r="J146">
        <v>556.84</v>
      </c>
      <c r="K146">
        <v>278420</v>
      </c>
      <c r="L146">
        <v>6217.94</v>
      </c>
      <c r="M146">
        <v>1240.44</v>
      </c>
      <c r="N146">
        <v>8538.91</v>
      </c>
      <c r="O146">
        <v>294417.28999999998</v>
      </c>
      <c r="P146">
        <v>69865.2</v>
      </c>
      <c r="Q146">
        <v>53867.91</v>
      </c>
      <c r="R146" t="s">
        <v>65</v>
      </c>
      <c r="S146">
        <v>348285.2</v>
      </c>
      <c r="T146">
        <v>0</v>
      </c>
      <c r="U146" t="s">
        <v>66</v>
      </c>
      <c r="V146" t="s">
        <v>6</v>
      </c>
      <c r="W146" t="s">
        <v>67</v>
      </c>
      <c r="X146" t="s">
        <v>123</v>
      </c>
      <c r="Y146" t="s">
        <v>22</v>
      </c>
      <c r="Z146">
        <v>2.35</v>
      </c>
      <c r="AA146">
        <f t="shared" si="6"/>
        <v>53867.91</v>
      </c>
      <c r="AB146">
        <f t="shared" si="7"/>
        <v>0.15466608974484131</v>
      </c>
      <c r="AC146">
        <f t="shared" si="8"/>
        <v>0</v>
      </c>
      <c r="AD146">
        <v>2025</v>
      </c>
      <c r="AE146">
        <v>2</v>
      </c>
      <c r="AF146" t="s">
        <v>172</v>
      </c>
      <c r="AG146" t="s">
        <v>244</v>
      </c>
    </row>
    <row r="147" spans="1:33">
      <c r="A147" t="s">
        <v>295</v>
      </c>
      <c r="B147">
        <v>45802</v>
      </c>
      <c r="C147">
        <v>45813</v>
      </c>
      <c r="D147" t="s">
        <v>21</v>
      </c>
      <c r="E147">
        <v>100</v>
      </c>
      <c r="F147">
        <v>809.52</v>
      </c>
      <c r="G147">
        <v>1.1200000000000001</v>
      </c>
      <c r="H147">
        <v>80045.34</v>
      </c>
      <c r="I147" t="s">
        <v>1727</v>
      </c>
      <c r="J147">
        <v>657.43</v>
      </c>
      <c r="K147">
        <v>65743</v>
      </c>
      <c r="L147">
        <v>782.37</v>
      </c>
      <c r="M147">
        <v>380.76</v>
      </c>
      <c r="N147">
        <v>1890.81</v>
      </c>
      <c r="O147">
        <v>68796.94</v>
      </c>
      <c r="P147">
        <v>14302.34</v>
      </c>
      <c r="Q147">
        <v>11248.4</v>
      </c>
      <c r="R147" t="s">
        <v>85</v>
      </c>
      <c r="S147">
        <v>34556.82</v>
      </c>
      <c r="T147">
        <v>45488.52</v>
      </c>
      <c r="U147" t="s">
        <v>66</v>
      </c>
      <c r="V147" t="s">
        <v>8</v>
      </c>
      <c r="W147" t="s">
        <v>67</v>
      </c>
      <c r="X147" t="s">
        <v>89</v>
      </c>
      <c r="Y147" t="s">
        <v>28</v>
      </c>
      <c r="Z147">
        <v>2.17</v>
      </c>
      <c r="AA147">
        <f t="shared" si="6"/>
        <v>11248.4</v>
      </c>
      <c r="AB147">
        <f t="shared" si="7"/>
        <v>0.14052535725377643</v>
      </c>
      <c r="AC147">
        <f t="shared" si="8"/>
        <v>0</v>
      </c>
      <c r="AD147">
        <v>2025</v>
      </c>
      <c r="AE147">
        <v>5</v>
      </c>
      <c r="AF147" t="s">
        <v>76</v>
      </c>
      <c r="AG147" t="s">
        <v>94</v>
      </c>
    </row>
    <row r="148" spans="1:33">
      <c r="A148" t="s">
        <v>296</v>
      </c>
      <c r="B148">
        <v>45921</v>
      </c>
      <c r="C148">
        <v>45925</v>
      </c>
      <c r="D148" t="s">
        <v>21</v>
      </c>
      <c r="E148">
        <v>250</v>
      </c>
      <c r="F148">
        <v>931.84</v>
      </c>
      <c r="G148">
        <v>0.9</v>
      </c>
      <c r="H148">
        <v>230863.35999999999</v>
      </c>
      <c r="I148" t="s">
        <v>1728</v>
      </c>
      <c r="J148">
        <v>674.12</v>
      </c>
      <c r="K148">
        <v>168530</v>
      </c>
      <c r="L148">
        <v>1725.47</v>
      </c>
      <c r="M148">
        <v>1090.08</v>
      </c>
      <c r="N148">
        <v>4025.28</v>
      </c>
      <c r="O148">
        <v>175370.83</v>
      </c>
      <c r="P148">
        <v>62333.36</v>
      </c>
      <c r="Q148">
        <v>55492.53</v>
      </c>
      <c r="R148" t="s">
        <v>85</v>
      </c>
      <c r="S148">
        <v>64401.53</v>
      </c>
      <c r="T148">
        <v>166461.82999999999</v>
      </c>
      <c r="U148" t="s">
        <v>66</v>
      </c>
      <c r="V148" t="s">
        <v>14</v>
      </c>
      <c r="W148" t="s">
        <v>92</v>
      </c>
      <c r="X148" t="s">
        <v>68</v>
      </c>
      <c r="Y148" t="s">
        <v>31</v>
      </c>
      <c r="Z148">
        <v>1.47</v>
      </c>
      <c r="AA148">
        <f t="shared" si="6"/>
        <v>55492.53</v>
      </c>
      <c r="AB148">
        <f t="shared" si="7"/>
        <v>0.24036958484880408</v>
      </c>
      <c r="AC148">
        <f t="shared" si="8"/>
        <v>0</v>
      </c>
      <c r="AD148">
        <v>2025</v>
      </c>
      <c r="AE148">
        <v>9</v>
      </c>
      <c r="AF148" t="s">
        <v>131</v>
      </c>
      <c r="AG148" t="s">
        <v>132</v>
      </c>
    </row>
    <row r="149" spans="1:33">
      <c r="A149" t="s">
        <v>297</v>
      </c>
      <c r="B149">
        <v>45904</v>
      </c>
      <c r="C149">
        <v>45915</v>
      </c>
      <c r="D149" t="s">
        <v>21</v>
      </c>
      <c r="E149">
        <v>300</v>
      </c>
      <c r="F149">
        <v>856.79</v>
      </c>
      <c r="G149">
        <v>1.06</v>
      </c>
      <c r="H149">
        <v>254312.41</v>
      </c>
      <c r="I149" t="s">
        <v>1729</v>
      </c>
      <c r="J149">
        <v>677.73</v>
      </c>
      <c r="K149">
        <v>203319</v>
      </c>
      <c r="L149">
        <v>2948.3</v>
      </c>
      <c r="M149">
        <v>550.12</v>
      </c>
      <c r="N149">
        <v>3479</v>
      </c>
      <c r="O149">
        <v>210296.42</v>
      </c>
      <c r="P149">
        <v>50993.41</v>
      </c>
      <c r="Q149">
        <v>44015.99</v>
      </c>
      <c r="R149" t="s">
        <v>65</v>
      </c>
      <c r="S149">
        <v>254312.41</v>
      </c>
      <c r="T149">
        <v>0</v>
      </c>
      <c r="U149" t="s">
        <v>66</v>
      </c>
      <c r="V149" t="s">
        <v>10</v>
      </c>
      <c r="W149" t="s">
        <v>141</v>
      </c>
      <c r="X149" t="s">
        <v>127</v>
      </c>
      <c r="Y149" t="s">
        <v>22</v>
      </c>
      <c r="Z149">
        <v>2.37</v>
      </c>
      <c r="AA149">
        <f t="shared" si="6"/>
        <v>44015.99</v>
      </c>
      <c r="AB149">
        <f t="shared" si="7"/>
        <v>0.17307841957063755</v>
      </c>
      <c r="AC149">
        <f t="shared" si="8"/>
        <v>0</v>
      </c>
      <c r="AD149">
        <v>2025</v>
      </c>
      <c r="AE149">
        <v>9</v>
      </c>
      <c r="AF149" t="s">
        <v>131</v>
      </c>
      <c r="AG149" t="s">
        <v>132</v>
      </c>
    </row>
    <row r="150" spans="1:33">
      <c r="A150" t="s">
        <v>298</v>
      </c>
      <c r="B150">
        <v>45774</v>
      </c>
      <c r="C150">
        <v>45782</v>
      </c>
      <c r="D150" t="s">
        <v>21</v>
      </c>
      <c r="E150">
        <v>50</v>
      </c>
      <c r="F150">
        <v>881.1</v>
      </c>
      <c r="G150">
        <v>1.62</v>
      </c>
      <c r="H150">
        <v>43341.31</v>
      </c>
      <c r="I150" t="s">
        <v>1726</v>
      </c>
      <c r="J150">
        <v>658.95</v>
      </c>
      <c r="K150">
        <v>32947.5</v>
      </c>
      <c r="L150">
        <v>1166.6199999999999</v>
      </c>
      <c r="M150">
        <v>299.81</v>
      </c>
      <c r="N150">
        <v>3900.8</v>
      </c>
      <c r="O150">
        <v>38314.730000000003</v>
      </c>
      <c r="P150">
        <v>10393.81</v>
      </c>
      <c r="Q150">
        <v>5026.58</v>
      </c>
      <c r="R150" t="s">
        <v>85</v>
      </c>
      <c r="S150">
        <v>11068.49</v>
      </c>
      <c r="T150">
        <v>32272.82</v>
      </c>
      <c r="U150" t="s">
        <v>66</v>
      </c>
      <c r="V150" t="s">
        <v>10</v>
      </c>
      <c r="W150" t="s">
        <v>74</v>
      </c>
      <c r="X150" t="s">
        <v>86</v>
      </c>
      <c r="Y150" t="s">
        <v>30</v>
      </c>
      <c r="Z150">
        <v>1.1100000000000001</v>
      </c>
      <c r="AA150">
        <f t="shared" si="6"/>
        <v>5026.58</v>
      </c>
      <c r="AB150">
        <f t="shared" si="7"/>
        <v>0.11597665137486615</v>
      </c>
      <c r="AC150">
        <f t="shared" si="8"/>
        <v>0</v>
      </c>
      <c r="AD150">
        <v>2025</v>
      </c>
      <c r="AE150">
        <v>4</v>
      </c>
      <c r="AF150" t="s">
        <v>154</v>
      </c>
      <c r="AG150" t="s">
        <v>155</v>
      </c>
    </row>
    <row r="151" spans="1:33">
      <c r="A151" t="s">
        <v>299</v>
      </c>
      <c r="B151">
        <v>45505</v>
      </c>
      <c r="C151">
        <v>45506</v>
      </c>
      <c r="D151" t="s">
        <v>23</v>
      </c>
      <c r="E151">
        <v>300</v>
      </c>
      <c r="F151">
        <v>1333.22</v>
      </c>
      <c r="G151">
        <v>2.2999999999999998</v>
      </c>
      <c r="H151">
        <v>390766.78</v>
      </c>
      <c r="I151" t="s">
        <v>1729</v>
      </c>
      <c r="J151">
        <v>1089.06</v>
      </c>
      <c r="K151">
        <v>326718</v>
      </c>
      <c r="L151">
        <v>3387.75</v>
      </c>
      <c r="M151">
        <v>1623.09</v>
      </c>
      <c r="N151">
        <v>2261.64</v>
      </c>
      <c r="O151">
        <v>333990.48</v>
      </c>
      <c r="P151">
        <v>64048.78</v>
      </c>
      <c r="Q151">
        <v>56776.3</v>
      </c>
      <c r="R151" t="s">
        <v>65</v>
      </c>
      <c r="S151">
        <v>390766.78</v>
      </c>
      <c r="T151">
        <v>0</v>
      </c>
      <c r="U151" t="s">
        <v>66</v>
      </c>
      <c r="V151" t="s">
        <v>8</v>
      </c>
      <c r="W151" t="s">
        <v>92</v>
      </c>
      <c r="X151" t="s">
        <v>123</v>
      </c>
      <c r="Y151" t="s">
        <v>22</v>
      </c>
      <c r="Z151">
        <v>2.44</v>
      </c>
      <c r="AA151">
        <f t="shared" si="6"/>
        <v>56776.3</v>
      </c>
      <c r="AB151">
        <f t="shared" si="7"/>
        <v>0.14529459233970707</v>
      </c>
      <c r="AC151">
        <f t="shared" si="8"/>
        <v>0</v>
      </c>
      <c r="AD151">
        <v>2024</v>
      </c>
      <c r="AE151">
        <v>8</v>
      </c>
      <c r="AF151" t="s">
        <v>82</v>
      </c>
      <c r="AG151" t="s">
        <v>83</v>
      </c>
    </row>
    <row r="152" spans="1:33">
      <c r="A152" t="s">
        <v>300</v>
      </c>
      <c r="B152">
        <v>45851</v>
      </c>
      <c r="C152">
        <v>45860</v>
      </c>
      <c r="D152" t="s">
        <v>25</v>
      </c>
      <c r="E152">
        <v>100</v>
      </c>
      <c r="F152">
        <v>995.04</v>
      </c>
      <c r="G152">
        <v>0.88</v>
      </c>
      <c r="H152">
        <v>98628.36</v>
      </c>
      <c r="I152" t="s">
        <v>1728</v>
      </c>
      <c r="J152">
        <v>798.08</v>
      </c>
      <c r="K152">
        <v>79808</v>
      </c>
      <c r="L152">
        <v>644.45000000000005</v>
      </c>
      <c r="M152">
        <v>578.95000000000005</v>
      </c>
      <c r="N152">
        <v>9386.01</v>
      </c>
      <c r="O152">
        <v>90417.41</v>
      </c>
      <c r="P152">
        <v>18820.36</v>
      </c>
      <c r="Q152">
        <v>8210.9500000000007</v>
      </c>
      <c r="R152" t="s">
        <v>65</v>
      </c>
      <c r="S152">
        <v>98628.36</v>
      </c>
      <c r="T152">
        <v>0</v>
      </c>
      <c r="U152" t="s">
        <v>66</v>
      </c>
      <c r="V152" t="s">
        <v>8</v>
      </c>
      <c r="W152" t="s">
        <v>67</v>
      </c>
      <c r="X152" t="s">
        <v>145</v>
      </c>
      <c r="Y152" t="s">
        <v>30</v>
      </c>
      <c r="Z152">
        <v>1.75</v>
      </c>
      <c r="AA152">
        <f t="shared" si="6"/>
        <v>8210.9500000000007</v>
      </c>
      <c r="AB152">
        <f t="shared" si="7"/>
        <v>8.325140963511915E-2</v>
      </c>
      <c r="AC152">
        <f t="shared" si="8"/>
        <v>0</v>
      </c>
      <c r="AD152">
        <v>2025</v>
      </c>
      <c r="AE152">
        <v>7</v>
      </c>
      <c r="AF152" t="s">
        <v>69</v>
      </c>
      <c r="AG152" t="s">
        <v>151</v>
      </c>
    </row>
    <row r="153" spans="1:33">
      <c r="A153" t="s">
        <v>301</v>
      </c>
      <c r="B153">
        <v>45831</v>
      </c>
      <c r="C153">
        <v>45837</v>
      </c>
      <c r="D153" t="s">
        <v>25</v>
      </c>
      <c r="E153">
        <v>500</v>
      </c>
      <c r="F153">
        <v>985.4</v>
      </c>
      <c r="G153">
        <v>4.4400000000000004</v>
      </c>
      <c r="H153">
        <v>470824.12</v>
      </c>
      <c r="I153" t="s">
        <v>1726</v>
      </c>
      <c r="J153">
        <v>824.28</v>
      </c>
      <c r="K153">
        <v>412140</v>
      </c>
      <c r="L153">
        <v>5536.02</v>
      </c>
      <c r="M153">
        <v>895.88</v>
      </c>
      <c r="N153">
        <v>10236.57</v>
      </c>
      <c r="O153">
        <v>428808.47</v>
      </c>
      <c r="P153">
        <v>58684.12</v>
      </c>
      <c r="Q153">
        <v>42015.65</v>
      </c>
      <c r="R153" t="s">
        <v>85</v>
      </c>
      <c r="S153">
        <v>322193.37</v>
      </c>
      <c r="T153">
        <v>148630.75</v>
      </c>
      <c r="U153" t="s">
        <v>66</v>
      </c>
      <c r="V153" t="s">
        <v>8</v>
      </c>
      <c r="W153" t="s">
        <v>92</v>
      </c>
      <c r="X153" t="s">
        <v>167</v>
      </c>
      <c r="Y153" t="s">
        <v>31</v>
      </c>
      <c r="Z153">
        <v>1.44</v>
      </c>
      <c r="AA153">
        <f t="shared" si="6"/>
        <v>42015.65</v>
      </c>
      <c r="AB153">
        <f t="shared" si="7"/>
        <v>8.9238524993154558E-2</v>
      </c>
      <c r="AC153">
        <f t="shared" si="8"/>
        <v>0</v>
      </c>
      <c r="AD153">
        <v>2025</v>
      </c>
      <c r="AE153">
        <v>6</v>
      </c>
      <c r="AF153" t="s">
        <v>111</v>
      </c>
      <c r="AG153" t="s">
        <v>112</v>
      </c>
    </row>
    <row r="154" spans="1:33">
      <c r="A154" t="s">
        <v>302</v>
      </c>
      <c r="B154">
        <v>45429</v>
      </c>
      <c r="C154">
        <v>45437</v>
      </c>
      <c r="D154" t="s">
        <v>25</v>
      </c>
      <c r="E154">
        <v>250</v>
      </c>
      <c r="F154">
        <v>951.09</v>
      </c>
      <c r="G154">
        <v>1.4</v>
      </c>
      <c r="H154">
        <v>234443.68</v>
      </c>
      <c r="I154" t="s">
        <v>1729</v>
      </c>
      <c r="J154">
        <v>772.51</v>
      </c>
      <c r="K154">
        <v>193127.5</v>
      </c>
      <c r="L154">
        <v>2274.98</v>
      </c>
      <c r="M154">
        <v>408.02</v>
      </c>
      <c r="N154">
        <v>11924.95</v>
      </c>
      <c r="O154">
        <v>207735.45</v>
      </c>
      <c r="P154">
        <v>41316.18</v>
      </c>
      <c r="Q154">
        <v>26708.23</v>
      </c>
      <c r="R154" t="s">
        <v>65</v>
      </c>
      <c r="S154">
        <v>234443.68</v>
      </c>
      <c r="T154">
        <v>0</v>
      </c>
      <c r="U154" t="s">
        <v>73</v>
      </c>
      <c r="V154" t="s">
        <v>8</v>
      </c>
      <c r="W154" t="s">
        <v>80</v>
      </c>
      <c r="X154" t="s">
        <v>108</v>
      </c>
      <c r="Y154" t="s">
        <v>22</v>
      </c>
      <c r="Z154">
        <v>0.08</v>
      </c>
      <c r="AA154">
        <f t="shared" si="6"/>
        <v>26708.23</v>
      </c>
      <c r="AB154">
        <f t="shared" si="7"/>
        <v>0.11392173165000652</v>
      </c>
      <c r="AC154">
        <f t="shared" si="8"/>
        <v>0</v>
      </c>
      <c r="AD154">
        <v>2024</v>
      </c>
      <c r="AE154">
        <v>5</v>
      </c>
      <c r="AF154" t="s">
        <v>76</v>
      </c>
      <c r="AG154" t="s">
        <v>77</v>
      </c>
    </row>
    <row r="155" spans="1:33">
      <c r="A155" t="s">
        <v>303</v>
      </c>
      <c r="B155">
        <v>45740</v>
      </c>
      <c r="C155">
        <v>45753</v>
      </c>
      <c r="D155" t="s">
        <v>21</v>
      </c>
      <c r="E155">
        <v>500</v>
      </c>
      <c r="F155">
        <v>851.4</v>
      </c>
      <c r="G155">
        <v>4.2699999999999996</v>
      </c>
      <c r="H155">
        <v>407522.61</v>
      </c>
      <c r="I155" t="s">
        <v>1726</v>
      </c>
      <c r="J155">
        <v>664.22</v>
      </c>
      <c r="K155">
        <v>332110</v>
      </c>
      <c r="L155">
        <v>4384.18</v>
      </c>
      <c r="M155">
        <v>2903.62</v>
      </c>
      <c r="N155">
        <v>295.11</v>
      </c>
      <c r="O155">
        <v>339692.91</v>
      </c>
      <c r="P155">
        <v>75412.61</v>
      </c>
      <c r="Q155">
        <v>67829.7</v>
      </c>
      <c r="R155" t="s">
        <v>85</v>
      </c>
      <c r="S155">
        <v>136816.95000000001</v>
      </c>
      <c r="T155">
        <v>270705.65999999997</v>
      </c>
      <c r="U155" t="s">
        <v>66</v>
      </c>
      <c r="V155" t="s">
        <v>10</v>
      </c>
      <c r="W155" t="s">
        <v>74</v>
      </c>
      <c r="X155" t="s">
        <v>108</v>
      </c>
      <c r="Y155" t="s">
        <v>22</v>
      </c>
      <c r="Z155">
        <v>0.14000000000000001</v>
      </c>
      <c r="AA155">
        <f t="shared" si="6"/>
        <v>67829.7</v>
      </c>
      <c r="AB155">
        <f t="shared" si="7"/>
        <v>0.16644401644365203</v>
      </c>
      <c r="AC155">
        <f t="shared" si="8"/>
        <v>0</v>
      </c>
      <c r="AD155">
        <v>2025</v>
      </c>
      <c r="AE155">
        <v>3</v>
      </c>
      <c r="AF155" t="s">
        <v>105</v>
      </c>
      <c r="AG155" t="s">
        <v>106</v>
      </c>
    </row>
    <row r="156" spans="1:33">
      <c r="A156" t="s">
        <v>304</v>
      </c>
      <c r="B156">
        <v>45968</v>
      </c>
      <c r="C156">
        <v>45972</v>
      </c>
      <c r="D156" t="s">
        <v>25</v>
      </c>
      <c r="E156">
        <v>100</v>
      </c>
      <c r="F156">
        <v>1086.48</v>
      </c>
      <c r="G156">
        <v>1.1399999999999999</v>
      </c>
      <c r="H156">
        <v>107409.41</v>
      </c>
      <c r="I156" t="s">
        <v>1726</v>
      </c>
      <c r="J156">
        <v>717.29</v>
      </c>
      <c r="K156">
        <v>71729</v>
      </c>
      <c r="L156">
        <v>896.85</v>
      </c>
      <c r="M156">
        <v>424.85</v>
      </c>
      <c r="N156">
        <v>11481.84</v>
      </c>
      <c r="O156">
        <v>84532.54</v>
      </c>
      <c r="P156">
        <v>35680.410000000003</v>
      </c>
      <c r="Q156">
        <v>22876.87</v>
      </c>
      <c r="R156" t="s">
        <v>65</v>
      </c>
      <c r="S156">
        <v>107409.41</v>
      </c>
      <c r="T156">
        <v>0</v>
      </c>
      <c r="U156" t="s">
        <v>66</v>
      </c>
      <c r="V156" t="s">
        <v>12</v>
      </c>
      <c r="W156" t="s">
        <v>80</v>
      </c>
      <c r="X156" t="s">
        <v>193</v>
      </c>
      <c r="Y156" t="s">
        <v>30</v>
      </c>
      <c r="Z156">
        <v>1.92</v>
      </c>
      <c r="AA156">
        <f t="shared" si="6"/>
        <v>22876.87</v>
      </c>
      <c r="AB156">
        <f t="shared" si="7"/>
        <v>0.21298757715920791</v>
      </c>
      <c r="AC156">
        <f t="shared" si="8"/>
        <v>0</v>
      </c>
      <c r="AD156">
        <v>2025</v>
      </c>
      <c r="AE156">
        <v>11</v>
      </c>
      <c r="AF156" t="s">
        <v>128</v>
      </c>
      <c r="AG156" t="s">
        <v>135</v>
      </c>
    </row>
    <row r="157" spans="1:33">
      <c r="A157" t="s">
        <v>305</v>
      </c>
      <c r="B157">
        <v>45591</v>
      </c>
      <c r="C157">
        <v>45596</v>
      </c>
      <c r="D157" t="s">
        <v>25</v>
      </c>
      <c r="E157">
        <v>250</v>
      </c>
      <c r="F157">
        <v>1036.25</v>
      </c>
      <c r="G157">
        <v>2.42</v>
      </c>
      <c r="H157">
        <v>252793.19</v>
      </c>
      <c r="I157" t="s">
        <v>1727</v>
      </c>
      <c r="J157">
        <v>737.44</v>
      </c>
      <c r="K157">
        <v>184360</v>
      </c>
      <c r="L157">
        <v>4343.25</v>
      </c>
      <c r="M157">
        <v>898.7</v>
      </c>
      <c r="N157">
        <v>3319.15</v>
      </c>
      <c r="O157">
        <v>192921.1</v>
      </c>
      <c r="P157">
        <v>68433.19</v>
      </c>
      <c r="Q157">
        <v>59872.09</v>
      </c>
      <c r="R157" t="s">
        <v>65</v>
      </c>
      <c r="S157">
        <v>252793.19</v>
      </c>
      <c r="T157">
        <v>0</v>
      </c>
      <c r="U157" t="s">
        <v>66</v>
      </c>
      <c r="V157" t="s">
        <v>14</v>
      </c>
      <c r="W157" t="s">
        <v>74</v>
      </c>
      <c r="X157" t="s">
        <v>208</v>
      </c>
      <c r="Y157" t="s">
        <v>26</v>
      </c>
      <c r="Z157">
        <v>1.04</v>
      </c>
      <c r="AA157">
        <f t="shared" si="6"/>
        <v>59872.09</v>
      </c>
      <c r="AB157">
        <f t="shared" si="7"/>
        <v>0.23684217917420955</v>
      </c>
      <c r="AC157">
        <f t="shared" si="8"/>
        <v>0</v>
      </c>
      <c r="AD157">
        <v>2024</v>
      </c>
      <c r="AE157">
        <v>10</v>
      </c>
      <c r="AF157" t="s">
        <v>138</v>
      </c>
      <c r="AG157" t="s">
        <v>139</v>
      </c>
    </row>
    <row r="158" spans="1:33">
      <c r="A158" t="s">
        <v>306</v>
      </c>
      <c r="B158">
        <v>45477</v>
      </c>
      <c r="C158">
        <v>45478</v>
      </c>
      <c r="D158" t="s">
        <v>21</v>
      </c>
      <c r="E158">
        <v>500</v>
      </c>
      <c r="F158">
        <v>815.84</v>
      </c>
      <c r="G158">
        <v>0.33</v>
      </c>
      <c r="H158">
        <v>406573.86</v>
      </c>
      <c r="I158" t="s">
        <v>1726</v>
      </c>
      <c r="J158">
        <v>725.99</v>
      </c>
      <c r="K158">
        <v>362995</v>
      </c>
      <c r="L158">
        <v>11426.08</v>
      </c>
      <c r="M158">
        <v>2764.65</v>
      </c>
      <c r="N158">
        <v>4017.05</v>
      </c>
      <c r="O158">
        <v>381202.78</v>
      </c>
      <c r="P158">
        <v>43578.86</v>
      </c>
      <c r="Q158">
        <v>25371.08</v>
      </c>
      <c r="R158" t="s">
        <v>65</v>
      </c>
      <c r="S158">
        <v>406573.86</v>
      </c>
      <c r="T158">
        <v>0</v>
      </c>
      <c r="U158" t="s">
        <v>66</v>
      </c>
      <c r="V158" t="s">
        <v>10</v>
      </c>
      <c r="W158" t="s">
        <v>80</v>
      </c>
      <c r="X158" t="s">
        <v>93</v>
      </c>
      <c r="Y158" t="s">
        <v>26</v>
      </c>
      <c r="Z158">
        <v>0.54</v>
      </c>
      <c r="AA158">
        <f t="shared" si="6"/>
        <v>25371.08</v>
      </c>
      <c r="AB158">
        <f t="shared" si="7"/>
        <v>6.240214262668043E-2</v>
      </c>
      <c r="AC158">
        <f t="shared" si="8"/>
        <v>0</v>
      </c>
      <c r="AD158">
        <v>2024</v>
      </c>
      <c r="AE158">
        <v>7</v>
      </c>
      <c r="AF158" t="s">
        <v>69</v>
      </c>
      <c r="AG158" t="s">
        <v>70</v>
      </c>
    </row>
    <row r="159" spans="1:33">
      <c r="A159" t="s">
        <v>307</v>
      </c>
      <c r="B159">
        <v>45800</v>
      </c>
      <c r="C159">
        <v>45804</v>
      </c>
      <c r="D159" t="s">
        <v>21</v>
      </c>
      <c r="E159">
        <v>100</v>
      </c>
      <c r="F159">
        <v>922.71</v>
      </c>
      <c r="G159">
        <v>1.87</v>
      </c>
      <c r="H159">
        <v>90545.53</v>
      </c>
      <c r="I159" t="s">
        <v>1728</v>
      </c>
      <c r="J159">
        <v>712.1</v>
      </c>
      <c r="K159">
        <v>71210</v>
      </c>
      <c r="L159">
        <v>573.17999999999995</v>
      </c>
      <c r="M159">
        <v>372.08</v>
      </c>
      <c r="N159">
        <v>6777.89</v>
      </c>
      <c r="O159">
        <v>78933.149999999994</v>
      </c>
      <c r="P159">
        <v>19335.53</v>
      </c>
      <c r="Q159">
        <v>11612.38</v>
      </c>
      <c r="R159" t="s">
        <v>65</v>
      </c>
      <c r="S159">
        <v>90545.53</v>
      </c>
      <c r="T159">
        <v>0</v>
      </c>
      <c r="U159" t="s">
        <v>66</v>
      </c>
      <c r="V159" t="s">
        <v>6</v>
      </c>
      <c r="W159" t="s">
        <v>67</v>
      </c>
      <c r="X159" t="s">
        <v>176</v>
      </c>
      <c r="Y159" t="s">
        <v>22</v>
      </c>
      <c r="Z159">
        <v>0.56000000000000005</v>
      </c>
      <c r="AA159">
        <f t="shared" si="6"/>
        <v>11612.38</v>
      </c>
      <c r="AB159">
        <f t="shared" si="7"/>
        <v>0.12824906983260245</v>
      </c>
      <c r="AC159">
        <f t="shared" si="8"/>
        <v>0</v>
      </c>
      <c r="AD159">
        <v>2025</v>
      </c>
      <c r="AE159">
        <v>5</v>
      </c>
      <c r="AF159" t="s">
        <v>76</v>
      </c>
      <c r="AG159" t="s">
        <v>94</v>
      </c>
    </row>
    <row r="160" spans="1:33">
      <c r="A160" t="s">
        <v>308</v>
      </c>
      <c r="B160">
        <v>45467</v>
      </c>
      <c r="C160">
        <v>45481</v>
      </c>
      <c r="D160" t="s">
        <v>21</v>
      </c>
      <c r="E160">
        <v>200</v>
      </c>
      <c r="F160">
        <v>861.72</v>
      </c>
      <c r="G160">
        <v>0.13</v>
      </c>
      <c r="H160">
        <v>172119.95</v>
      </c>
      <c r="I160" t="s">
        <v>1727</v>
      </c>
      <c r="J160">
        <v>750.85</v>
      </c>
      <c r="K160">
        <v>150170</v>
      </c>
      <c r="L160">
        <v>1633.8</v>
      </c>
      <c r="M160">
        <v>1084.02</v>
      </c>
      <c r="N160">
        <v>8533.7000000000007</v>
      </c>
      <c r="O160">
        <v>161421.51999999999</v>
      </c>
      <c r="P160">
        <v>21949.95</v>
      </c>
      <c r="Q160">
        <v>10698.43</v>
      </c>
      <c r="R160" t="s">
        <v>65</v>
      </c>
      <c r="S160">
        <v>172119.95</v>
      </c>
      <c r="T160">
        <v>0</v>
      </c>
      <c r="U160" t="s">
        <v>66</v>
      </c>
      <c r="V160" t="s">
        <v>8</v>
      </c>
      <c r="W160" t="s">
        <v>67</v>
      </c>
      <c r="X160" t="s">
        <v>127</v>
      </c>
      <c r="Y160" t="s">
        <v>22</v>
      </c>
      <c r="Z160">
        <v>2.16</v>
      </c>
      <c r="AA160">
        <f t="shared" si="6"/>
        <v>10698.43</v>
      </c>
      <c r="AB160">
        <f t="shared" si="7"/>
        <v>6.2156827259129459E-2</v>
      </c>
      <c r="AC160">
        <f t="shared" si="8"/>
        <v>0</v>
      </c>
      <c r="AD160">
        <v>2024</v>
      </c>
      <c r="AE160">
        <v>6</v>
      </c>
      <c r="AF160" t="s">
        <v>111</v>
      </c>
      <c r="AG160" t="s">
        <v>148</v>
      </c>
    </row>
    <row r="161" spans="1:33">
      <c r="A161" t="s">
        <v>309</v>
      </c>
      <c r="B161">
        <v>45504</v>
      </c>
      <c r="C161">
        <v>45517</v>
      </c>
      <c r="D161" t="s">
        <v>21</v>
      </c>
      <c r="E161">
        <v>300</v>
      </c>
      <c r="F161">
        <v>893.2</v>
      </c>
      <c r="G161">
        <v>1.63</v>
      </c>
      <c r="H161">
        <v>263592.25</v>
      </c>
      <c r="I161" t="s">
        <v>1727</v>
      </c>
      <c r="J161">
        <v>661.25</v>
      </c>
      <c r="K161">
        <v>198375</v>
      </c>
      <c r="L161">
        <v>6230.84</v>
      </c>
      <c r="M161">
        <v>1706.77</v>
      </c>
      <c r="N161">
        <v>3827.05</v>
      </c>
      <c r="O161">
        <v>210139.66</v>
      </c>
      <c r="P161">
        <v>65217.25</v>
      </c>
      <c r="Q161">
        <v>53452.59</v>
      </c>
      <c r="R161" t="s">
        <v>65</v>
      </c>
      <c r="S161">
        <v>263592.25</v>
      </c>
      <c r="T161">
        <v>0</v>
      </c>
      <c r="U161" t="s">
        <v>66</v>
      </c>
      <c r="V161" t="s">
        <v>14</v>
      </c>
      <c r="W161" t="s">
        <v>80</v>
      </c>
      <c r="X161" t="s">
        <v>108</v>
      </c>
      <c r="Y161" t="s">
        <v>22</v>
      </c>
      <c r="Z161">
        <v>1.65</v>
      </c>
      <c r="AA161">
        <f t="shared" si="6"/>
        <v>53452.59</v>
      </c>
      <c r="AB161">
        <f t="shared" si="7"/>
        <v>0.20278513499543327</v>
      </c>
      <c r="AC161">
        <f t="shared" si="8"/>
        <v>0</v>
      </c>
      <c r="AD161">
        <v>2024</v>
      </c>
      <c r="AE161">
        <v>7</v>
      </c>
      <c r="AF161" t="s">
        <v>69</v>
      </c>
      <c r="AG161" t="s">
        <v>70</v>
      </c>
    </row>
    <row r="162" spans="1:33">
      <c r="A162" t="s">
        <v>310</v>
      </c>
      <c r="B162">
        <v>45376</v>
      </c>
      <c r="C162">
        <v>45381</v>
      </c>
      <c r="D162" t="s">
        <v>23</v>
      </c>
      <c r="E162">
        <v>300</v>
      </c>
      <c r="F162">
        <v>1296.01</v>
      </c>
      <c r="G162">
        <v>1.73</v>
      </c>
      <c r="H162">
        <v>382076.71</v>
      </c>
      <c r="I162" t="s">
        <v>1726</v>
      </c>
      <c r="J162">
        <v>1071.6400000000001</v>
      </c>
      <c r="K162">
        <v>321492</v>
      </c>
      <c r="L162">
        <v>2585.7399999999998</v>
      </c>
      <c r="M162">
        <v>503.48</v>
      </c>
      <c r="N162">
        <v>1244.3599999999999</v>
      </c>
      <c r="O162">
        <v>325825.58</v>
      </c>
      <c r="P162">
        <v>60584.71</v>
      </c>
      <c r="Q162">
        <v>56251.13</v>
      </c>
      <c r="R162" t="s">
        <v>85</v>
      </c>
      <c r="S162">
        <v>175400.23</v>
      </c>
      <c r="T162">
        <v>206676.48000000001</v>
      </c>
      <c r="U162" t="s">
        <v>66</v>
      </c>
      <c r="V162" t="s">
        <v>6</v>
      </c>
      <c r="W162" t="s">
        <v>80</v>
      </c>
      <c r="X162" t="s">
        <v>159</v>
      </c>
      <c r="Y162" t="s">
        <v>30</v>
      </c>
      <c r="Z162">
        <v>2.11</v>
      </c>
      <c r="AA162">
        <f t="shared" si="6"/>
        <v>56251.13</v>
      </c>
      <c r="AB162">
        <f t="shared" si="7"/>
        <v>0.14722470259964288</v>
      </c>
      <c r="AC162">
        <f t="shared" si="8"/>
        <v>0</v>
      </c>
      <c r="AD162">
        <v>2024</v>
      </c>
      <c r="AE162">
        <v>3</v>
      </c>
      <c r="AF162" t="s">
        <v>105</v>
      </c>
      <c r="AG162" t="s">
        <v>120</v>
      </c>
    </row>
    <row r="163" spans="1:33">
      <c r="A163" t="s">
        <v>311</v>
      </c>
      <c r="B163">
        <v>45492</v>
      </c>
      <c r="C163">
        <v>45505</v>
      </c>
      <c r="D163" t="s">
        <v>21</v>
      </c>
      <c r="E163">
        <v>150</v>
      </c>
      <c r="F163">
        <v>824.86</v>
      </c>
      <c r="G163">
        <v>1.25</v>
      </c>
      <c r="H163">
        <v>122182.39</v>
      </c>
      <c r="I163" t="s">
        <v>1727</v>
      </c>
      <c r="J163">
        <v>695.62</v>
      </c>
      <c r="K163">
        <v>104343</v>
      </c>
      <c r="L163">
        <v>1289.6400000000001</v>
      </c>
      <c r="M163">
        <v>581.08000000000004</v>
      </c>
      <c r="N163">
        <v>2933.83</v>
      </c>
      <c r="O163">
        <v>109147.55</v>
      </c>
      <c r="P163">
        <v>17839.39</v>
      </c>
      <c r="Q163">
        <v>13034.84</v>
      </c>
      <c r="R163" t="s">
        <v>65</v>
      </c>
      <c r="S163">
        <v>122182.39</v>
      </c>
      <c r="T163">
        <v>0</v>
      </c>
      <c r="U163" t="s">
        <v>66</v>
      </c>
      <c r="V163" t="s">
        <v>12</v>
      </c>
      <c r="W163" t="s">
        <v>74</v>
      </c>
      <c r="X163" t="s">
        <v>108</v>
      </c>
      <c r="Y163" t="s">
        <v>22</v>
      </c>
      <c r="Z163">
        <v>0.2</v>
      </c>
      <c r="AA163">
        <f t="shared" si="6"/>
        <v>13034.84</v>
      </c>
      <c r="AB163">
        <f t="shared" si="7"/>
        <v>0.10668345904839478</v>
      </c>
      <c r="AC163">
        <f t="shared" si="8"/>
        <v>0</v>
      </c>
      <c r="AD163">
        <v>2024</v>
      </c>
      <c r="AE163">
        <v>7</v>
      </c>
      <c r="AF163" t="s">
        <v>69</v>
      </c>
      <c r="AG163" t="s">
        <v>70</v>
      </c>
    </row>
    <row r="164" spans="1:33">
      <c r="A164" t="s">
        <v>312</v>
      </c>
      <c r="B164">
        <v>45357</v>
      </c>
      <c r="C164">
        <v>45358</v>
      </c>
      <c r="D164" t="s">
        <v>21</v>
      </c>
      <c r="E164">
        <v>100</v>
      </c>
      <c r="F164">
        <v>864</v>
      </c>
      <c r="G164">
        <v>1.07</v>
      </c>
      <c r="H164">
        <v>85475.520000000004</v>
      </c>
      <c r="I164" t="s">
        <v>1726</v>
      </c>
      <c r="J164">
        <v>712.56</v>
      </c>
      <c r="K164">
        <v>71256</v>
      </c>
      <c r="L164">
        <v>1445.3</v>
      </c>
      <c r="M164">
        <v>562.6</v>
      </c>
      <c r="N164">
        <v>5648.18</v>
      </c>
      <c r="O164">
        <v>78912.08</v>
      </c>
      <c r="P164">
        <v>14219.52</v>
      </c>
      <c r="Q164">
        <v>6563.44</v>
      </c>
      <c r="R164" t="s">
        <v>65</v>
      </c>
      <c r="S164">
        <v>85475.520000000004</v>
      </c>
      <c r="T164">
        <v>0</v>
      </c>
      <c r="U164" t="s">
        <v>66</v>
      </c>
      <c r="V164" t="s">
        <v>12</v>
      </c>
      <c r="W164" t="s">
        <v>74</v>
      </c>
      <c r="X164" t="s">
        <v>81</v>
      </c>
      <c r="Y164" t="s">
        <v>24</v>
      </c>
      <c r="Z164">
        <v>0.94</v>
      </c>
      <c r="AA164">
        <f t="shared" si="6"/>
        <v>6563.44</v>
      </c>
      <c r="AB164">
        <f t="shared" si="7"/>
        <v>7.6787365552148726E-2</v>
      </c>
      <c r="AC164">
        <f t="shared" si="8"/>
        <v>0</v>
      </c>
      <c r="AD164">
        <v>2024</v>
      </c>
      <c r="AE164">
        <v>3</v>
      </c>
      <c r="AF164" t="s">
        <v>105</v>
      </c>
      <c r="AG164" t="s">
        <v>120</v>
      </c>
    </row>
    <row r="165" spans="1:33">
      <c r="A165" t="s">
        <v>313</v>
      </c>
      <c r="B165">
        <v>45963</v>
      </c>
      <c r="C165">
        <v>45972</v>
      </c>
      <c r="D165" t="s">
        <v>21</v>
      </c>
      <c r="E165">
        <v>100</v>
      </c>
      <c r="F165">
        <v>953.28</v>
      </c>
      <c r="G165">
        <v>2.3199999999999998</v>
      </c>
      <c r="H165">
        <v>93116.39</v>
      </c>
      <c r="I165" t="s">
        <v>1726</v>
      </c>
      <c r="J165">
        <v>730.02</v>
      </c>
      <c r="K165">
        <v>73002</v>
      </c>
      <c r="L165">
        <v>1052.23</v>
      </c>
      <c r="M165">
        <v>467.59</v>
      </c>
      <c r="N165">
        <v>10189.4</v>
      </c>
      <c r="O165">
        <v>84711.22</v>
      </c>
      <c r="P165">
        <v>20114.39</v>
      </c>
      <c r="Q165">
        <v>8405.17</v>
      </c>
      <c r="R165" t="s">
        <v>65</v>
      </c>
      <c r="S165">
        <v>93116.39</v>
      </c>
      <c r="T165">
        <v>0</v>
      </c>
      <c r="U165" t="s">
        <v>66</v>
      </c>
      <c r="V165" t="s">
        <v>6</v>
      </c>
      <c r="W165" t="s">
        <v>74</v>
      </c>
      <c r="X165" t="s">
        <v>275</v>
      </c>
      <c r="Y165" t="s">
        <v>31</v>
      </c>
      <c r="Z165">
        <v>0.73</v>
      </c>
      <c r="AA165">
        <f t="shared" si="6"/>
        <v>8405.17</v>
      </c>
      <c r="AB165">
        <f t="shared" si="7"/>
        <v>9.0265204654089368E-2</v>
      </c>
      <c r="AC165">
        <f t="shared" si="8"/>
        <v>0</v>
      </c>
      <c r="AD165">
        <v>2025</v>
      </c>
      <c r="AE165">
        <v>11</v>
      </c>
      <c r="AF165" t="s">
        <v>128</v>
      </c>
      <c r="AG165" t="s">
        <v>135</v>
      </c>
    </row>
    <row r="166" spans="1:33">
      <c r="A166" t="s">
        <v>314</v>
      </c>
      <c r="B166">
        <v>45973</v>
      </c>
      <c r="C166">
        <v>45982</v>
      </c>
      <c r="D166" t="s">
        <v>21</v>
      </c>
      <c r="E166">
        <v>300</v>
      </c>
      <c r="F166">
        <v>951.47</v>
      </c>
      <c r="G166">
        <v>0.94</v>
      </c>
      <c r="H166">
        <v>282757.84999999998</v>
      </c>
      <c r="I166" t="s">
        <v>1729</v>
      </c>
      <c r="J166">
        <v>736.37</v>
      </c>
      <c r="K166">
        <v>220911</v>
      </c>
      <c r="L166">
        <v>4887.3100000000004</v>
      </c>
      <c r="M166">
        <v>932.27</v>
      </c>
      <c r="N166">
        <v>11889.1</v>
      </c>
      <c r="O166">
        <v>238619.68</v>
      </c>
      <c r="P166">
        <v>61846.85</v>
      </c>
      <c r="Q166">
        <v>44138.17</v>
      </c>
      <c r="R166" t="s">
        <v>85</v>
      </c>
      <c r="S166">
        <v>173434.12</v>
      </c>
      <c r="T166">
        <v>109323.73</v>
      </c>
      <c r="U166" t="s">
        <v>66</v>
      </c>
      <c r="V166" t="s">
        <v>10</v>
      </c>
      <c r="W166" t="s">
        <v>67</v>
      </c>
      <c r="X166" t="s">
        <v>167</v>
      </c>
      <c r="Y166" t="s">
        <v>31</v>
      </c>
      <c r="Z166">
        <v>1.54</v>
      </c>
      <c r="AA166">
        <f t="shared" si="6"/>
        <v>44138.17</v>
      </c>
      <c r="AB166">
        <f t="shared" si="7"/>
        <v>0.1560988315620592</v>
      </c>
      <c r="AC166">
        <f t="shared" si="8"/>
        <v>0</v>
      </c>
      <c r="AD166">
        <v>2025</v>
      </c>
      <c r="AE166">
        <v>11</v>
      </c>
      <c r="AF166" t="s">
        <v>128</v>
      </c>
      <c r="AG166" t="s">
        <v>135</v>
      </c>
    </row>
    <row r="167" spans="1:33">
      <c r="A167" t="s">
        <v>315</v>
      </c>
      <c r="B167">
        <v>45650</v>
      </c>
      <c r="C167">
        <v>45658</v>
      </c>
      <c r="D167" t="s">
        <v>21</v>
      </c>
      <c r="E167">
        <v>100</v>
      </c>
      <c r="F167">
        <v>894.98</v>
      </c>
      <c r="G167">
        <v>0.46</v>
      </c>
      <c r="H167">
        <v>89086.31</v>
      </c>
      <c r="I167" t="s">
        <v>1727</v>
      </c>
      <c r="J167">
        <v>653.44000000000005</v>
      </c>
      <c r="K167">
        <v>65344</v>
      </c>
      <c r="L167">
        <v>1419.28</v>
      </c>
      <c r="M167">
        <v>526.25</v>
      </c>
      <c r="N167">
        <v>6884.47</v>
      </c>
      <c r="O167">
        <v>74174</v>
      </c>
      <c r="P167">
        <v>23742.31</v>
      </c>
      <c r="Q167">
        <v>14912.31</v>
      </c>
      <c r="R167" t="s">
        <v>65</v>
      </c>
      <c r="S167">
        <v>89086.31</v>
      </c>
      <c r="T167">
        <v>0</v>
      </c>
      <c r="U167" t="s">
        <v>73</v>
      </c>
      <c r="V167" t="s">
        <v>6</v>
      </c>
      <c r="W167" t="s">
        <v>141</v>
      </c>
      <c r="X167" t="s">
        <v>176</v>
      </c>
      <c r="Y167" t="s">
        <v>22</v>
      </c>
      <c r="Z167">
        <v>0.45</v>
      </c>
      <c r="AA167">
        <f t="shared" si="6"/>
        <v>14912.31</v>
      </c>
      <c r="AB167">
        <f t="shared" si="7"/>
        <v>0.16739171259871466</v>
      </c>
      <c r="AC167">
        <f t="shared" si="8"/>
        <v>0</v>
      </c>
      <c r="AD167">
        <v>2024</v>
      </c>
      <c r="AE167">
        <v>12</v>
      </c>
      <c r="AF167" t="s">
        <v>98</v>
      </c>
      <c r="AG167" t="s">
        <v>99</v>
      </c>
    </row>
    <row r="168" spans="1:33">
      <c r="A168" t="s">
        <v>316</v>
      </c>
      <c r="B168">
        <v>45342</v>
      </c>
      <c r="C168">
        <v>45350</v>
      </c>
      <c r="D168" t="s">
        <v>21</v>
      </c>
      <c r="E168">
        <v>500</v>
      </c>
      <c r="F168">
        <v>802.59</v>
      </c>
      <c r="G168">
        <v>2.64</v>
      </c>
      <c r="H168">
        <v>390700.81</v>
      </c>
      <c r="I168" t="s">
        <v>1726</v>
      </c>
      <c r="J168">
        <v>738</v>
      </c>
      <c r="K168">
        <v>369000</v>
      </c>
      <c r="L168">
        <v>11899.55</v>
      </c>
      <c r="M168">
        <v>2140.3000000000002</v>
      </c>
      <c r="N168">
        <v>5424.85</v>
      </c>
      <c r="O168">
        <v>388464.7</v>
      </c>
      <c r="P168">
        <v>21700.81</v>
      </c>
      <c r="Q168">
        <v>2236.11</v>
      </c>
      <c r="R168" t="s">
        <v>85</v>
      </c>
      <c r="S168">
        <v>149893.14000000001</v>
      </c>
      <c r="T168">
        <v>240807.67</v>
      </c>
      <c r="U168" t="s">
        <v>66</v>
      </c>
      <c r="V168" t="s">
        <v>8</v>
      </c>
      <c r="W168" t="s">
        <v>80</v>
      </c>
      <c r="X168" t="s">
        <v>123</v>
      </c>
      <c r="Y168" t="s">
        <v>22</v>
      </c>
      <c r="Z168">
        <v>0.59</v>
      </c>
      <c r="AA168">
        <f t="shared" si="6"/>
        <v>2236.11</v>
      </c>
      <c r="AB168">
        <f t="shared" si="7"/>
        <v>5.7233308525774492E-3</v>
      </c>
      <c r="AC168">
        <f t="shared" si="8"/>
        <v>0</v>
      </c>
      <c r="AD168">
        <v>2024</v>
      </c>
      <c r="AE168">
        <v>2</v>
      </c>
      <c r="AF168" t="s">
        <v>172</v>
      </c>
      <c r="AG168" t="s">
        <v>173</v>
      </c>
    </row>
    <row r="169" spans="1:33">
      <c r="A169" t="s">
        <v>317</v>
      </c>
      <c r="B169">
        <v>45561</v>
      </c>
      <c r="C169">
        <v>45566</v>
      </c>
      <c r="D169" t="s">
        <v>21</v>
      </c>
      <c r="E169">
        <v>750</v>
      </c>
      <c r="F169">
        <v>956.89</v>
      </c>
      <c r="G169">
        <v>4.25</v>
      </c>
      <c r="H169">
        <v>687166.63</v>
      </c>
      <c r="I169" t="s">
        <v>1726</v>
      </c>
      <c r="J169">
        <v>692.12</v>
      </c>
      <c r="K169">
        <v>519090</v>
      </c>
      <c r="L169">
        <v>11554.92</v>
      </c>
      <c r="M169">
        <v>2109.4899999999998</v>
      </c>
      <c r="N169">
        <v>10423.73</v>
      </c>
      <c r="O169">
        <v>543178.14</v>
      </c>
      <c r="P169">
        <v>168076.63</v>
      </c>
      <c r="Q169">
        <v>143988.49</v>
      </c>
      <c r="R169" t="s">
        <v>65</v>
      </c>
      <c r="S169">
        <v>687166.63</v>
      </c>
      <c r="T169">
        <v>0</v>
      </c>
      <c r="U169" t="s">
        <v>66</v>
      </c>
      <c r="V169" t="s">
        <v>6</v>
      </c>
      <c r="W169" t="s">
        <v>92</v>
      </c>
      <c r="X169" t="s">
        <v>185</v>
      </c>
      <c r="Y169" t="s">
        <v>31</v>
      </c>
      <c r="Z169">
        <v>1.64</v>
      </c>
      <c r="AA169">
        <f t="shared" si="6"/>
        <v>143988.49</v>
      </c>
      <c r="AB169">
        <f t="shared" si="7"/>
        <v>0.20953940967709678</v>
      </c>
      <c r="AC169">
        <f t="shared" si="8"/>
        <v>0</v>
      </c>
      <c r="AD169">
        <v>2024</v>
      </c>
      <c r="AE169">
        <v>9</v>
      </c>
      <c r="AF169" t="s">
        <v>131</v>
      </c>
      <c r="AG169" t="s">
        <v>188</v>
      </c>
    </row>
    <row r="170" spans="1:33">
      <c r="A170" t="s">
        <v>318</v>
      </c>
      <c r="B170">
        <v>45321</v>
      </c>
      <c r="C170">
        <v>45325</v>
      </c>
      <c r="D170" t="s">
        <v>29</v>
      </c>
      <c r="E170">
        <v>750</v>
      </c>
      <c r="F170">
        <v>2767.8</v>
      </c>
      <c r="G170">
        <v>4.3099999999999996</v>
      </c>
      <c r="H170">
        <v>1986380.87</v>
      </c>
      <c r="I170" t="s">
        <v>1728</v>
      </c>
      <c r="J170">
        <v>2372.85</v>
      </c>
      <c r="K170">
        <v>1779637.5</v>
      </c>
      <c r="L170">
        <v>8096.01</v>
      </c>
      <c r="M170">
        <v>3012.99</v>
      </c>
      <c r="N170">
        <v>1933.06</v>
      </c>
      <c r="O170">
        <v>1792679.56</v>
      </c>
      <c r="P170">
        <v>206743.37</v>
      </c>
      <c r="Q170">
        <v>193701.31</v>
      </c>
      <c r="R170" t="s">
        <v>65</v>
      </c>
      <c r="S170">
        <v>1986380.87</v>
      </c>
      <c r="T170">
        <v>0</v>
      </c>
      <c r="U170" t="s">
        <v>66</v>
      </c>
      <c r="V170" t="s">
        <v>12</v>
      </c>
      <c r="W170" t="s">
        <v>67</v>
      </c>
      <c r="X170" t="s">
        <v>127</v>
      </c>
      <c r="Y170" t="s">
        <v>22</v>
      </c>
      <c r="Z170">
        <v>0.19</v>
      </c>
      <c r="AA170">
        <f t="shared" si="6"/>
        <v>193701.31</v>
      </c>
      <c r="AB170">
        <f t="shared" si="7"/>
        <v>9.751468760369203E-2</v>
      </c>
      <c r="AC170">
        <f t="shared" si="8"/>
        <v>0</v>
      </c>
      <c r="AD170">
        <v>2024</v>
      </c>
      <c r="AE170">
        <v>1</v>
      </c>
      <c r="AF170" t="s">
        <v>102</v>
      </c>
      <c r="AG170" t="s">
        <v>103</v>
      </c>
    </row>
    <row r="171" spans="1:33">
      <c r="A171" t="s">
        <v>319</v>
      </c>
      <c r="B171">
        <v>45656</v>
      </c>
      <c r="C171">
        <v>45665</v>
      </c>
      <c r="D171" t="s">
        <v>23</v>
      </c>
      <c r="E171">
        <v>100</v>
      </c>
      <c r="F171">
        <v>1276.28</v>
      </c>
      <c r="G171">
        <v>0.36</v>
      </c>
      <c r="H171">
        <v>127168.54</v>
      </c>
      <c r="I171" t="s">
        <v>1727</v>
      </c>
      <c r="J171">
        <v>1067.73</v>
      </c>
      <c r="K171">
        <v>106773</v>
      </c>
      <c r="L171">
        <v>1025.74</v>
      </c>
      <c r="M171">
        <v>372.54</v>
      </c>
      <c r="N171">
        <v>9833.35</v>
      </c>
      <c r="O171">
        <v>118004.63</v>
      </c>
      <c r="P171">
        <v>20395.54</v>
      </c>
      <c r="Q171">
        <v>9163.91</v>
      </c>
      <c r="R171" t="s">
        <v>65</v>
      </c>
      <c r="S171">
        <v>127168.54</v>
      </c>
      <c r="T171">
        <v>0</v>
      </c>
      <c r="U171" t="s">
        <v>66</v>
      </c>
      <c r="V171" t="s">
        <v>12</v>
      </c>
      <c r="W171" t="s">
        <v>80</v>
      </c>
      <c r="X171" t="s">
        <v>176</v>
      </c>
      <c r="Y171" t="s">
        <v>22</v>
      </c>
      <c r="Z171">
        <v>0.36</v>
      </c>
      <c r="AA171">
        <f t="shared" si="6"/>
        <v>9163.91</v>
      </c>
      <c r="AB171">
        <f t="shared" si="7"/>
        <v>7.2061140278877153E-2</v>
      </c>
      <c r="AC171">
        <f t="shared" si="8"/>
        <v>0</v>
      </c>
      <c r="AD171">
        <v>2024</v>
      </c>
      <c r="AE171">
        <v>12</v>
      </c>
      <c r="AF171" t="s">
        <v>98</v>
      </c>
      <c r="AG171" t="s">
        <v>99</v>
      </c>
    </row>
    <row r="172" spans="1:33">
      <c r="A172" t="s">
        <v>320</v>
      </c>
      <c r="B172">
        <v>45403</v>
      </c>
      <c r="C172">
        <v>45407</v>
      </c>
      <c r="D172" t="s">
        <v>25</v>
      </c>
      <c r="E172">
        <v>150</v>
      </c>
      <c r="F172">
        <v>980.49</v>
      </c>
      <c r="G172">
        <v>2.2200000000000002</v>
      </c>
      <c r="H172">
        <v>143808.47</v>
      </c>
      <c r="I172" t="s">
        <v>1727</v>
      </c>
      <c r="J172">
        <v>726.62</v>
      </c>
      <c r="K172">
        <v>108993</v>
      </c>
      <c r="L172">
        <v>3261.94</v>
      </c>
      <c r="M172">
        <v>585.75</v>
      </c>
      <c r="N172">
        <v>3576.79</v>
      </c>
      <c r="O172">
        <v>116417.48</v>
      </c>
      <c r="P172">
        <v>34815.47</v>
      </c>
      <c r="Q172">
        <v>27390.99</v>
      </c>
      <c r="R172" t="s">
        <v>65</v>
      </c>
      <c r="S172">
        <v>143808.47</v>
      </c>
      <c r="T172">
        <v>0</v>
      </c>
      <c r="U172" t="s">
        <v>66</v>
      </c>
      <c r="V172" t="s">
        <v>14</v>
      </c>
      <c r="W172" t="s">
        <v>141</v>
      </c>
      <c r="X172" t="s">
        <v>115</v>
      </c>
      <c r="Y172" t="s">
        <v>22</v>
      </c>
      <c r="Z172">
        <v>1.98</v>
      </c>
      <c r="AA172">
        <f t="shared" si="6"/>
        <v>27390.99</v>
      </c>
      <c r="AB172">
        <f t="shared" si="7"/>
        <v>0.1904685447247996</v>
      </c>
      <c r="AC172">
        <f t="shared" si="8"/>
        <v>0</v>
      </c>
      <c r="AD172">
        <v>2024</v>
      </c>
      <c r="AE172">
        <v>4</v>
      </c>
      <c r="AF172" t="s">
        <v>154</v>
      </c>
      <c r="AG172" t="s">
        <v>157</v>
      </c>
    </row>
    <row r="173" spans="1:33">
      <c r="A173" t="s">
        <v>321</v>
      </c>
      <c r="B173">
        <v>45775</v>
      </c>
      <c r="C173">
        <v>45787</v>
      </c>
      <c r="D173" t="s">
        <v>23</v>
      </c>
      <c r="E173">
        <v>50</v>
      </c>
      <c r="F173">
        <v>1371.18</v>
      </c>
      <c r="G173">
        <v>0.33</v>
      </c>
      <c r="H173">
        <v>68332.759999999995</v>
      </c>
      <c r="I173" t="s">
        <v>1726</v>
      </c>
      <c r="J173">
        <v>1014.07</v>
      </c>
      <c r="K173">
        <v>50703.5</v>
      </c>
      <c r="L173">
        <v>683.38</v>
      </c>
      <c r="M173">
        <v>165.32</v>
      </c>
      <c r="N173">
        <v>9175.43</v>
      </c>
      <c r="O173">
        <v>60727.63</v>
      </c>
      <c r="P173">
        <v>17629.259999999998</v>
      </c>
      <c r="Q173">
        <v>7605.13</v>
      </c>
      <c r="R173" t="s">
        <v>65</v>
      </c>
      <c r="S173">
        <v>68332.759999999995</v>
      </c>
      <c r="T173">
        <v>0</v>
      </c>
      <c r="U173" t="s">
        <v>73</v>
      </c>
      <c r="V173" t="s">
        <v>14</v>
      </c>
      <c r="W173" t="s">
        <v>74</v>
      </c>
      <c r="X173" t="s">
        <v>239</v>
      </c>
      <c r="Y173" t="s">
        <v>28</v>
      </c>
      <c r="Z173">
        <v>0.74</v>
      </c>
      <c r="AA173">
        <f t="shared" si="6"/>
        <v>7605.13</v>
      </c>
      <c r="AB173">
        <f t="shared" si="7"/>
        <v>0.1112955191624047</v>
      </c>
      <c r="AC173">
        <f t="shared" si="8"/>
        <v>0</v>
      </c>
      <c r="AD173">
        <v>2025</v>
      </c>
      <c r="AE173">
        <v>4</v>
      </c>
      <c r="AF173" t="s">
        <v>154</v>
      </c>
      <c r="AG173" t="s">
        <v>155</v>
      </c>
    </row>
    <row r="174" spans="1:33">
      <c r="A174" t="s">
        <v>322</v>
      </c>
      <c r="B174">
        <v>45897</v>
      </c>
      <c r="C174">
        <v>45901</v>
      </c>
      <c r="D174" t="s">
        <v>21</v>
      </c>
      <c r="E174">
        <v>100</v>
      </c>
      <c r="F174">
        <v>826.02</v>
      </c>
      <c r="G174">
        <v>1.5</v>
      </c>
      <c r="H174">
        <v>81362.97</v>
      </c>
      <c r="I174" t="s">
        <v>1727</v>
      </c>
      <c r="J174">
        <v>681.24</v>
      </c>
      <c r="K174">
        <v>68124</v>
      </c>
      <c r="L174">
        <v>1433.78</v>
      </c>
      <c r="M174">
        <v>205.58</v>
      </c>
      <c r="N174">
        <v>6397.33</v>
      </c>
      <c r="O174">
        <v>76160.69</v>
      </c>
      <c r="P174">
        <v>13238.97</v>
      </c>
      <c r="Q174">
        <v>5202.28</v>
      </c>
      <c r="R174" t="s">
        <v>65</v>
      </c>
      <c r="S174">
        <v>81362.97</v>
      </c>
      <c r="T174">
        <v>0</v>
      </c>
      <c r="U174" t="s">
        <v>66</v>
      </c>
      <c r="V174" t="s">
        <v>10</v>
      </c>
      <c r="W174" t="s">
        <v>74</v>
      </c>
      <c r="X174" t="s">
        <v>108</v>
      </c>
      <c r="Y174" t="s">
        <v>22</v>
      </c>
      <c r="Z174">
        <v>0.08</v>
      </c>
      <c r="AA174">
        <f t="shared" si="6"/>
        <v>5202.28</v>
      </c>
      <c r="AB174">
        <f t="shared" si="7"/>
        <v>6.3939160529661088E-2</v>
      </c>
      <c r="AC174">
        <f t="shared" si="8"/>
        <v>0</v>
      </c>
      <c r="AD174">
        <v>2025</v>
      </c>
      <c r="AE174">
        <v>8</v>
      </c>
      <c r="AF174" t="s">
        <v>82</v>
      </c>
      <c r="AG174" t="s">
        <v>87</v>
      </c>
    </row>
    <row r="175" spans="1:33">
      <c r="A175" t="s">
        <v>323</v>
      </c>
      <c r="B175">
        <v>45828</v>
      </c>
      <c r="D175" t="s">
        <v>23</v>
      </c>
      <c r="E175">
        <v>200</v>
      </c>
      <c r="F175">
        <v>1336.31</v>
      </c>
      <c r="G175">
        <v>0.43</v>
      </c>
      <c r="H175">
        <v>266112.77</v>
      </c>
      <c r="I175" t="s">
        <v>1729</v>
      </c>
      <c r="J175">
        <v>987.87</v>
      </c>
      <c r="K175">
        <v>197574</v>
      </c>
      <c r="L175">
        <v>1158.17</v>
      </c>
      <c r="M175">
        <v>326.62</v>
      </c>
      <c r="N175">
        <v>1468.01</v>
      </c>
      <c r="O175">
        <v>200526.8</v>
      </c>
      <c r="P175">
        <v>68538.77</v>
      </c>
      <c r="Q175">
        <v>65585.97</v>
      </c>
      <c r="R175" t="s">
        <v>65</v>
      </c>
      <c r="S175">
        <v>266112.77</v>
      </c>
      <c r="T175">
        <v>0</v>
      </c>
      <c r="U175" t="s">
        <v>91</v>
      </c>
      <c r="V175" t="s">
        <v>12</v>
      </c>
      <c r="W175" t="s">
        <v>67</v>
      </c>
      <c r="X175" t="s">
        <v>93</v>
      </c>
      <c r="Y175" t="s">
        <v>26</v>
      </c>
      <c r="Z175">
        <v>0.36</v>
      </c>
      <c r="AA175">
        <f t="shared" si="6"/>
        <v>65585.97</v>
      </c>
      <c r="AB175">
        <f t="shared" si="7"/>
        <v>0.24645931121606826</v>
      </c>
      <c r="AC175">
        <f t="shared" si="8"/>
        <v>0</v>
      </c>
      <c r="AD175">
        <v>2025</v>
      </c>
      <c r="AE175">
        <v>6</v>
      </c>
      <c r="AF175" t="s">
        <v>111</v>
      </c>
      <c r="AG175" t="s">
        <v>112</v>
      </c>
    </row>
    <row r="176" spans="1:33">
      <c r="A176" t="s">
        <v>324</v>
      </c>
      <c r="B176">
        <v>45826</v>
      </c>
      <c r="C176">
        <v>45839</v>
      </c>
      <c r="D176" t="s">
        <v>25</v>
      </c>
      <c r="E176">
        <v>250</v>
      </c>
      <c r="F176">
        <v>955.25</v>
      </c>
      <c r="G176">
        <v>1</v>
      </c>
      <c r="H176">
        <v>236424.38</v>
      </c>
      <c r="I176" t="s">
        <v>1727</v>
      </c>
      <c r="J176">
        <v>765.76</v>
      </c>
      <c r="K176">
        <v>191440</v>
      </c>
      <c r="L176">
        <v>1743.68</v>
      </c>
      <c r="M176">
        <v>1252.95</v>
      </c>
      <c r="N176">
        <v>2781.96</v>
      </c>
      <c r="O176">
        <v>197218.59</v>
      </c>
      <c r="P176">
        <v>44984.38</v>
      </c>
      <c r="Q176">
        <v>39205.79</v>
      </c>
      <c r="R176" t="s">
        <v>65</v>
      </c>
      <c r="S176">
        <v>236424.38</v>
      </c>
      <c r="T176">
        <v>0</v>
      </c>
      <c r="U176" t="s">
        <v>66</v>
      </c>
      <c r="V176" t="s">
        <v>14</v>
      </c>
      <c r="W176" t="s">
        <v>92</v>
      </c>
      <c r="X176" t="s">
        <v>162</v>
      </c>
      <c r="Y176" t="s">
        <v>26</v>
      </c>
      <c r="Z176">
        <v>0.8</v>
      </c>
      <c r="AA176">
        <f t="shared" si="6"/>
        <v>39205.79</v>
      </c>
      <c r="AB176">
        <f t="shared" si="7"/>
        <v>0.1658280334709982</v>
      </c>
      <c r="AC176">
        <f t="shared" si="8"/>
        <v>0</v>
      </c>
      <c r="AD176">
        <v>2025</v>
      </c>
      <c r="AE176">
        <v>6</v>
      </c>
      <c r="AF176" t="s">
        <v>111</v>
      </c>
      <c r="AG176" t="s">
        <v>112</v>
      </c>
    </row>
    <row r="177" spans="1:33">
      <c r="A177" t="s">
        <v>325</v>
      </c>
      <c r="B177">
        <v>45730</v>
      </c>
      <c r="C177">
        <v>45733</v>
      </c>
      <c r="D177" t="s">
        <v>23</v>
      </c>
      <c r="E177">
        <v>200</v>
      </c>
      <c r="F177">
        <v>1226.33</v>
      </c>
      <c r="G177">
        <v>2.2999999999999998</v>
      </c>
      <c r="H177">
        <v>239624.88</v>
      </c>
      <c r="I177" t="s">
        <v>1728</v>
      </c>
      <c r="J177">
        <v>1055.43</v>
      </c>
      <c r="K177">
        <v>211086</v>
      </c>
      <c r="L177">
        <v>1120.81</v>
      </c>
      <c r="M177">
        <v>1164.8699999999999</v>
      </c>
      <c r="N177">
        <v>11699.46</v>
      </c>
      <c r="O177">
        <v>225071.14</v>
      </c>
      <c r="P177">
        <v>28538.880000000001</v>
      </c>
      <c r="Q177">
        <v>14553.74</v>
      </c>
      <c r="R177" t="s">
        <v>65</v>
      </c>
      <c r="S177">
        <v>239624.88</v>
      </c>
      <c r="T177">
        <v>0</v>
      </c>
      <c r="U177" t="s">
        <v>73</v>
      </c>
      <c r="V177" t="s">
        <v>10</v>
      </c>
      <c r="W177" t="s">
        <v>92</v>
      </c>
      <c r="X177" t="s">
        <v>75</v>
      </c>
      <c r="Y177" t="s">
        <v>28</v>
      </c>
      <c r="Z177">
        <v>1.82</v>
      </c>
      <c r="AA177">
        <f t="shared" si="6"/>
        <v>14553.74</v>
      </c>
      <c r="AB177">
        <f t="shared" si="7"/>
        <v>6.073551294005864E-2</v>
      </c>
      <c r="AC177">
        <f t="shared" si="8"/>
        <v>0</v>
      </c>
      <c r="AD177">
        <v>2025</v>
      </c>
      <c r="AE177">
        <v>3</v>
      </c>
      <c r="AF177" t="s">
        <v>105</v>
      </c>
      <c r="AG177" t="s">
        <v>106</v>
      </c>
    </row>
    <row r="178" spans="1:33">
      <c r="A178" t="s">
        <v>326</v>
      </c>
      <c r="B178">
        <v>45842</v>
      </c>
      <c r="C178">
        <v>45846</v>
      </c>
      <c r="D178" t="s">
        <v>21</v>
      </c>
      <c r="E178">
        <v>100</v>
      </c>
      <c r="F178">
        <v>839.84</v>
      </c>
      <c r="G178">
        <v>1.26</v>
      </c>
      <c r="H178">
        <v>82925.8</v>
      </c>
      <c r="I178" t="s">
        <v>1727</v>
      </c>
      <c r="J178">
        <v>663.49</v>
      </c>
      <c r="K178">
        <v>66349</v>
      </c>
      <c r="L178">
        <v>2136.7199999999998</v>
      </c>
      <c r="M178">
        <v>439.99</v>
      </c>
      <c r="N178">
        <v>4175.5200000000004</v>
      </c>
      <c r="O178">
        <v>73101.23</v>
      </c>
      <c r="P178">
        <v>16576.8</v>
      </c>
      <c r="Q178">
        <v>9824.57</v>
      </c>
      <c r="R178" t="s">
        <v>65</v>
      </c>
      <c r="S178">
        <v>82925.8</v>
      </c>
      <c r="T178">
        <v>0</v>
      </c>
      <c r="U178" t="s">
        <v>73</v>
      </c>
      <c r="V178" t="s">
        <v>6</v>
      </c>
      <c r="W178" t="s">
        <v>74</v>
      </c>
      <c r="X178" t="s">
        <v>327</v>
      </c>
      <c r="Y178" t="s">
        <v>26</v>
      </c>
      <c r="Z178">
        <v>2.14</v>
      </c>
      <c r="AA178">
        <f t="shared" si="6"/>
        <v>9824.57</v>
      </c>
      <c r="AB178">
        <f t="shared" si="7"/>
        <v>0.11847422635657419</v>
      </c>
      <c r="AC178">
        <f t="shared" si="8"/>
        <v>0</v>
      </c>
      <c r="AD178">
        <v>2025</v>
      </c>
      <c r="AE178">
        <v>7</v>
      </c>
      <c r="AF178" t="s">
        <v>69</v>
      </c>
      <c r="AG178" t="s">
        <v>151</v>
      </c>
    </row>
    <row r="179" spans="1:33">
      <c r="A179" t="s">
        <v>328</v>
      </c>
      <c r="B179">
        <v>45341</v>
      </c>
      <c r="D179" t="s">
        <v>21</v>
      </c>
      <c r="E179">
        <v>150</v>
      </c>
      <c r="F179">
        <v>825.37</v>
      </c>
      <c r="G179">
        <v>2.4300000000000002</v>
      </c>
      <c r="H179">
        <v>0</v>
      </c>
      <c r="I179" t="s">
        <v>1727</v>
      </c>
      <c r="J179">
        <v>721.48</v>
      </c>
      <c r="K179">
        <v>0</v>
      </c>
      <c r="L179">
        <v>0</v>
      </c>
      <c r="M179">
        <v>0</v>
      </c>
      <c r="N179">
        <v>0</v>
      </c>
      <c r="O179">
        <v>0</v>
      </c>
      <c r="P179">
        <v>0</v>
      </c>
      <c r="Q179">
        <v>0</v>
      </c>
      <c r="R179" t="s">
        <v>65</v>
      </c>
      <c r="S179">
        <v>0</v>
      </c>
      <c r="T179">
        <v>0</v>
      </c>
      <c r="U179" t="s">
        <v>117</v>
      </c>
      <c r="V179" t="s">
        <v>8</v>
      </c>
      <c r="W179" t="s">
        <v>74</v>
      </c>
      <c r="X179" t="s">
        <v>125</v>
      </c>
      <c r="Y179" t="s">
        <v>24</v>
      </c>
      <c r="Z179">
        <v>0.62</v>
      </c>
      <c r="AA179">
        <f t="shared" si="6"/>
        <v>0</v>
      </c>
      <c r="AB179" t="e">
        <f t="shared" si="7"/>
        <v>#DIV/0!</v>
      </c>
      <c r="AC179">
        <f t="shared" si="8"/>
        <v>0</v>
      </c>
      <c r="AD179">
        <v>2024</v>
      </c>
      <c r="AE179">
        <v>2</v>
      </c>
      <c r="AF179" t="s">
        <v>172</v>
      </c>
      <c r="AG179" t="s">
        <v>173</v>
      </c>
    </row>
    <row r="180" spans="1:33">
      <c r="A180" t="s">
        <v>329</v>
      </c>
      <c r="B180">
        <v>45738</v>
      </c>
      <c r="C180">
        <v>45747</v>
      </c>
      <c r="D180" t="s">
        <v>29</v>
      </c>
      <c r="E180">
        <v>100</v>
      </c>
      <c r="F180">
        <v>2731.94</v>
      </c>
      <c r="G180">
        <v>1.99</v>
      </c>
      <c r="H180">
        <v>267757.44</v>
      </c>
      <c r="I180" t="s">
        <v>1727</v>
      </c>
      <c r="J180">
        <v>2222.7399999999998</v>
      </c>
      <c r="K180">
        <v>222274</v>
      </c>
      <c r="L180">
        <v>2097.42</v>
      </c>
      <c r="M180">
        <v>287.77999999999997</v>
      </c>
      <c r="N180">
        <v>11204.32</v>
      </c>
      <c r="O180">
        <v>235863.52</v>
      </c>
      <c r="P180">
        <v>45483.44</v>
      </c>
      <c r="Q180">
        <v>31893.919999999998</v>
      </c>
      <c r="R180" t="s">
        <v>65</v>
      </c>
      <c r="S180">
        <v>267757.44</v>
      </c>
      <c r="T180">
        <v>0</v>
      </c>
      <c r="U180" t="s">
        <v>66</v>
      </c>
      <c r="V180" t="s">
        <v>10</v>
      </c>
      <c r="W180" t="s">
        <v>67</v>
      </c>
      <c r="X180" t="s">
        <v>86</v>
      </c>
      <c r="Y180" t="s">
        <v>30</v>
      </c>
      <c r="Z180">
        <v>1.1100000000000001</v>
      </c>
      <c r="AA180">
        <f t="shared" si="6"/>
        <v>31893.919999999998</v>
      </c>
      <c r="AB180">
        <f t="shared" si="7"/>
        <v>0.11911497211804832</v>
      </c>
      <c r="AC180">
        <f t="shared" si="8"/>
        <v>0</v>
      </c>
      <c r="AD180">
        <v>2025</v>
      </c>
      <c r="AE180">
        <v>3</v>
      </c>
      <c r="AF180" t="s">
        <v>105</v>
      </c>
      <c r="AG180" t="s">
        <v>106</v>
      </c>
    </row>
    <row r="181" spans="1:33">
      <c r="A181" t="s">
        <v>330</v>
      </c>
      <c r="B181">
        <v>45378</v>
      </c>
      <c r="C181">
        <v>45382</v>
      </c>
      <c r="D181" t="s">
        <v>27</v>
      </c>
      <c r="E181">
        <v>150</v>
      </c>
      <c r="F181">
        <v>679.74</v>
      </c>
      <c r="G181">
        <v>0.18</v>
      </c>
      <c r="H181">
        <v>101777.47</v>
      </c>
      <c r="I181" t="s">
        <v>1729</v>
      </c>
      <c r="J181">
        <v>558.16999999999996</v>
      </c>
      <c r="K181">
        <v>83725.5</v>
      </c>
      <c r="L181">
        <v>1060.79</v>
      </c>
      <c r="M181">
        <v>311.99</v>
      </c>
      <c r="N181">
        <v>758.86</v>
      </c>
      <c r="O181">
        <v>85857.14</v>
      </c>
      <c r="P181">
        <v>18051.97</v>
      </c>
      <c r="Q181">
        <v>15920.33</v>
      </c>
      <c r="R181" t="s">
        <v>65</v>
      </c>
      <c r="S181">
        <v>101777.47</v>
      </c>
      <c r="T181">
        <v>0</v>
      </c>
      <c r="U181" t="s">
        <v>66</v>
      </c>
      <c r="V181" t="s">
        <v>8</v>
      </c>
      <c r="W181" t="s">
        <v>141</v>
      </c>
      <c r="X181" t="s">
        <v>123</v>
      </c>
      <c r="Y181" t="s">
        <v>22</v>
      </c>
      <c r="Z181">
        <v>1.9</v>
      </c>
      <c r="AA181">
        <f t="shared" si="6"/>
        <v>15920.33</v>
      </c>
      <c r="AB181">
        <f t="shared" si="7"/>
        <v>0.1564229293575484</v>
      </c>
      <c r="AC181">
        <f t="shared" si="8"/>
        <v>0</v>
      </c>
      <c r="AD181">
        <v>2024</v>
      </c>
      <c r="AE181">
        <v>3</v>
      </c>
      <c r="AF181" t="s">
        <v>105</v>
      </c>
      <c r="AG181" t="s">
        <v>120</v>
      </c>
    </row>
    <row r="182" spans="1:33">
      <c r="A182" t="s">
        <v>331</v>
      </c>
      <c r="B182">
        <v>45672</v>
      </c>
      <c r="C182">
        <v>45673</v>
      </c>
      <c r="D182" t="s">
        <v>27</v>
      </c>
      <c r="E182">
        <v>150</v>
      </c>
      <c r="F182">
        <v>702.51</v>
      </c>
      <c r="G182">
        <v>2.31</v>
      </c>
      <c r="H182">
        <v>102942.3</v>
      </c>
      <c r="I182" t="s">
        <v>1728</v>
      </c>
      <c r="J182">
        <v>566.38</v>
      </c>
      <c r="K182">
        <v>84957</v>
      </c>
      <c r="L182">
        <v>3298.15</v>
      </c>
      <c r="M182">
        <v>365.39</v>
      </c>
      <c r="N182">
        <v>1748.85</v>
      </c>
      <c r="O182">
        <v>90369.39</v>
      </c>
      <c r="P182">
        <v>17985.3</v>
      </c>
      <c r="Q182">
        <v>12572.91</v>
      </c>
      <c r="R182" t="s">
        <v>85</v>
      </c>
      <c r="S182">
        <v>75043.929999999993</v>
      </c>
      <c r="T182">
        <v>27898.37</v>
      </c>
      <c r="U182" t="s">
        <v>66</v>
      </c>
      <c r="V182" t="s">
        <v>14</v>
      </c>
      <c r="W182" t="s">
        <v>80</v>
      </c>
      <c r="X182" t="s">
        <v>125</v>
      </c>
      <c r="Y182" t="s">
        <v>24</v>
      </c>
      <c r="Z182">
        <v>0.69</v>
      </c>
      <c r="AA182">
        <f t="shared" si="6"/>
        <v>12572.91</v>
      </c>
      <c r="AB182">
        <f t="shared" si="7"/>
        <v>0.12213550697818097</v>
      </c>
      <c r="AC182">
        <f t="shared" si="8"/>
        <v>0</v>
      </c>
      <c r="AD182">
        <v>2025</v>
      </c>
      <c r="AE182">
        <v>1</v>
      </c>
      <c r="AF182" t="s">
        <v>102</v>
      </c>
      <c r="AG182" t="s">
        <v>118</v>
      </c>
    </row>
    <row r="183" spans="1:33">
      <c r="A183" t="s">
        <v>332</v>
      </c>
      <c r="B183">
        <v>45768</v>
      </c>
      <c r="C183">
        <v>45775</v>
      </c>
      <c r="D183" t="s">
        <v>21</v>
      </c>
      <c r="E183">
        <v>50</v>
      </c>
      <c r="F183">
        <v>901.77</v>
      </c>
      <c r="G183">
        <v>1.83</v>
      </c>
      <c r="H183">
        <v>44263.38</v>
      </c>
      <c r="I183" t="s">
        <v>1729</v>
      </c>
      <c r="J183">
        <v>662.96</v>
      </c>
      <c r="K183">
        <v>33148</v>
      </c>
      <c r="L183">
        <v>1103.6600000000001</v>
      </c>
      <c r="M183">
        <v>151.12</v>
      </c>
      <c r="N183">
        <v>11560.06</v>
      </c>
      <c r="O183">
        <v>45962.84</v>
      </c>
      <c r="P183">
        <v>11115.38</v>
      </c>
      <c r="Q183">
        <v>-1699.46</v>
      </c>
      <c r="R183" t="s">
        <v>65</v>
      </c>
      <c r="S183">
        <v>44263.38</v>
      </c>
      <c r="T183">
        <v>0</v>
      </c>
      <c r="U183" t="s">
        <v>66</v>
      </c>
      <c r="V183" t="s">
        <v>8</v>
      </c>
      <c r="W183" t="s">
        <v>92</v>
      </c>
      <c r="X183" t="s">
        <v>101</v>
      </c>
      <c r="Y183" t="s">
        <v>22</v>
      </c>
      <c r="Z183">
        <v>1.86</v>
      </c>
      <c r="AA183">
        <f t="shared" si="6"/>
        <v>-1699.46</v>
      </c>
      <c r="AB183">
        <f t="shared" si="7"/>
        <v>-3.8394266321279583E-2</v>
      </c>
      <c r="AC183">
        <f t="shared" si="8"/>
        <v>0</v>
      </c>
      <c r="AD183">
        <v>2025</v>
      </c>
      <c r="AE183">
        <v>4</v>
      </c>
      <c r="AF183" t="s">
        <v>154</v>
      </c>
      <c r="AG183" t="s">
        <v>155</v>
      </c>
    </row>
    <row r="184" spans="1:33">
      <c r="A184" t="s">
        <v>333</v>
      </c>
      <c r="B184">
        <v>45437</v>
      </c>
      <c r="C184">
        <v>45439</v>
      </c>
      <c r="D184" t="s">
        <v>21</v>
      </c>
      <c r="E184">
        <v>750</v>
      </c>
      <c r="F184">
        <v>901.26</v>
      </c>
      <c r="G184">
        <v>2.67</v>
      </c>
      <c r="H184">
        <v>657897.27</v>
      </c>
      <c r="I184" t="s">
        <v>1727</v>
      </c>
      <c r="J184">
        <v>691.03</v>
      </c>
      <c r="K184">
        <v>518272.5</v>
      </c>
      <c r="L184">
        <v>16546.41</v>
      </c>
      <c r="M184">
        <v>3035.92</v>
      </c>
      <c r="N184">
        <v>8729.1299999999992</v>
      </c>
      <c r="O184">
        <v>546583.96</v>
      </c>
      <c r="P184">
        <v>139624.76999999999</v>
      </c>
      <c r="Q184">
        <v>111313.31</v>
      </c>
      <c r="R184" t="s">
        <v>65</v>
      </c>
      <c r="S184">
        <v>657897.27</v>
      </c>
      <c r="T184">
        <v>0</v>
      </c>
      <c r="U184" t="s">
        <v>66</v>
      </c>
      <c r="V184" t="s">
        <v>6</v>
      </c>
      <c r="W184" t="s">
        <v>141</v>
      </c>
      <c r="X184" t="s">
        <v>185</v>
      </c>
      <c r="Y184" t="s">
        <v>31</v>
      </c>
      <c r="Z184">
        <v>1.35</v>
      </c>
      <c r="AA184">
        <f t="shared" si="6"/>
        <v>111313.31</v>
      </c>
      <c r="AB184">
        <f t="shared" si="7"/>
        <v>0.1691955797293398</v>
      </c>
      <c r="AC184">
        <f t="shared" si="8"/>
        <v>0</v>
      </c>
      <c r="AD184">
        <v>2024</v>
      </c>
      <c r="AE184">
        <v>5</v>
      </c>
      <c r="AF184" t="s">
        <v>76</v>
      </c>
      <c r="AG184" t="s">
        <v>77</v>
      </c>
    </row>
    <row r="185" spans="1:33">
      <c r="A185" t="s">
        <v>334</v>
      </c>
      <c r="B185">
        <v>45689</v>
      </c>
      <c r="C185">
        <v>45699</v>
      </c>
      <c r="D185" t="s">
        <v>25</v>
      </c>
      <c r="E185">
        <v>300</v>
      </c>
      <c r="F185">
        <v>975.94</v>
      </c>
      <c r="G185">
        <v>1.88</v>
      </c>
      <c r="H185">
        <v>287277.7</v>
      </c>
      <c r="I185" t="s">
        <v>1727</v>
      </c>
      <c r="J185">
        <v>775.9</v>
      </c>
      <c r="K185">
        <v>232770</v>
      </c>
      <c r="L185">
        <v>2152.02</v>
      </c>
      <c r="M185">
        <v>1168.3699999999999</v>
      </c>
      <c r="N185">
        <v>6719.23</v>
      </c>
      <c r="O185">
        <v>242809.62</v>
      </c>
      <c r="P185">
        <v>54507.7</v>
      </c>
      <c r="Q185">
        <v>44468.08</v>
      </c>
      <c r="R185" t="s">
        <v>134</v>
      </c>
      <c r="S185">
        <v>0</v>
      </c>
      <c r="T185">
        <v>287277.7</v>
      </c>
      <c r="U185" t="s">
        <v>73</v>
      </c>
      <c r="V185" t="s">
        <v>8</v>
      </c>
      <c r="W185" t="s">
        <v>80</v>
      </c>
      <c r="X185" t="s">
        <v>123</v>
      </c>
      <c r="Y185" t="s">
        <v>22</v>
      </c>
      <c r="Z185">
        <v>0.95</v>
      </c>
      <c r="AA185">
        <f t="shared" si="6"/>
        <v>44468.08</v>
      </c>
      <c r="AB185">
        <f t="shared" si="7"/>
        <v>0.15479126991061262</v>
      </c>
      <c r="AC185">
        <f t="shared" si="8"/>
        <v>0</v>
      </c>
      <c r="AD185">
        <v>2025</v>
      </c>
      <c r="AE185">
        <v>2</v>
      </c>
      <c r="AF185" t="s">
        <v>172</v>
      </c>
      <c r="AG185" t="s">
        <v>244</v>
      </c>
    </row>
    <row r="186" spans="1:33">
      <c r="A186" t="s">
        <v>335</v>
      </c>
      <c r="B186">
        <v>45481</v>
      </c>
      <c r="D186" t="s">
        <v>25</v>
      </c>
      <c r="E186">
        <v>250</v>
      </c>
      <c r="F186">
        <v>937.24</v>
      </c>
      <c r="G186">
        <v>2.35</v>
      </c>
      <c r="H186">
        <v>228803.72</v>
      </c>
      <c r="I186" t="s">
        <v>1726</v>
      </c>
      <c r="J186">
        <v>793.2</v>
      </c>
      <c r="K186">
        <v>198300</v>
      </c>
      <c r="L186">
        <v>2112.4499999999998</v>
      </c>
      <c r="M186">
        <v>1463.92</v>
      </c>
      <c r="N186">
        <v>1163.71</v>
      </c>
      <c r="O186">
        <v>203040.08</v>
      </c>
      <c r="P186">
        <v>30503.72</v>
      </c>
      <c r="Q186">
        <v>25763.64</v>
      </c>
      <c r="R186" t="s">
        <v>65</v>
      </c>
      <c r="S186">
        <v>228803.72</v>
      </c>
      <c r="T186">
        <v>0</v>
      </c>
      <c r="U186" t="s">
        <v>91</v>
      </c>
      <c r="V186" t="s">
        <v>10</v>
      </c>
      <c r="W186" t="s">
        <v>67</v>
      </c>
      <c r="X186" t="s">
        <v>159</v>
      </c>
      <c r="Y186" t="s">
        <v>30</v>
      </c>
      <c r="Z186">
        <v>0.6</v>
      </c>
      <c r="AA186">
        <f t="shared" si="6"/>
        <v>25763.64</v>
      </c>
      <c r="AB186">
        <f t="shared" si="7"/>
        <v>0.11260149091981546</v>
      </c>
      <c r="AC186">
        <f t="shared" si="8"/>
        <v>0</v>
      </c>
      <c r="AD186">
        <v>2024</v>
      </c>
      <c r="AE186">
        <v>7</v>
      </c>
      <c r="AF186" t="s">
        <v>69</v>
      </c>
      <c r="AG186" t="s">
        <v>70</v>
      </c>
    </row>
    <row r="187" spans="1:33">
      <c r="A187" t="s">
        <v>336</v>
      </c>
      <c r="B187">
        <v>45491</v>
      </c>
      <c r="C187">
        <v>45499</v>
      </c>
      <c r="D187" t="s">
        <v>21</v>
      </c>
      <c r="E187">
        <v>200</v>
      </c>
      <c r="F187">
        <v>825.23</v>
      </c>
      <c r="G187">
        <v>2.2400000000000002</v>
      </c>
      <c r="H187">
        <v>161348.97</v>
      </c>
      <c r="I187" t="s">
        <v>1726</v>
      </c>
      <c r="J187">
        <v>650.49</v>
      </c>
      <c r="K187">
        <v>130098</v>
      </c>
      <c r="L187">
        <v>2601.89</v>
      </c>
      <c r="M187">
        <v>893.82</v>
      </c>
      <c r="N187">
        <v>9712.67</v>
      </c>
      <c r="O187">
        <v>143306.38</v>
      </c>
      <c r="P187">
        <v>31250.97</v>
      </c>
      <c r="Q187">
        <v>18042.59</v>
      </c>
      <c r="R187" t="s">
        <v>65</v>
      </c>
      <c r="S187">
        <v>161348.97</v>
      </c>
      <c r="T187">
        <v>0</v>
      </c>
      <c r="U187" t="s">
        <v>73</v>
      </c>
      <c r="V187" t="s">
        <v>10</v>
      </c>
      <c r="W187" t="s">
        <v>141</v>
      </c>
      <c r="X187" t="s">
        <v>115</v>
      </c>
      <c r="Y187" t="s">
        <v>22</v>
      </c>
      <c r="Z187">
        <v>2.2599999999999998</v>
      </c>
      <c r="AA187">
        <f t="shared" si="6"/>
        <v>18042.59</v>
      </c>
      <c r="AB187">
        <f t="shared" si="7"/>
        <v>0.11182339744716065</v>
      </c>
      <c r="AC187">
        <f t="shared" si="8"/>
        <v>0</v>
      </c>
      <c r="AD187">
        <v>2024</v>
      </c>
      <c r="AE187">
        <v>7</v>
      </c>
      <c r="AF187" t="s">
        <v>69</v>
      </c>
      <c r="AG187" t="s">
        <v>70</v>
      </c>
    </row>
    <row r="188" spans="1:33">
      <c r="A188" t="s">
        <v>337</v>
      </c>
      <c r="B188">
        <v>45507</v>
      </c>
      <c r="C188">
        <v>45515</v>
      </c>
      <c r="D188" t="s">
        <v>25</v>
      </c>
      <c r="E188">
        <v>200</v>
      </c>
      <c r="F188">
        <v>908.02</v>
      </c>
      <c r="G188">
        <v>0.95</v>
      </c>
      <c r="H188">
        <v>179878.76</v>
      </c>
      <c r="I188" t="s">
        <v>1727</v>
      </c>
      <c r="J188">
        <v>720.22</v>
      </c>
      <c r="K188">
        <v>144044</v>
      </c>
      <c r="L188">
        <v>3767.34</v>
      </c>
      <c r="M188">
        <v>938.54</v>
      </c>
      <c r="N188">
        <v>5120.55</v>
      </c>
      <c r="O188">
        <v>153870.43</v>
      </c>
      <c r="P188">
        <v>35834.76</v>
      </c>
      <c r="Q188">
        <v>26008.33</v>
      </c>
      <c r="R188" t="s">
        <v>134</v>
      </c>
      <c r="S188">
        <v>0</v>
      </c>
      <c r="T188">
        <v>179878.76</v>
      </c>
      <c r="U188" t="s">
        <v>73</v>
      </c>
      <c r="V188" t="s">
        <v>16</v>
      </c>
      <c r="W188" t="s">
        <v>74</v>
      </c>
      <c r="X188" t="s">
        <v>164</v>
      </c>
      <c r="Y188" t="s">
        <v>24</v>
      </c>
      <c r="Z188">
        <v>0.88</v>
      </c>
      <c r="AA188">
        <f t="shared" si="6"/>
        <v>26008.33</v>
      </c>
      <c r="AB188">
        <f t="shared" si="7"/>
        <v>0.14458811034721386</v>
      </c>
      <c r="AC188">
        <f t="shared" si="8"/>
        <v>0</v>
      </c>
      <c r="AD188">
        <v>2024</v>
      </c>
      <c r="AE188">
        <v>8</v>
      </c>
      <c r="AF188" t="s">
        <v>82</v>
      </c>
      <c r="AG188" t="s">
        <v>83</v>
      </c>
    </row>
    <row r="189" spans="1:33">
      <c r="A189" t="s">
        <v>338</v>
      </c>
      <c r="B189">
        <v>45510</v>
      </c>
      <c r="D189" t="s">
        <v>21</v>
      </c>
      <c r="E189">
        <v>200</v>
      </c>
      <c r="F189">
        <v>831.43</v>
      </c>
      <c r="G189">
        <v>1.1299999999999999</v>
      </c>
      <c r="H189">
        <v>164406.97</v>
      </c>
      <c r="I189" t="s">
        <v>1726</v>
      </c>
      <c r="J189">
        <v>688.2</v>
      </c>
      <c r="K189">
        <v>137640</v>
      </c>
      <c r="L189">
        <v>3884.71</v>
      </c>
      <c r="M189">
        <v>795.03</v>
      </c>
      <c r="N189">
        <v>10205.66</v>
      </c>
      <c r="O189">
        <v>152525.4</v>
      </c>
      <c r="P189">
        <v>26766.97</v>
      </c>
      <c r="Q189">
        <v>11881.57</v>
      </c>
      <c r="R189" t="s">
        <v>134</v>
      </c>
      <c r="S189">
        <v>0</v>
      </c>
      <c r="T189">
        <v>164406.97</v>
      </c>
      <c r="U189" t="s">
        <v>91</v>
      </c>
      <c r="V189" t="s">
        <v>14</v>
      </c>
      <c r="W189" t="s">
        <v>74</v>
      </c>
      <c r="X189" t="s">
        <v>89</v>
      </c>
      <c r="Y189" t="s">
        <v>28</v>
      </c>
      <c r="Z189">
        <v>0.42</v>
      </c>
      <c r="AA189">
        <f t="shared" si="6"/>
        <v>11881.57</v>
      </c>
      <c r="AB189">
        <f t="shared" si="7"/>
        <v>7.2269259630537555E-2</v>
      </c>
      <c r="AC189">
        <f t="shared" si="8"/>
        <v>0</v>
      </c>
      <c r="AD189">
        <v>2024</v>
      </c>
      <c r="AE189">
        <v>8</v>
      </c>
      <c r="AF189" t="s">
        <v>82</v>
      </c>
      <c r="AG189" t="s">
        <v>83</v>
      </c>
    </row>
    <row r="190" spans="1:33">
      <c r="A190" t="s">
        <v>339</v>
      </c>
      <c r="B190">
        <v>45685</v>
      </c>
      <c r="D190" t="s">
        <v>21</v>
      </c>
      <c r="E190">
        <v>200</v>
      </c>
      <c r="F190">
        <v>822.44</v>
      </c>
      <c r="G190">
        <v>1.04</v>
      </c>
      <c r="H190">
        <v>162777.32</v>
      </c>
      <c r="I190" t="s">
        <v>1726</v>
      </c>
      <c r="J190">
        <v>685.95</v>
      </c>
      <c r="K190">
        <v>137190</v>
      </c>
      <c r="L190">
        <v>2796.89</v>
      </c>
      <c r="M190">
        <v>421.12</v>
      </c>
      <c r="N190">
        <v>11077.17</v>
      </c>
      <c r="O190">
        <v>151485.18</v>
      </c>
      <c r="P190">
        <v>25587.32</v>
      </c>
      <c r="Q190">
        <v>11292.14</v>
      </c>
      <c r="R190" t="s">
        <v>85</v>
      </c>
      <c r="S190">
        <v>108536.08</v>
      </c>
      <c r="T190">
        <v>54241.24</v>
      </c>
      <c r="U190" t="s">
        <v>91</v>
      </c>
      <c r="V190" t="s">
        <v>14</v>
      </c>
      <c r="W190" t="s">
        <v>74</v>
      </c>
      <c r="X190" t="s">
        <v>115</v>
      </c>
      <c r="Y190" t="s">
        <v>22</v>
      </c>
      <c r="Z190">
        <v>1.45</v>
      </c>
      <c r="AA190">
        <f t="shared" si="6"/>
        <v>11292.14</v>
      </c>
      <c r="AB190">
        <f t="shared" si="7"/>
        <v>6.9371703625541931E-2</v>
      </c>
      <c r="AC190">
        <f t="shared" si="8"/>
        <v>0</v>
      </c>
      <c r="AD190">
        <v>2025</v>
      </c>
      <c r="AE190">
        <v>1</v>
      </c>
      <c r="AF190" t="s">
        <v>102</v>
      </c>
      <c r="AG190" t="s">
        <v>118</v>
      </c>
    </row>
    <row r="191" spans="1:33">
      <c r="A191" t="s">
        <v>340</v>
      </c>
      <c r="B191">
        <v>45785</v>
      </c>
      <c r="C191">
        <v>45799</v>
      </c>
      <c r="D191" t="s">
        <v>25</v>
      </c>
      <c r="E191">
        <v>150</v>
      </c>
      <c r="F191">
        <v>1001.24</v>
      </c>
      <c r="G191">
        <v>0.28999999999999998</v>
      </c>
      <c r="H191">
        <v>149750.46</v>
      </c>
      <c r="I191" t="s">
        <v>1728</v>
      </c>
      <c r="J191">
        <v>785.75</v>
      </c>
      <c r="K191">
        <v>117862.5</v>
      </c>
      <c r="L191">
        <v>968.06</v>
      </c>
      <c r="M191">
        <v>484.56</v>
      </c>
      <c r="N191">
        <v>4462.93</v>
      </c>
      <c r="O191">
        <v>123778.05</v>
      </c>
      <c r="P191">
        <v>31887.96</v>
      </c>
      <c r="Q191">
        <v>25972.41</v>
      </c>
      <c r="R191" t="s">
        <v>85</v>
      </c>
      <c r="S191">
        <v>87588.85</v>
      </c>
      <c r="T191">
        <v>62161.61</v>
      </c>
      <c r="U191" t="s">
        <v>66</v>
      </c>
      <c r="V191" t="s">
        <v>16</v>
      </c>
      <c r="W191" t="s">
        <v>74</v>
      </c>
      <c r="X191" t="s">
        <v>176</v>
      </c>
      <c r="Y191" t="s">
        <v>22</v>
      </c>
      <c r="Z191">
        <v>2.39</v>
      </c>
      <c r="AA191">
        <f t="shared" si="6"/>
        <v>25972.41</v>
      </c>
      <c r="AB191">
        <f t="shared" si="7"/>
        <v>0.17343793134258154</v>
      </c>
      <c r="AC191">
        <f t="shared" si="8"/>
        <v>0</v>
      </c>
      <c r="AD191">
        <v>2025</v>
      </c>
      <c r="AE191">
        <v>5</v>
      </c>
      <c r="AF191" t="s">
        <v>76</v>
      </c>
      <c r="AG191" t="s">
        <v>94</v>
      </c>
    </row>
    <row r="192" spans="1:33">
      <c r="A192" t="s">
        <v>341</v>
      </c>
      <c r="B192">
        <v>45343</v>
      </c>
      <c r="C192">
        <v>45356</v>
      </c>
      <c r="D192" t="s">
        <v>21</v>
      </c>
      <c r="E192">
        <v>250</v>
      </c>
      <c r="F192">
        <v>874.61</v>
      </c>
      <c r="G192">
        <v>1.44</v>
      </c>
      <c r="H192">
        <v>215503.9</v>
      </c>
      <c r="I192" t="s">
        <v>1726</v>
      </c>
      <c r="J192">
        <v>698.37</v>
      </c>
      <c r="K192">
        <v>174592.5</v>
      </c>
      <c r="L192">
        <v>4215.3999999999996</v>
      </c>
      <c r="M192">
        <v>1140.8699999999999</v>
      </c>
      <c r="N192">
        <v>566.83000000000004</v>
      </c>
      <c r="O192">
        <v>180515.6</v>
      </c>
      <c r="P192">
        <v>40911.4</v>
      </c>
      <c r="Q192">
        <v>34988.300000000003</v>
      </c>
      <c r="R192" t="s">
        <v>65</v>
      </c>
      <c r="S192">
        <v>215503.9</v>
      </c>
      <c r="T192">
        <v>0</v>
      </c>
      <c r="U192" t="s">
        <v>66</v>
      </c>
      <c r="V192" t="s">
        <v>14</v>
      </c>
      <c r="W192" t="s">
        <v>74</v>
      </c>
      <c r="X192" t="s">
        <v>101</v>
      </c>
      <c r="Y192" t="s">
        <v>22</v>
      </c>
      <c r="Z192">
        <v>2.29</v>
      </c>
      <c r="AA192">
        <f t="shared" si="6"/>
        <v>34988.300000000003</v>
      </c>
      <c r="AB192">
        <f t="shared" si="7"/>
        <v>0.16235576247112002</v>
      </c>
      <c r="AC192">
        <f t="shared" si="8"/>
        <v>0</v>
      </c>
      <c r="AD192">
        <v>2024</v>
      </c>
      <c r="AE192">
        <v>2</v>
      </c>
      <c r="AF192" t="s">
        <v>172</v>
      </c>
      <c r="AG192" t="s">
        <v>173</v>
      </c>
    </row>
    <row r="193" spans="1:33">
      <c r="A193" t="s">
        <v>342</v>
      </c>
      <c r="B193">
        <v>45478</v>
      </c>
      <c r="C193">
        <v>45484</v>
      </c>
      <c r="D193" t="s">
        <v>21</v>
      </c>
      <c r="E193">
        <v>1000</v>
      </c>
      <c r="F193">
        <v>802.13</v>
      </c>
      <c r="G193">
        <v>1.52</v>
      </c>
      <c r="H193">
        <v>789937.62</v>
      </c>
      <c r="I193" t="s">
        <v>1729</v>
      </c>
      <c r="J193">
        <v>749.37</v>
      </c>
      <c r="K193">
        <v>749370</v>
      </c>
      <c r="L193">
        <v>11715.59</v>
      </c>
      <c r="M193">
        <v>4200.43</v>
      </c>
      <c r="N193">
        <v>1445.37</v>
      </c>
      <c r="O193">
        <v>766731.39</v>
      </c>
      <c r="P193">
        <v>40567.620000000003</v>
      </c>
      <c r="Q193">
        <v>23206.23</v>
      </c>
      <c r="R193" t="s">
        <v>134</v>
      </c>
      <c r="S193">
        <v>0</v>
      </c>
      <c r="T193">
        <v>789937.62</v>
      </c>
      <c r="U193" t="s">
        <v>66</v>
      </c>
      <c r="V193" t="s">
        <v>6</v>
      </c>
      <c r="W193" t="s">
        <v>74</v>
      </c>
      <c r="X193" t="s">
        <v>93</v>
      </c>
      <c r="Y193" t="s">
        <v>26</v>
      </c>
      <c r="Z193">
        <v>1.68</v>
      </c>
      <c r="AA193">
        <f t="shared" si="6"/>
        <v>23206.23</v>
      </c>
      <c r="AB193">
        <f t="shared" si="7"/>
        <v>2.9377294374206407E-2</v>
      </c>
      <c r="AC193">
        <f t="shared" si="8"/>
        <v>0</v>
      </c>
      <c r="AD193">
        <v>2024</v>
      </c>
      <c r="AE193">
        <v>7</v>
      </c>
      <c r="AF193" t="s">
        <v>69</v>
      </c>
      <c r="AG193" t="s">
        <v>70</v>
      </c>
    </row>
    <row r="194" spans="1:33">
      <c r="A194" t="s">
        <v>343</v>
      </c>
      <c r="B194">
        <v>45526</v>
      </c>
      <c r="C194">
        <v>45534</v>
      </c>
      <c r="D194" t="s">
        <v>27</v>
      </c>
      <c r="E194">
        <v>200</v>
      </c>
      <c r="F194">
        <v>718.04</v>
      </c>
      <c r="G194">
        <v>0.63</v>
      </c>
      <c r="H194">
        <v>142703.26999999999</v>
      </c>
      <c r="I194" t="s">
        <v>1729</v>
      </c>
      <c r="J194">
        <v>604.66</v>
      </c>
      <c r="K194">
        <v>120932</v>
      </c>
      <c r="L194">
        <v>1229.06</v>
      </c>
      <c r="M194">
        <v>371.9</v>
      </c>
      <c r="N194">
        <v>2664.21</v>
      </c>
      <c r="O194">
        <v>125197.17</v>
      </c>
      <c r="P194">
        <v>21771.27</v>
      </c>
      <c r="Q194">
        <v>17506.099999999999</v>
      </c>
      <c r="R194" t="s">
        <v>65</v>
      </c>
      <c r="S194">
        <v>142703.26999999999</v>
      </c>
      <c r="T194">
        <v>0</v>
      </c>
      <c r="U194" t="s">
        <v>66</v>
      </c>
      <c r="V194" t="s">
        <v>10</v>
      </c>
      <c r="W194" t="s">
        <v>92</v>
      </c>
      <c r="X194" t="s">
        <v>176</v>
      </c>
      <c r="Y194" t="s">
        <v>22</v>
      </c>
      <c r="Z194">
        <v>0.54</v>
      </c>
      <c r="AA194">
        <f t="shared" ref="AA194:AA257" si="9">ROUND(H194-O194,2)</f>
        <v>17506.099999999999</v>
      </c>
      <c r="AB194">
        <f t="shared" ref="AB194:AB257" si="10">AA194/H194</f>
        <v>0.12267483429076292</v>
      </c>
      <c r="AC194">
        <f t="shared" ref="AC194:AC257" si="11">ROUND(AA194-Q194,2)</f>
        <v>0</v>
      </c>
      <c r="AD194">
        <v>2024</v>
      </c>
      <c r="AE194">
        <v>8</v>
      </c>
      <c r="AF194" t="s">
        <v>82</v>
      </c>
      <c r="AG194" t="s">
        <v>83</v>
      </c>
    </row>
    <row r="195" spans="1:33">
      <c r="A195" t="s">
        <v>344</v>
      </c>
      <c r="B195">
        <v>45333</v>
      </c>
      <c r="C195">
        <v>45341</v>
      </c>
      <c r="D195" t="s">
        <v>21</v>
      </c>
      <c r="E195">
        <v>500</v>
      </c>
      <c r="F195">
        <v>917.32</v>
      </c>
      <c r="G195">
        <v>0.37</v>
      </c>
      <c r="H195">
        <v>456962.96</v>
      </c>
      <c r="I195" t="s">
        <v>1727</v>
      </c>
      <c r="J195">
        <v>694.52</v>
      </c>
      <c r="K195">
        <v>347260</v>
      </c>
      <c r="L195">
        <v>4329.87</v>
      </c>
      <c r="M195">
        <v>2006.9</v>
      </c>
      <c r="N195">
        <v>375.61</v>
      </c>
      <c r="O195">
        <v>353972.38</v>
      </c>
      <c r="P195">
        <v>109702.96</v>
      </c>
      <c r="Q195">
        <v>102990.58</v>
      </c>
      <c r="R195" t="s">
        <v>65</v>
      </c>
      <c r="S195">
        <v>456962.96</v>
      </c>
      <c r="T195">
        <v>0</v>
      </c>
      <c r="U195" t="s">
        <v>66</v>
      </c>
      <c r="V195" t="s">
        <v>8</v>
      </c>
      <c r="W195" t="s">
        <v>74</v>
      </c>
      <c r="X195" t="s">
        <v>195</v>
      </c>
      <c r="Y195" t="s">
        <v>26</v>
      </c>
      <c r="Z195">
        <v>0.23</v>
      </c>
      <c r="AA195">
        <f t="shared" si="9"/>
        <v>102990.58</v>
      </c>
      <c r="AB195">
        <f t="shared" si="10"/>
        <v>0.22538058664535962</v>
      </c>
      <c r="AC195">
        <f t="shared" si="11"/>
        <v>0</v>
      </c>
      <c r="AD195">
        <v>2024</v>
      </c>
      <c r="AE195">
        <v>2</v>
      </c>
      <c r="AF195" t="s">
        <v>172</v>
      </c>
      <c r="AG195" t="s">
        <v>173</v>
      </c>
    </row>
    <row r="196" spans="1:33">
      <c r="A196" t="s">
        <v>345</v>
      </c>
      <c r="B196">
        <v>45784</v>
      </c>
      <c r="C196">
        <v>45786</v>
      </c>
      <c r="D196" t="s">
        <v>21</v>
      </c>
      <c r="E196">
        <v>750</v>
      </c>
      <c r="F196">
        <v>829.09</v>
      </c>
      <c r="G196">
        <v>4.29</v>
      </c>
      <c r="H196">
        <v>595141.53</v>
      </c>
      <c r="I196" t="s">
        <v>1727</v>
      </c>
      <c r="J196">
        <v>700.41</v>
      </c>
      <c r="K196">
        <v>525307.5</v>
      </c>
      <c r="L196">
        <v>17815.93</v>
      </c>
      <c r="M196">
        <v>3699.99</v>
      </c>
      <c r="N196">
        <v>5294.8</v>
      </c>
      <c r="O196">
        <v>552118.22</v>
      </c>
      <c r="P196">
        <v>69834.03</v>
      </c>
      <c r="Q196">
        <v>43023.31</v>
      </c>
      <c r="R196" t="s">
        <v>85</v>
      </c>
      <c r="S196">
        <v>332095.59999999998</v>
      </c>
      <c r="T196">
        <v>263045.93</v>
      </c>
      <c r="U196" t="s">
        <v>66</v>
      </c>
      <c r="V196" t="s">
        <v>10</v>
      </c>
      <c r="W196" t="s">
        <v>74</v>
      </c>
      <c r="X196" t="s">
        <v>195</v>
      </c>
      <c r="Y196" t="s">
        <v>26</v>
      </c>
      <c r="Z196">
        <v>0.52</v>
      </c>
      <c r="AA196">
        <f t="shared" si="9"/>
        <v>43023.31</v>
      </c>
      <c r="AB196">
        <f t="shared" si="10"/>
        <v>7.2290888521928554E-2</v>
      </c>
      <c r="AC196">
        <f t="shared" si="11"/>
        <v>0</v>
      </c>
      <c r="AD196">
        <v>2025</v>
      </c>
      <c r="AE196">
        <v>5</v>
      </c>
      <c r="AF196" t="s">
        <v>76</v>
      </c>
      <c r="AG196" t="s">
        <v>94</v>
      </c>
    </row>
    <row r="197" spans="1:33">
      <c r="A197" t="s">
        <v>346</v>
      </c>
      <c r="B197">
        <v>45963</v>
      </c>
      <c r="C197">
        <v>45972</v>
      </c>
      <c r="D197" t="s">
        <v>21</v>
      </c>
      <c r="E197">
        <v>1200</v>
      </c>
      <c r="F197">
        <v>971.8</v>
      </c>
      <c r="G197">
        <v>3.2</v>
      </c>
      <c r="H197">
        <v>1128842.8799999999</v>
      </c>
      <c r="I197" t="s">
        <v>1729</v>
      </c>
      <c r="J197">
        <v>661.11</v>
      </c>
      <c r="K197">
        <v>793332</v>
      </c>
      <c r="L197">
        <v>23006.09</v>
      </c>
      <c r="M197">
        <v>2634.08</v>
      </c>
      <c r="N197">
        <v>2195.0100000000002</v>
      </c>
      <c r="O197">
        <v>821167.18</v>
      </c>
      <c r="P197">
        <v>335510.88</v>
      </c>
      <c r="Q197">
        <v>307675.7</v>
      </c>
      <c r="R197" t="s">
        <v>134</v>
      </c>
      <c r="S197">
        <v>0</v>
      </c>
      <c r="T197">
        <v>1128842.8799999999</v>
      </c>
      <c r="U197" t="s">
        <v>66</v>
      </c>
      <c r="V197" t="s">
        <v>16</v>
      </c>
      <c r="W197" t="s">
        <v>74</v>
      </c>
      <c r="X197" t="s">
        <v>101</v>
      </c>
      <c r="Y197" t="s">
        <v>22</v>
      </c>
      <c r="Z197">
        <v>1.86</v>
      </c>
      <c r="AA197">
        <f t="shared" si="9"/>
        <v>307675.7</v>
      </c>
      <c r="AB197">
        <f t="shared" si="10"/>
        <v>0.27255848041491837</v>
      </c>
      <c r="AC197">
        <f t="shared" si="11"/>
        <v>0</v>
      </c>
      <c r="AD197">
        <v>2025</v>
      </c>
      <c r="AE197">
        <v>11</v>
      </c>
      <c r="AF197" t="s">
        <v>128</v>
      </c>
      <c r="AG197" t="s">
        <v>135</v>
      </c>
    </row>
    <row r="198" spans="1:33">
      <c r="A198" t="s">
        <v>347</v>
      </c>
      <c r="B198">
        <v>45865</v>
      </c>
      <c r="C198">
        <v>45879</v>
      </c>
      <c r="D198" t="s">
        <v>21</v>
      </c>
      <c r="E198">
        <v>300</v>
      </c>
      <c r="F198">
        <v>824.56</v>
      </c>
      <c r="G198">
        <v>1.5</v>
      </c>
      <c r="H198">
        <v>243657.48</v>
      </c>
      <c r="I198" t="s">
        <v>1727</v>
      </c>
      <c r="J198">
        <v>669.05</v>
      </c>
      <c r="K198">
        <v>200715</v>
      </c>
      <c r="L198">
        <v>3189.62</v>
      </c>
      <c r="M198">
        <v>1277.24</v>
      </c>
      <c r="N198">
        <v>3860.8</v>
      </c>
      <c r="O198">
        <v>209042.66</v>
      </c>
      <c r="P198">
        <v>42942.48</v>
      </c>
      <c r="Q198">
        <v>34614.82</v>
      </c>
      <c r="R198" t="s">
        <v>65</v>
      </c>
      <c r="S198">
        <v>243657.48</v>
      </c>
      <c r="T198">
        <v>0</v>
      </c>
      <c r="U198" t="s">
        <v>66</v>
      </c>
      <c r="V198" t="s">
        <v>8</v>
      </c>
      <c r="W198" t="s">
        <v>80</v>
      </c>
      <c r="X198" t="s">
        <v>101</v>
      </c>
      <c r="Y198" t="s">
        <v>22</v>
      </c>
      <c r="Z198">
        <v>1.38</v>
      </c>
      <c r="AA198">
        <f t="shared" si="9"/>
        <v>34614.82</v>
      </c>
      <c r="AB198">
        <f t="shared" si="10"/>
        <v>0.14206344085968547</v>
      </c>
      <c r="AC198">
        <f t="shared" si="11"/>
        <v>0</v>
      </c>
      <c r="AD198">
        <v>2025</v>
      </c>
      <c r="AE198">
        <v>7</v>
      </c>
      <c r="AF198" t="s">
        <v>69</v>
      </c>
      <c r="AG198" t="s">
        <v>151</v>
      </c>
    </row>
    <row r="199" spans="1:33">
      <c r="A199" t="s">
        <v>348</v>
      </c>
      <c r="B199">
        <v>45328</v>
      </c>
      <c r="C199">
        <v>45335</v>
      </c>
      <c r="D199" t="s">
        <v>25</v>
      </c>
      <c r="E199">
        <v>100</v>
      </c>
      <c r="F199">
        <v>918.09</v>
      </c>
      <c r="G199">
        <v>1.06</v>
      </c>
      <c r="H199">
        <v>90835.82</v>
      </c>
      <c r="I199" t="s">
        <v>1727</v>
      </c>
      <c r="J199">
        <v>744.66</v>
      </c>
      <c r="K199">
        <v>74466</v>
      </c>
      <c r="L199">
        <v>544.66</v>
      </c>
      <c r="M199">
        <v>195.15</v>
      </c>
      <c r="N199">
        <v>10054.719999999999</v>
      </c>
      <c r="O199">
        <v>85260.53</v>
      </c>
      <c r="P199">
        <v>16369.82</v>
      </c>
      <c r="Q199">
        <v>5575.29</v>
      </c>
      <c r="R199" t="s">
        <v>65</v>
      </c>
      <c r="S199">
        <v>90835.82</v>
      </c>
      <c r="T199">
        <v>0</v>
      </c>
      <c r="U199" t="s">
        <v>66</v>
      </c>
      <c r="V199" t="s">
        <v>6</v>
      </c>
      <c r="W199" t="s">
        <v>141</v>
      </c>
      <c r="X199" t="s">
        <v>150</v>
      </c>
      <c r="Y199" t="s">
        <v>30</v>
      </c>
      <c r="Z199">
        <v>2.2000000000000002</v>
      </c>
      <c r="AA199">
        <f t="shared" si="9"/>
        <v>5575.29</v>
      </c>
      <c r="AB199">
        <f t="shared" si="10"/>
        <v>6.1377659165734393E-2</v>
      </c>
      <c r="AC199">
        <f t="shared" si="11"/>
        <v>0</v>
      </c>
      <c r="AD199">
        <v>2024</v>
      </c>
      <c r="AE199">
        <v>2</v>
      </c>
      <c r="AF199" t="s">
        <v>172</v>
      </c>
      <c r="AG199" t="s">
        <v>173</v>
      </c>
    </row>
    <row r="200" spans="1:33">
      <c r="A200" t="s">
        <v>349</v>
      </c>
      <c r="B200">
        <v>45294</v>
      </c>
      <c r="C200">
        <v>45307</v>
      </c>
      <c r="D200" t="s">
        <v>23</v>
      </c>
      <c r="E200">
        <v>200</v>
      </c>
      <c r="F200">
        <v>1375.69</v>
      </c>
      <c r="G200">
        <v>0.75</v>
      </c>
      <c r="H200">
        <v>273074.46999999997</v>
      </c>
      <c r="I200" t="s">
        <v>1726</v>
      </c>
      <c r="J200">
        <v>1114.49</v>
      </c>
      <c r="K200">
        <v>222898</v>
      </c>
      <c r="L200">
        <v>3936.22</v>
      </c>
      <c r="M200">
        <v>387.63</v>
      </c>
      <c r="N200">
        <v>494.68</v>
      </c>
      <c r="O200">
        <v>227716.53</v>
      </c>
      <c r="P200">
        <v>50176.47</v>
      </c>
      <c r="Q200">
        <v>45357.94</v>
      </c>
      <c r="R200" t="s">
        <v>65</v>
      </c>
      <c r="S200">
        <v>273074.46999999997</v>
      </c>
      <c r="T200">
        <v>0</v>
      </c>
      <c r="U200" t="s">
        <v>66</v>
      </c>
      <c r="V200" t="s">
        <v>16</v>
      </c>
      <c r="W200" t="s">
        <v>80</v>
      </c>
      <c r="X200" t="s">
        <v>101</v>
      </c>
      <c r="Y200" t="s">
        <v>22</v>
      </c>
      <c r="Z200">
        <v>1.82</v>
      </c>
      <c r="AA200">
        <f t="shared" si="9"/>
        <v>45357.94</v>
      </c>
      <c r="AB200">
        <f t="shared" si="10"/>
        <v>0.16610099069312487</v>
      </c>
      <c r="AC200">
        <f t="shared" si="11"/>
        <v>0</v>
      </c>
      <c r="AD200">
        <v>2024</v>
      </c>
      <c r="AE200">
        <v>1</v>
      </c>
      <c r="AF200" t="s">
        <v>102</v>
      </c>
      <c r="AG200" t="s">
        <v>103</v>
      </c>
    </row>
    <row r="201" spans="1:33">
      <c r="A201" t="s">
        <v>350</v>
      </c>
      <c r="B201">
        <v>45555</v>
      </c>
      <c r="C201">
        <v>45555</v>
      </c>
      <c r="D201" t="s">
        <v>25</v>
      </c>
      <c r="E201">
        <v>300</v>
      </c>
      <c r="F201">
        <v>994.92</v>
      </c>
      <c r="G201">
        <v>0.2</v>
      </c>
      <c r="H201">
        <v>297879.05</v>
      </c>
      <c r="I201" t="s">
        <v>1728</v>
      </c>
      <c r="J201">
        <v>731.01</v>
      </c>
      <c r="K201">
        <v>219303</v>
      </c>
      <c r="L201">
        <v>1996.18</v>
      </c>
      <c r="M201">
        <v>1765.8</v>
      </c>
      <c r="N201">
        <v>2452.35</v>
      </c>
      <c r="O201">
        <v>225517.33</v>
      </c>
      <c r="P201">
        <v>78576.05</v>
      </c>
      <c r="Q201">
        <v>72361.72</v>
      </c>
      <c r="R201" t="s">
        <v>65</v>
      </c>
      <c r="S201">
        <v>297879.05</v>
      </c>
      <c r="T201">
        <v>0</v>
      </c>
      <c r="U201" t="s">
        <v>66</v>
      </c>
      <c r="V201" t="s">
        <v>12</v>
      </c>
      <c r="W201" t="s">
        <v>80</v>
      </c>
      <c r="X201" t="s">
        <v>159</v>
      </c>
      <c r="Y201" t="s">
        <v>30</v>
      </c>
      <c r="Z201">
        <v>0.52</v>
      </c>
      <c r="AA201">
        <f t="shared" si="9"/>
        <v>72361.72</v>
      </c>
      <c r="AB201">
        <f t="shared" si="10"/>
        <v>0.2429231595844018</v>
      </c>
      <c r="AC201">
        <f t="shared" si="11"/>
        <v>0</v>
      </c>
      <c r="AD201">
        <v>2024</v>
      </c>
      <c r="AE201">
        <v>9</v>
      </c>
      <c r="AF201" t="s">
        <v>131</v>
      </c>
      <c r="AG201" t="s">
        <v>188</v>
      </c>
    </row>
    <row r="202" spans="1:33">
      <c r="A202" t="s">
        <v>351</v>
      </c>
      <c r="B202">
        <v>45378</v>
      </c>
      <c r="C202">
        <v>45380</v>
      </c>
      <c r="D202" t="s">
        <v>21</v>
      </c>
      <c r="E202">
        <v>200</v>
      </c>
      <c r="F202">
        <v>920.03</v>
      </c>
      <c r="G202">
        <v>7.0000000000000007E-2</v>
      </c>
      <c r="H202">
        <v>183877.2</v>
      </c>
      <c r="I202" t="s">
        <v>1727</v>
      </c>
      <c r="J202">
        <v>671.93</v>
      </c>
      <c r="K202">
        <v>134386</v>
      </c>
      <c r="L202">
        <v>2315.59</v>
      </c>
      <c r="M202">
        <v>563.78</v>
      </c>
      <c r="N202">
        <v>2048.3200000000002</v>
      </c>
      <c r="O202">
        <v>139313.69</v>
      </c>
      <c r="P202">
        <v>49491.199999999997</v>
      </c>
      <c r="Q202">
        <v>44563.51</v>
      </c>
      <c r="R202" t="s">
        <v>85</v>
      </c>
      <c r="S202">
        <v>99829.42</v>
      </c>
      <c r="T202">
        <v>84047.78</v>
      </c>
      <c r="U202" t="s">
        <v>66</v>
      </c>
      <c r="V202" t="s">
        <v>6</v>
      </c>
      <c r="W202" t="s">
        <v>74</v>
      </c>
      <c r="X202" t="s">
        <v>81</v>
      </c>
      <c r="Y202" t="s">
        <v>24</v>
      </c>
      <c r="Z202">
        <v>1.32</v>
      </c>
      <c r="AA202">
        <f t="shared" si="9"/>
        <v>44563.51</v>
      </c>
      <c r="AB202">
        <f t="shared" si="10"/>
        <v>0.24235473457285622</v>
      </c>
      <c r="AC202">
        <f t="shared" si="11"/>
        <v>0</v>
      </c>
      <c r="AD202">
        <v>2024</v>
      </c>
      <c r="AE202">
        <v>3</v>
      </c>
      <c r="AF202" t="s">
        <v>105</v>
      </c>
      <c r="AG202" t="s">
        <v>120</v>
      </c>
    </row>
    <row r="203" spans="1:33">
      <c r="A203" t="s">
        <v>352</v>
      </c>
      <c r="B203">
        <v>45352</v>
      </c>
      <c r="C203">
        <v>45366</v>
      </c>
      <c r="D203" t="s">
        <v>21</v>
      </c>
      <c r="E203">
        <v>250</v>
      </c>
      <c r="F203">
        <v>831.4</v>
      </c>
      <c r="G203">
        <v>0.48</v>
      </c>
      <c r="H203">
        <v>206852.32</v>
      </c>
      <c r="I203" t="s">
        <v>1726</v>
      </c>
      <c r="J203">
        <v>661.46</v>
      </c>
      <c r="K203">
        <v>165365</v>
      </c>
      <c r="L203">
        <v>3892.17</v>
      </c>
      <c r="M203">
        <v>1318.13</v>
      </c>
      <c r="N203">
        <v>1835.44</v>
      </c>
      <c r="O203">
        <v>172410.74</v>
      </c>
      <c r="P203">
        <v>41487.32</v>
      </c>
      <c r="Q203">
        <v>34441.58</v>
      </c>
      <c r="R203" t="s">
        <v>65</v>
      </c>
      <c r="S203">
        <v>206852.32</v>
      </c>
      <c r="T203">
        <v>0</v>
      </c>
      <c r="U203" t="s">
        <v>66</v>
      </c>
      <c r="V203" t="s">
        <v>12</v>
      </c>
      <c r="W203" t="s">
        <v>80</v>
      </c>
      <c r="X203" t="s">
        <v>115</v>
      </c>
      <c r="Y203" t="s">
        <v>22</v>
      </c>
      <c r="Z203">
        <v>2.42</v>
      </c>
      <c r="AA203">
        <f t="shared" si="9"/>
        <v>34441.58</v>
      </c>
      <c r="AB203">
        <f t="shared" si="10"/>
        <v>0.1665032328378043</v>
      </c>
      <c r="AC203">
        <f t="shared" si="11"/>
        <v>0</v>
      </c>
      <c r="AD203">
        <v>2024</v>
      </c>
      <c r="AE203">
        <v>3</v>
      </c>
      <c r="AF203" t="s">
        <v>105</v>
      </c>
      <c r="AG203" t="s">
        <v>120</v>
      </c>
    </row>
    <row r="204" spans="1:33">
      <c r="A204" t="s">
        <v>353</v>
      </c>
      <c r="B204">
        <v>45539</v>
      </c>
      <c r="C204">
        <v>45539</v>
      </c>
      <c r="D204" t="s">
        <v>23</v>
      </c>
      <c r="E204">
        <v>250</v>
      </c>
      <c r="F204">
        <v>1363.56</v>
      </c>
      <c r="G204">
        <v>1.4</v>
      </c>
      <c r="H204">
        <v>336117.54</v>
      </c>
      <c r="I204" t="s">
        <v>1728</v>
      </c>
      <c r="J204">
        <v>1031.1500000000001</v>
      </c>
      <c r="K204">
        <v>257787.5</v>
      </c>
      <c r="L204">
        <v>3808.34</v>
      </c>
      <c r="M204">
        <v>1195.3</v>
      </c>
      <c r="N204">
        <v>5612.14</v>
      </c>
      <c r="O204">
        <v>268403.28000000003</v>
      </c>
      <c r="P204">
        <v>78330.039999999994</v>
      </c>
      <c r="Q204">
        <v>67714.259999999995</v>
      </c>
      <c r="R204" t="s">
        <v>65</v>
      </c>
      <c r="S204">
        <v>336117.54</v>
      </c>
      <c r="T204">
        <v>0</v>
      </c>
      <c r="U204" t="s">
        <v>73</v>
      </c>
      <c r="V204" t="s">
        <v>8</v>
      </c>
      <c r="W204" t="s">
        <v>80</v>
      </c>
      <c r="X204" t="s">
        <v>68</v>
      </c>
      <c r="Y204" t="s">
        <v>31</v>
      </c>
      <c r="Z204">
        <v>2.04</v>
      </c>
      <c r="AA204">
        <f t="shared" si="9"/>
        <v>67714.259999999995</v>
      </c>
      <c r="AB204">
        <f t="shared" si="10"/>
        <v>0.20146006066806271</v>
      </c>
      <c r="AC204">
        <f t="shared" si="11"/>
        <v>0</v>
      </c>
      <c r="AD204">
        <v>2024</v>
      </c>
      <c r="AE204">
        <v>9</v>
      </c>
      <c r="AF204" t="s">
        <v>131</v>
      </c>
      <c r="AG204" t="s">
        <v>188</v>
      </c>
    </row>
    <row r="205" spans="1:33">
      <c r="A205" t="s">
        <v>354</v>
      </c>
      <c r="B205">
        <v>45892</v>
      </c>
      <c r="C205">
        <v>45892</v>
      </c>
      <c r="D205" t="s">
        <v>21</v>
      </c>
      <c r="E205">
        <v>200</v>
      </c>
      <c r="F205">
        <v>867.62</v>
      </c>
      <c r="G205">
        <v>2.11</v>
      </c>
      <c r="H205">
        <v>169862.64</v>
      </c>
      <c r="I205" t="s">
        <v>1729</v>
      </c>
      <c r="J205">
        <v>727.29</v>
      </c>
      <c r="K205">
        <v>145458</v>
      </c>
      <c r="L205">
        <v>4255.83</v>
      </c>
      <c r="M205">
        <v>451.03</v>
      </c>
      <c r="N205">
        <v>9176.2099999999991</v>
      </c>
      <c r="O205">
        <v>159341.07</v>
      </c>
      <c r="P205">
        <v>24404.639999999999</v>
      </c>
      <c r="Q205">
        <v>10521.57</v>
      </c>
      <c r="R205" t="s">
        <v>65</v>
      </c>
      <c r="S205">
        <v>169862.64</v>
      </c>
      <c r="T205">
        <v>0</v>
      </c>
      <c r="U205" t="s">
        <v>66</v>
      </c>
      <c r="V205" t="s">
        <v>14</v>
      </c>
      <c r="W205" t="s">
        <v>74</v>
      </c>
      <c r="X205" t="s">
        <v>108</v>
      </c>
      <c r="Y205" t="s">
        <v>22</v>
      </c>
      <c r="Z205">
        <v>1.53</v>
      </c>
      <c r="AA205">
        <f t="shared" si="9"/>
        <v>10521.57</v>
      </c>
      <c r="AB205">
        <f t="shared" si="10"/>
        <v>6.1941637078053176E-2</v>
      </c>
      <c r="AC205">
        <f t="shared" si="11"/>
        <v>0</v>
      </c>
      <c r="AD205">
        <v>2025</v>
      </c>
      <c r="AE205">
        <v>8</v>
      </c>
      <c r="AF205" t="s">
        <v>82</v>
      </c>
      <c r="AG205" t="s">
        <v>87</v>
      </c>
    </row>
    <row r="206" spans="1:33">
      <c r="A206" t="s">
        <v>355</v>
      </c>
      <c r="B206">
        <v>45954</v>
      </c>
      <c r="D206" t="s">
        <v>23</v>
      </c>
      <c r="E206">
        <v>500</v>
      </c>
      <c r="F206">
        <v>1376.25</v>
      </c>
      <c r="G206">
        <v>0.69</v>
      </c>
      <c r="H206">
        <v>683376.94</v>
      </c>
      <c r="I206" t="s">
        <v>1728</v>
      </c>
      <c r="J206">
        <v>1066.3399999999999</v>
      </c>
      <c r="K206">
        <v>533170</v>
      </c>
      <c r="L206">
        <v>2588.8200000000002</v>
      </c>
      <c r="M206">
        <v>1514.86</v>
      </c>
      <c r="N206">
        <v>1947.84</v>
      </c>
      <c r="O206">
        <v>539221.52</v>
      </c>
      <c r="P206">
        <v>150206.94</v>
      </c>
      <c r="Q206">
        <v>144155.42000000001</v>
      </c>
      <c r="R206" t="s">
        <v>65</v>
      </c>
      <c r="S206">
        <v>683376.94</v>
      </c>
      <c r="T206">
        <v>0</v>
      </c>
      <c r="U206" t="s">
        <v>91</v>
      </c>
      <c r="V206" t="s">
        <v>12</v>
      </c>
      <c r="W206" t="s">
        <v>74</v>
      </c>
      <c r="X206" t="s">
        <v>176</v>
      </c>
      <c r="Y206" t="s">
        <v>22</v>
      </c>
      <c r="Z206">
        <v>1.44</v>
      </c>
      <c r="AA206">
        <f t="shared" si="9"/>
        <v>144155.42000000001</v>
      </c>
      <c r="AB206">
        <f t="shared" si="10"/>
        <v>0.21094568979749306</v>
      </c>
      <c r="AC206">
        <f t="shared" si="11"/>
        <v>0</v>
      </c>
      <c r="AD206">
        <v>2025</v>
      </c>
      <c r="AE206">
        <v>10</v>
      </c>
      <c r="AF206" t="s">
        <v>138</v>
      </c>
      <c r="AG206" t="s">
        <v>160</v>
      </c>
    </row>
    <row r="207" spans="1:33">
      <c r="A207" t="s">
        <v>356</v>
      </c>
      <c r="B207">
        <v>45805</v>
      </c>
      <c r="C207">
        <v>45806</v>
      </c>
      <c r="D207" t="s">
        <v>27</v>
      </c>
      <c r="E207">
        <v>150</v>
      </c>
      <c r="F207">
        <v>690.76</v>
      </c>
      <c r="G207">
        <v>1.36</v>
      </c>
      <c r="H207">
        <v>102204.85</v>
      </c>
      <c r="I207" t="s">
        <v>1726</v>
      </c>
      <c r="J207">
        <v>590.96</v>
      </c>
      <c r="K207">
        <v>88644</v>
      </c>
      <c r="L207">
        <v>2900.99</v>
      </c>
      <c r="M207">
        <v>787.58</v>
      </c>
      <c r="N207">
        <v>6830.33</v>
      </c>
      <c r="O207">
        <v>99162.9</v>
      </c>
      <c r="P207">
        <v>13560.85</v>
      </c>
      <c r="Q207">
        <v>3041.95</v>
      </c>
      <c r="R207" t="s">
        <v>134</v>
      </c>
      <c r="S207">
        <v>0</v>
      </c>
      <c r="T207">
        <v>102204.85</v>
      </c>
      <c r="U207" t="s">
        <v>66</v>
      </c>
      <c r="V207" t="s">
        <v>10</v>
      </c>
      <c r="W207" t="s">
        <v>74</v>
      </c>
      <c r="X207" t="s">
        <v>275</v>
      </c>
      <c r="Y207" t="s">
        <v>31</v>
      </c>
      <c r="Z207">
        <v>1.95</v>
      </c>
      <c r="AA207">
        <f t="shared" si="9"/>
        <v>3041.95</v>
      </c>
      <c r="AB207">
        <f t="shared" si="10"/>
        <v>2.9763264659162451E-2</v>
      </c>
      <c r="AC207">
        <f t="shared" si="11"/>
        <v>0</v>
      </c>
      <c r="AD207">
        <v>2025</v>
      </c>
      <c r="AE207">
        <v>5</v>
      </c>
      <c r="AF207" t="s">
        <v>76</v>
      </c>
      <c r="AG207" t="s">
        <v>94</v>
      </c>
    </row>
    <row r="208" spans="1:33">
      <c r="A208" t="s">
        <v>357</v>
      </c>
      <c r="B208">
        <v>45711</v>
      </c>
      <c r="C208">
        <v>45718</v>
      </c>
      <c r="D208" t="s">
        <v>23</v>
      </c>
      <c r="E208">
        <v>100</v>
      </c>
      <c r="F208">
        <v>1254.8599999999999</v>
      </c>
      <c r="G208">
        <v>0.99</v>
      </c>
      <c r="H208">
        <v>124243.69</v>
      </c>
      <c r="I208" t="s">
        <v>1726</v>
      </c>
      <c r="J208">
        <v>1111.17</v>
      </c>
      <c r="K208">
        <v>111117</v>
      </c>
      <c r="L208">
        <v>1791.84</v>
      </c>
      <c r="M208">
        <v>151.99</v>
      </c>
      <c r="N208">
        <v>2663.26</v>
      </c>
      <c r="O208">
        <v>115724.09</v>
      </c>
      <c r="P208">
        <v>13126.69</v>
      </c>
      <c r="Q208">
        <v>8519.6</v>
      </c>
      <c r="R208" t="s">
        <v>85</v>
      </c>
      <c r="S208">
        <v>79311.98</v>
      </c>
      <c r="T208">
        <v>44931.71</v>
      </c>
      <c r="U208" t="s">
        <v>66</v>
      </c>
      <c r="V208" t="s">
        <v>10</v>
      </c>
      <c r="W208" t="s">
        <v>92</v>
      </c>
      <c r="X208" t="s">
        <v>93</v>
      </c>
      <c r="Y208" t="s">
        <v>26</v>
      </c>
      <c r="Z208">
        <v>1.66</v>
      </c>
      <c r="AA208">
        <f t="shared" si="9"/>
        <v>8519.6</v>
      </c>
      <c r="AB208">
        <f t="shared" si="10"/>
        <v>6.8571691648887767E-2</v>
      </c>
      <c r="AC208">
        <f t="shared" si="11"/>
        <v>0</v>
      </c>
      <c r="AD208">
        <v>2025</v>
      </c>
      <c r="AE208">
        <v>2</v>
      </c>
      <c r="AF208" t="s">
        <v>172</v>
      </c>
      <c r="AG208" t="s">
        <v>244</v>
      </c>
    </row>
    <row r="209" spans="1:33">
      <c r="A209" t="s">
        <v>358</v>
      </c>
      <c r="B209">
        <v>45717</v>
      </c>
      <c r="C209">
        <v>45721</v>
      </c>
      <c r="D209" t="s">
        <v>21</v>
      </c>
      <c r="E209">
        <v>50</v>
      </c>
      <c r="F209">
        <v>865.85</v>
      </c>
      <c r="G209">
        <v>0.79</v>
      </c>
      <c r="H209">
        <v>42950.49</v>
      </c>
      <c r="I209" t="s">
        <v>1726</v>
      </c>
      <c r="J209">
        <v>671.42</v>
      </c>
      <c r="K209">
        <v>33571</v>
      </c>
      <c r="L209">
        <v>557.33000000000004</v>
      </c>
      <c r="M209">
        <v>290.62</v>
      </c>
      <c r="N209">
        <v>4733.6499999999996</v>
      </c>
      <c r="O209">
        <v>39152.6</v>
      </c>
      <c r="P209">
        <v>9379.49</v>
      </c>
      <c r="Q209">
        <v>3797.89</v>
      </c>
      <c r="R209" t="s">
        <v>65</v>
      </c>
      <c r="S209">
        <v>42950.49</v>
      </c>
      <c r="T209">
        <v>0</v>
      </c>
      <c r="U209" t="s">
        <v>66</v>
      </c>
      <c r="V209" t="s">
        <v>12</v>
      </c>
      <c r="W209" t="s">
        <v>92</v>
      </c>
      <c r="X209" t="s">
        <v>123</v>
      </c>
      <c r="Y209" t="s">
        <v>22</v>
      </c>
      <c r="Z209">
        <v>2.33</v>
      </c>
      <c r="AA209">
        <f t="shared" si="9"/>
        <v>3797.89</v>
      </c>
      <c r="AB209">
        <f t="shared" si="10"/>
        <v>8.8424835199784682E-2</v>
      </c>
      <c r="AC209">
        <f t="shared" si="11"/>
        <v>0</v>
      </c>
      <c r="AD209">
        <v>2025</v>
      </c>
      <c r="AE209">
        <v>3</v>
      </c>
      <c r="AF209" t="s">
        <v>105</v>
      </c>
      <c r="AG209" t="s">
        <v>106</v>
      </c>
    </row>
    <row r="210" spans="1:33">
      <c r="A210" t="s">
        <v>359</v>
      </c>
      <c r="B210">
        <v>45662</v>
      </c>
      <c r="C210">
        <v>45676</v>
      </c>
      <c r="D210" t="s">
        <v>21</v>
      </c>
      <c r="E210">
        <v>100</v>
      </c>
      <c r="F210">
        <v>898.37</v>
      </c>
      <c r="G210">
        <v>2.14</v>
      </c>
      <c r="H210">
        <v>87914.49</v>
      </c>
      <c r="I210" t="s">
        <v>1728</v>
      </c>
      <c r="J210">
        <v>651.52</v>
      </c>
      <c r="K210">
        <v>65152</v>
      </c>
      <c r="L210">
        <v>1496.41</v>
      </c>
      <c r="M210">
        <v>172.44</v>
      </c>
      <c r="N210">
        <v>11173.09</v>
      </c>
      <c r="O210">
        <v>77993.94</v>
      </c>
      <c r="P210">
        <v>22762.49</v>
      </c>
      <c r="Q210">
        <v>9920.5499999999993</v>
      </c>
      <c r="R210" t="s">
        <v>134</v>
      </c>
      <c r="S210">
        <v>0</v>
      </c>
      <c r="T210">
        <v>87914.49</v>
      </c>
      <c r="U210" t="s">
        <v>66</v>
      </c>
      <c r="V210" t="s">
        <v>12</v>
      </c>
      <c r="W210" t="s">
        <v>92</v>
      </c>
      <c r="X210" t="s">
        <v>159</v>
      </c>
      <c r="Y210" t="s">
        <v>30</v>
      </c>
      <c r="Z210">
        <v>1.75</v>
      </c>
      <c r="AA210">
        <f t="shared" si="9"/>
        <v>9920.5499999999993</v>
      </c>
      <c r="AB210">
        <f t="shared" si="10"/>
        <v>0.11284317295135306</v>
      </c>
      <c r="AC210">
        <f t="shared" si="11"/>
        <v>0</v>
      </c>
      <c r="AD210">
        <v>2025</v>
      </c>
      <c r="AE210">
        <v>1</v>
      </c>
      <c r="AF210" t="s">
        <v>102</v>
      </c>
      <c r="AG210" t="s">
        <v>118</v>
      </c>
    </row>
    <row r="211" spans="1:33">
      <c r="A211" t="s">
        <v>360</v>
      </c>
      <c r="B211">
        <v>45858</v>
      </c>
      <c r="C211">
        <v>45867</v>
      </c>
      <c r="D211" t="s">
        <v>25</v>
      </c>
      <c r="E211">
        <v>1000</v>
      </c>
      <c r="F211">
        <v>942.76</v>
      </c>
      <c r="G211">
        <v>3.7</v>
      </c>
      <c r="H211">
        <v>907877.88</v>
      </c>
      <c r="I211" t="s">
        <v>1729</v>
      </c>
      <c r="J211">
        <v>755.98</v>
      </c>
      <c r="K211">
        <v>755980</v>
      </c>
      <c r="L211">
        <v>5811.98</v>
      </c>
      <c r="M211">
        <v>1836.13</v>
      </c>
      <c r="N211">
        <v>10824.69</v>
      </c>
      <c r="O211">
        <v>774452.8</v>
      </c>
      <c r="P211">
        <v>151897.88</v>
      </c>
      <c r="Q211">
        <v>133425.07999999999</v>
      </c>
      <c r="R211" t="s">
        <v>65</v>
      </c>
      <c r="S211">
        <v>907877.88</v>
      </c>
      <c r="T211">
        <v>0</v>
      </c>
      <c r="U211" t="s">
        <v>66</v>
      </c>
      <c r="V211" t="s">
        <v>12</v>
      </c>
      <c r="W211" t="s">
        <v>80</v>
      </c>
      <c r="X211" t="s">
        <v>224</v>
      </c>
      <c r="Y211" t="s">
        <v>31</v>
      </c>
      <c r="Z211">
        <v>2.2599999999999998</v>
      </c>
      <c r="AA211">
        <f t="shared" si="9"/>
        <v>133425.07999999999</v>
      </c>
      <c r="AB211">
        <f t="shared" si="10"/>
        <v>0.14696368634953413</v>
      </c>
      <c r="AC211">
        <f t="shared" si="11"/>
        <v>0</v>
      </c>
      <c r="AD211">
        <v>2025</v>
      </c>
      <c r="AE211">
        <v>7</v>
      </c>
      <c r="AF211" t="s">
        <v>69</v>
      </c>
      <c r="AG211" t="s">
        <v>151</v>
      </c>
    </row>
    <row r="212" spans="1:33">
      <c r="A212" t="s">
        <v>361</v>
      </c>
      <c r="B212">
        <v>45737</v>
      </c>
      <c r="C212">
        <v>45743</v>
      </c>
      <c r="D212" t="s">
        <v>25</v>
      </c>
      <c r="E212">
        <v>250</v>
      </c>
      <c r="F212">
        <v>921.72</v>
      </c>
      <c r="G212">
        <v>0.53</v>
      </c>
      <c r="H212">
        <v>229208.72</v>
      </c>
      <c r="I212" t="s">
        <v>1727</v>
      </c>
      <c r="J212">
        <v>746.62</v>
      </c>
      <c r="K212">
        <v>186655</v>
      </c>
      <c r="L212">
        <v>2614.65</v>
      </c>
      <c r="M212">
        <v>1425.95</v>
      </c>
      <c r="N212">
        <v>10865</v>
      </c>
      <c r="O212">
        <v>201560.6</v>
      </c>
      <c r="P212">
        <v>42553.72</v>
      </c>
      <c r="Q212">
        <v>27648.12</v>
      </c>
      <c r="R212" t="s">
        <v>65</v>
      </c>
      <c r="S212">
        <v>229208.72</v>
      </c>
      <c r="T212">
        <v>0</v>
      </c>
      <c r="U212" t="s">
        <v>66</v>
      </c>
      <c r="V212" t="s">
        <v>6</v>
      </c>
      <c r="W212" t="s">
        <v>74</v>
      </c>
      <c r="X212" t="s">
        <v>327</v>
      </c>
      <c r="Y212" t="s">
        <v>26</v>
      </c>
      <c r="Z212">
        <v>1.61</v>
      </c>
      <c r="AA212">
        <f t="shared" si="9"/>
        <v>27648.12</v>
      </c>
      <c r="AB212">
        <f t="shared" si="10"/>
        <v>0.12062420661831713</v>
      </c>
      <c r="AC212">
        <f t="shared" si="11"/>
        <v>0</v>
      </c>
      <c r="AD212">
        <v>2025</v>
      </c>
      <c r="AE212">
        <v>3</v>
      </c>
      <c r="AF212" t="s">
        <v>105</v>
      </c>
      <c r="AG212" t="s">
        <v>106</v>
      </c>
    </row>
    <row r="213" spans="1:33">
      <c r="A213" t="s">
        <v>362</v>
      </c>
      <c r="B213">
        <v>45932</v>
      </c>
      <c r="C213">
        <v>45935</v>
      </c>
      <c r="D213" t="s">
        <v>21</v>
      </c>
      <c r="E213">
        <v>1000</v>
      </c>
      <c r="F213">
        <v>942.13</v>
      </c>
      <c r="G213">
        <v>3.44</v>
      </c>
      <c r="H213">
        <v>909720.73</v>
      </c>
      <c r="I213" t="s">
        <v>1728</v>
      </c>
      <c r="J213">
        <v>698.02</v>
      </c>
      <c r="K213">
        <v>698020</v>
      </c>
      <c r="L213">
        <v>16921.64</v>
      </c>
      <c r="M213">
        <v>2718.86</v>
      </c>
      <c r="N213">
        <v>7370.08</v>
      </c>
      <c r="O213">
        <v>725030.58</v>
      </c>
      <c r="P213">
        <v>211700.73</v>
      </c>
      <c r="Q213">
        <v>184690.15</v>
      </c>
      <c r="R213" t="s">
        <v>134</v>
      </c>
      <c r="S213">
        <v>0</v>
      </c>
      <c r="T213">
        <v>909720.73</v>
      </c>
      <c r="U213" t="s">
        <v>66</v>
      </c>
      <c r="V213" t="s">
        <v>8</v>
      </c>
      <c r="W213" t="s">
        <v>74</v>
      </c>
      <c r="X213" t="s">
        <v>115</v>
      </c>
      <c r="Y213" t="s">
        <v>22</v>
      </c>
      <c r="Z213">
        <v>1.19</v>
      </c>
      <c r="AA213">
        <f t="shared" si="9"/>
        <v>184690.15</v>
      </c>
      <c r="AB213">
        <f t="shared" si="10"/>
        <v>0.20301851316502373</v>
      </c>
      <c r="AC213">
        <f t="shared" si="11"/>
        <v>0</v>
      </c>
      <c r="AD213">
        <v>2025</v>
      </c>
      <c r="AE213">
        <v>10</v>
      </c>
      <c r="AF213" t="s">
        <v>138</v>
      </c>
      <c r="AG213" t="s">
        <v>160</v>
      </c>
    </row>
    <row r="214" spans="1:33">
      <c r="A214" t="s">
        <v>363</v>
      </c>
      <c r="B214">
        <v>45535</v>
      </c>
      <c r="C214">
        <v>45542</v>
      </c>
      <c r="D214" t="s">
        <v>21</v>
      </c>
      <c r="E214">
        <v>150</v>
      </c>
      <c r="F214">
        <v>877.52</v>
      </c>
      <c r="G214">
        <v>1.18</v>
      </c>
      <c r="H214">
        <v>130074.79</v>
      </c>
      <c r="I214" t="s">
        <v>1727</v>
      </c>
      <c r="J214">
        <v>732.42</v>
      </c>
      <c r="K214">
        <v>109863</v>
      </c>
      <c r="L214">
        <v>2604.6799999999998</v>
      </c>
      <c r="M214">
        <v>828.88</v>
      </c>
      <c r="N214">
        <v>1288.4100000000001</v>
      </c>
      <c r="O214">
        <v>114584.97</v>
      </c>
      <c r="P214">
        <v>20211.79</v>
      </c>
      <c r="Q214">
        <v>15489.82</v>
      </c>
      <c r="R214" t="s">
        <v>134</v>
      </c>
      <c r="S214">
        <v>0</v>
      </c>
      <c r="T214">
        <v>130074.79</v>
      </c>
      <c r="U214" t="s">
        <v>66</v>
      </c>
      <c r="V214" t="s">
        <v>8</v>
      </c>
      <c r="W214" t="s">
        <v>67</v>
      </c>
      <c r="X214" t="s">
        <v>142</v>
      </c>
      <c r="Y214" t="s">
        <v>28</v>
      </c>
      <c r="Z214">
        <v>0.12</v>
      </c>
      <c r="AA214">
        <f t="shared" si="9"/>
        <v>15489.82</v>
      </c>
      <c r="AB214">
        <f t="shared" si="10"/>
        <v>0.11908395162506125</v>
      </c>
      <c r="AC214">
        <f t="shared" si="11"/>
        <v>0</v>
      </c>
      <c r="AD214">
        <v>2024</v>
      </c>
      <c r="AE214">
        <v>8</v>
      </c>
      <c r="AF214" t="s">
        <v>82</v>
      </c>
      <c r="AG214" t="s">
        <v>83</v>
      </c>
    </row>
    <row r="215" spans="1:33">
      <c r="A215" t="s">
        <v>364</v>
      </c>
      <c r="B215">
        <v>45402</v>
      </c>
      <c r="C215">
        <v>45413</v>
      </c>
      <c r="D215" t="s">
        <v>27</v>
      </c>
      <c r="E215">
        <v>100</v>
      </c>
      <c r="F215">
        <v>769.75</v>
      </c>
      <c r="G215">
        <v>1.91</v>
      </c>
      <c r="H215">
        <v>75504.78</v>
      </c>
      <c r="I215" t="s">
        <v>1728</v>
      </c>
      <c r="J215">
        <v>570.46</v>
      </c>
      <c r="K215">
        <v>57046</v>
      </c>
      <c r="L215">
        <v>909.48</v>
      </c>
      <c r="M215">
        <v>164.13</v>
      </c>
      <c r="N215">
        <v>5216.75</v>
      </c>
      <c r="O215">
        <v>63336.36</v>
      </c>
      <c r="P215">
        <v>18458.78</v>
      </c>
      <c r="Q215">
        <v>12168.42</v>
      </c>
      <c r="R215" t="s">
        <v>65</v>
      </c>
      <c r="S215">
        <v>75504.78</v>
      </c>
      <c r="T215">
        <v>0</v>
      </c>
      <c r="U215" t="s">
        <v>66</v>
      </c>
      <c r="V215" t="s">
        <v>14</v>
      </c>
      <c r="W215" t="s">
        <v>74</v>
      </c>
      <c r="X215" t="s">
        <v>224</v>
      </c>
      <c r="Y215" t="s">
        <v>31</v>
      </c>
      <c r="Z215">
        <v>0.97</v>
      </c>
      <c r="AA215">
        <f t="shared" si="9"/>
        <v>12168.42</v>
      </c>
      <c r="AB215">
        <f t="shared" si="10"/>
        <v>0.16116092252702413</v>
      </c>
      <c r="AC215">
        <f t="shared" si="11"/>
        <v>0</v>
      </c>
      <c r="AD215">
        <v>2024</v>
      </c>
      <c r="AE215">
        <v>4</v>
      </c>
      <c r="AF215" t="s">
        <v>154</v>
      </c>
      <c r="AG215" t="s">
        <v>157</v>
      </c>
    </row>
    <row r="216" spans="1:33">
      <c r="A216" t="s">
        <v>365</v>
      </c>
      <c r="B216">
        <v>45907</v>
      </c>
      <c r="C216">
        <v>45907</v>
      </c>
      <c r="D216" t="s">
        <v>25</v>
      </c>
      <c r="E216">
        <v>150</v>
      </c>
      <c r="F216">
        <v>933.53</v>
      </c>
      <c r="G216">
        <v>1.19</v>
      </c>
      <c r="H216">
        <v>138363.15</v>
      </c>
      <c r="I216" t="s">
        <v>1726</v>
      </c>
      <c r="J216">
        <v>778.67</v>
      </c>
      <c r="K216">
        <v>116800.5</v>
      </c>
      <c r="L216">
        <v>2609.11</v>
      </c>
      <c r="M216">
        <v>880.45</v>
      </c>
      <c r="N216">
        <v>4218.0600000000004</v>
      </c>
      <c r="O216">
        <v>124508.12</v>
      </c>
      <c r="P216">
        <v>21562.65</v>
      </c>
      <c r="Q216">
        <v>13855.03</v>
      </c>
      <c r="R216" t="s">
        <v>65</v>
      </c>
      <c r="S216">
        <v>138363.15</v>
      </c>
      <c r="T216">
        <v>0</v>
      </c>
      <c r="U216" t="s">
        <v>73</v>
      </c>
      <c r="V216" t="s">
        <v>6</v>
      </c>
      <c r="W216" t="s">
        <v>74</v>
      </c>
      <c r="X216" t="s">
        <v>182</v>
      </c>
      <c r="Y216" t="s">
        <v>26</v>
      </c>
      <c r="Z216">
        <v>0.63</v>
      </c>
      <c r="AA216">
        <f t="shared" si="9"/>
        <v>13855.03</v>
      </c>
      <c r="AB216">
        <f t="shared" si="10"/>
        <v>0.10013526000239227</v>
      </c>
      <c r="AC216">
        <f t="shared" si="11"/>
        <v>0</v>
      </c>
      <c r="AD216">
        <v>2025</v>
      </c>
      <c r="AE216">
        <v>9</v>
      </c>
      <c r="AF216" t="s">
        <v>131</v>
      </c>
      <c r="AG216" t="s">
        <v>132</v>
      </c>
    </row>
    <row r="217" spans="1:33">
      <c r="A217" t="s">
        <v>366</v>
      </c>
      <c r="B217">
        <v>45775</v>
      </c>
      <c r="C217">
        <v>45776</v>
      </c>
      <c r="D217" t="s">
        <v>21</v>
      </c>
      <c r="E217">
        <v>750</v>
      </c>
      <c r="F217">
        <v>904.95</v>
      </c>
      <c r="G217">
        <v>2.63</v>
      </c>
      <c r="H217">
        <v>660862.36</v>
      </c>
      <c r="I217" t="s">
        <v>1727</v>
      </c>
      <c r="J217">
        <v>741.93</v>
      </c>
      <c r="K217">
        <v>556447.5</v>
      </c>
      <c r="L217">
        <v>16185.3</v>
      </c>
      <c r="M217">
        <v>3303.51</v>
      </c>
      <c r="N217">
        <v>2905.03</v>
      </c>
      <c r="O217">
        <v>578841.34</v>
      </c>
      <c r="P217">
        <v>104414.86</v>
      </c>
      <c r="Q217">
        <v>82021.02</v>
      </c>
      <c r="R217" t="s">
        <v>65</v>
      </c>
      <c r="S217">
        <v>660862.36</v>
      </c>
      <c r="T217">
        <v>0</v>
      </c>
      <c r="U217" t="s">
        <v>66</v>
      </c>
      <c r="V217" t="s">
        <v>8</v>
      </c>
      <c r="W217" t="s">
        <v>74</v>
      </c>
      <c r="X217" t="s">
        <v>127</v>
      </c>
      <c r="Y217" t="s">
        <v>22</v>
      </c>
      <c r="Z217">
        <v>2.0299999999999998</v>
      </c>
      <c r="AA217">
        <f t="shared" si="9"/>
        <v>82021.02</v>
      </c>
      <c r="AB217">
        <f t="shared" si="10"/>
        <v>0.12411210709594658</v>
      </c>
      <c r="AC217">
        <f t="shared" si="11"/>
        <v>0</v>
      </c>
      <c r="AD217">
        <v>2025</v>
      </c>
      <c r="AE217">
        <v>4</v>
      </c>
      <c r="AF217" t="s">
        <v>154</v>
      </c>
      <c r="AG217" t="s">
        <v>155</v>
      </c>
    </row>
    <row r="218" spans="1:33">
      <c r="A218" t="s">
        <v>367</v>
      </c>
      <c r="B218">
        <v>45444</v>
      </c>
      <c r="C218">
        <v>45458</v>
      </c>
      <c r="D218" t="s">
        <v>21</v>
      </c>
      <c r="E218">
        <v>200</v>
      </c>
      <c r="F218">
        <v>810.55</v>
      </c>
      <c r="G218">
        <v>0.14000000000000001</v>
      </c>
      <c r="H218">
        <v>161883.04999999999</v>
      </c>
      <c r="I218" t="s">
        <v>1727</v>
      </c>
      <c r="J218">
        <v>722.66</v>
      </c>
      <c r="K218">
        <v>144532</v>
      </c>
      <c r="L218">
        <v>2813.45</v>
      </c>
      <c r="M218">
        <v>311.04000000000002</v>
      </c>
      <c r="N218">
        <v>6517.78</v>
      </c>
      <c r="O218">
        <v>154174.26999999999</v>
      </c>
      <c r="P218">
        <v>17351.05</v>
      </c>
      <c r="Q218">
        <v>7708.78</v>
      </c>
      <c r="R218" t="s">
        <v>65</v>
      </c>
      <c r="S218">
        <v>161883.04999999999</v>
      </c>
      <c r="T218">
        <v>0</v>
      </c>
      <c r="U218" t="s">
        <v>73</v>
      </c>
      <c r="V218" t="s">
        <v>10</v>
      </c>
      <c r="W218" t="s">
        <v>80</v>
      </c>
      <c r="X218" t="s">
        <v>159</v>
      </c>
      <c r="Y218" t="s">
        <v>30</v>
      </c>
      <c r="Z218">
        <v>0.14000000000000001</v>
      </c>
      <c r="AA218">
        <f t="shared" si="9"/>
        <v>7708.78</v>
      </c>
      <c r="AB218">
        <f t="shared" si="10"/>
        <v>4.7619438847983163E-2</v>
      </c>
      <c r="AC218">
        <f t="shared" si="11"/>
        <v>0</v>
      </c>
      <c r="AD218">
        <v>2024</v>
      </c>
      <c r="AE218">
        <v>6</v>
      </c>
      <c r="AF218" t="s">
        <v>111</v>
      </c>
      <c r="AG218" t="s">
        <v>148</v>
      </c>
    </row>
    <row r="219" spans="1:33">
      <c r="A219" t="s">
        <v>368</v>
      </c>
      <c r="B219">
        <v>45763</v>
      </c>
      <c r="C219">
        <v>45768</v>
      </c>
      <c r="D219" t="s">
        <v>21</v>
      </c>
      <c r="E219">
        <v>500</v>
      </c>
      <c r="F219">
        <v>869.83</v>
      </c>
      <c r="G219">
        <v>4.0199999999999996</v>
      </c>
      <c r="H219">
        <v>417431.42</v>
      </c>
      <c r="I219" t="s">
        <v>1729</v>
      </c>
      <c r="J219">
        <v>679.55</v>
      </c>
      <c r="K219">
        <v>339775</v>
      </c>
      <c r="L219">
        <v>9193.48</v>
      </c>
      <c r="M219">
        <v>1046.9100000000001</v>
      </c>
      <c r="N219">
        <v>8773.9599999999991</v>
      </c>
      <c r="O219">
        <v>358789.35</v>
      </c>
      <c r="P219">
        <v>77656.42</v>
      </c>
      <c r="Q219">
        <v>58642.07</v>
      </c>
      <c r="R219" t="s">
        <v>65</v>
      </c>
      <c r="S219">
        <v>417431.42</v>
      </c>
      <c r="T219">
        <v>0</v>
      </c>
      <c r="U219" t="s">
        <v>66</v>
      </c>
      <c r="V219" t="s">
        <v>12</v>
      </c>
      <c r="W219" t="s">
        <v>74</v>
      </c>
      <c r="X219" t="s">
        <v>147</v>
      </c>
      <c r="Y219" t="s">
        <v>28</v>
      </c>
      <c r="Z219">
        <v>2.21</v>
      </c>
      <c r="AA219">
        <f t="shared" si="9"/>
        <v>58642.07</v>
      </c>
      <c r="AB219">
        <f t="shared" si="10"/>
        <v>0.14048312415006997</v>
      </c>
      <c r="AC219">
        <f t="shared" si="11"/>
        <v>0</v>
      </c>
      <c r="AD219">
        <v>2025</v>
      </c>
      <c r="AE219">
        <v>4</v>
      </c>
      <c r="AF219" t="s">
        <v>154</v>
      </c>
      <c r="AG219" t="s">
        <v>155</v>
      </c>
    </row>
    <row r="220" spans="1:33">
      <c r="A220" t="s">
        <v>369</v>
      </c>
      <c r="B220">
        <v>45790</v>
      </c>
      <c r="C220">
        <v>45790</v>
      </c>
      <c r="D220" t="s">
        <v>23</v>
      </c>
      <c r="E220">
        <v>500</v>
      </c>
      <c r="F220">
        <v>1305.78</v>
      </c>
      <c r="G220">
        <v>3.13</v>
      </c>
      <c r="H220">
        <v>632454.54</v>
      </c>
      <c r="I220" t="s">
        <v>1726</v>
      </c>
      <c r="J220">
        <v>1103.83</v>
      </c>
      <c r="K220">
        <v>551915</v>
      </c>
      <c r="L220">
        <v>9356.08</v>
      </c>
      <c r="M220">
        <v>1377.36</v>
      </c>
      <c r="N220">
        <v>2259.4299999999998</v>
      </c>
      <c r="O220">
        <v>564907.87</v>
      </c>
      <c r="P220">
        <v>80539.539999999994</v>
      </c>
      <c r="Q220">
        <v>67546.67</v>
      </c>
      <c r="R220" t="s">
        <v>85</v>
      </c>
      <c r="S220">
        <v>279352.96000000002</v>
      </c>
      <c r="T220">
        <v>353101.58</v>
      </c>
      <c r="U220" t="s">
        <v>66</v>
      </c>
      <c r="V220" t="s">
        <v>6</v>
      </c>
      <c r="W220" t="s">
        <v>67</v>
      </c>
      <c r="X220" t="s">
        <v>97</v>
      </c>
      <c r="Y220" t="s">
        <v>24</v>
      </c>
      <c r="Z220">
        <v>1.06</v>
      </c>
      <c r="AA220">
        <f t="shared" si="9"/>
        <v>67546.67</v>
      </c>
      <c r="AB220">
        <f t="shared" si="10"/>
        <v>0.10680083030157392</v>
      </c>
      <c r="AC220">
        <f t="shared" si="11"/>
        <v>0</v>
      </c>
      <c r="AD220">
        <v>2025</v>
      </c>
      <c r="AE220">
        <v>5</v>
      </c>
      <c r="AF220" t="s">
        <v>76</v>
      </c>
      <c r="AG220" t="s">
        <v>94</v>
      </c>
    </row>
    <row r="221" spans="1:33">
      <c r="A221" t="s">
        <v>370</v>
      </c>
      <c r="B221">
        <v>45911</v>
      </c>
      <c r="D221" t="s">
        <v>21</v>
      </c>
      <c r="E221">
        <v>50</v>
      </c>
      <c r="F221">
        <v>942.35</v>
      </c>
      <c r="G221">
        <v>1.2</v>
      </c>
      <c r="H221">
        <v>46552.09</v>
      </c>
      <c r="I221" t="s">
        <v>1728</v>
      </c>
      <c r="J221">
        <v>651.65</v>
      </c>
      <c r="K221">
        <v>32582.5</v>
      </c>
      <c r="L221">
        <v>691.67</v>
      </c>
      <c r="M221">
        <v>293.14</v>
      </c>
      <c r="N221">
        <v>9461.6299999999992</v>
      </c>
      <c r="O221">
        <v>43028.94</v>
      </c>
      <c r="P221">
        <v>13969.59</v>
      </c>
      <c r="Q221">
        <v>3523.15</v>
      </c>
      <c r="R221" t="s">
        <v>65</v>
      </c>
      <c r="S221">
        <v>46552.09</v>
      </c>
      <c r="T221">
        <v>0</v>
      </c>
      <c r="U221" t="s">
        <v>91</v>
      </c>
      <c r="V221" t="s">
        <v>6</v>
      </c>
      <c r="W221" t="s">
        <v>74</v>
      </c>
      <c r="X221" t="s">
        <v>371</v>
      </c>
      <c r="Y221" t="s">
        <v>26</v>
      </c>
      <c r="Z221">
        <v>1.64</v>
      </c>
      <c r="AA221">
        <f t="shared" si="9"/>
        <v>3523.15</v>
      </c>
      <c r="AB221">
        <f t="shared" si="10"/>
        <v>7.5681886677912855E-2</v>
      </c>
      <c r="AC221">
        <f t="shared" si="11"/>
        <v>0</v>
      </c>
      <c r="AD221">
        <v>2025</v>
      </c>
      <c r="AE221">
        <v>9</v>
      </c>
      <c r="AF221" t="s">
        <v>131</v>
      </c>
      <c r="AG221" t="s">
        <v>132</v>
      </c>
    </row>
    <row r="222" spans="1:33">
      <c r="A222" t="s">
        <v>372</v>
      </c>
      <c r="B222">
        <v>45577</v>
      </c>
      <c r="C222">
        <v>45588</v>
      </c>
      <c r="D222" t="s">
        <v>23</v>
      </c>
      <c r="E222">
        <v>150</v>
      </c>
      <c r="F222">
        <v>1373.54</v>
      </c>
      <c r="G222">
        <v>2.21</v>
      </c>
      <c r="H222">
        <v>201477.71</v>
      </c>
      <c r="I222" t="s">
        <v>1726</v>
      </c>
      <c r="J222">
        <v>1051.02</v>
      </c>
      <c r="K222">
        <v>157653</v>
      </c>
      <c r="L222">
        <v>2411.33</v>
      </c>
      <c r="M222">
        <v>610.04999999999995</v>
      </c>
      <c r="N222">
        <v>10296.379999999999</v>
      </c>
      <c r="O222">
        <v>170970.76</v>
      </c>
      <c r="P222">
        <v>43824.71</v>
      </c>
      <c r="Q222">
        <v>30506.95</v>
      </c>
      <c r="R222" t="s">
        <v>65</v>
      </c>
      <c r="S222">
        <v>201477.71</v>
      </c>
      <c r="T222">
        <v>0</v>
      </c>
      <c r="U222" t="s">
        <v>66</v>
      </c>
      <c r="V222" t="s">
        <v>12</v>
      </c>
      <c r="W222" t="s">
        <v>67</v>
      </c>
      <c r="X222" t="s">
        <v>150</v>
      </c>
      <c r="Y222" t="s">
        <v>30</v>
      </c>
      <c r="Z222">
        <v>2.2400000000000002</v>
      </c>
      <c r="AA222">
        <f t="shared" si="9"/>
        <v>30506.95</v>
      </c>
      <c r="AB222">
        <f t="shared" si="10"/>
        <v>0.1514160052742311</v>
      </c>
      <c r="AC222">
        <f t="shared" si="11"/>
        <v>0</v>
      </c>
      <c r="AD222">
        <v>2024</v>
      </c>
      <c r="AE222">
        <v>10</v>
      </c>
      <c r="AF222" t="s">
        <v>138</v>
      </c>
      <c r="AG222" t="s">
        <v>139</v>
      </c>
    </row>
    <row r="223" spans="1:33">
      <c r="A223" t="s">
        <v>373</v>
      </c>
      <c r="B223">
        <v>45839</v>
      </c>
      <c r="C223">
        <v>45840</v>
      </c>
      <c r="D223" t="s">
        <v>21</v>
      </c>
      <c r="E223">
        <v>150</v>
      </c>
      <c r="F223">
        <v>830.16</v>
      </c>
      <c r="G223">
        <v>2.1</v>
      </c>
      <c r="H223">
        <v>121909</v>
      </c>
      <c r="I223" t="s">
        <v>1726</v>
      </c>
      <c r="J223">
        <v>648.99</v>
      </c>
      <c r="K223">
        <v>97348.5</v>
      </c>
      <c r="L223">
        <v>1907.32</v>
      </c>
      <c r="M223">
        <v>751.1</v>
      </c>
      <c r="N223">
        <v>5437.95</v>
      </c>
      <c r="O223">
        <v>105444.87</v>
      </c>
      <c r="P223">
        <v>24560.5</v>
      </c>
      <c r="Q223">
        <v>16464.13</v>
      </c>
      <c r="R223" t="s">
        <v>65</v>
      </c>
      <c r="S223">
        <v>121909</v>
      </c>
      <c r="T223">
        <v>0</v>
      </c>
      <c r="U223" t="s">
        <v>66</v>
      </c>
      <c r="V223" t="s">
        <v>14</v>
      </c>
      <c r="W223" t="s">
        <v>67</v>
      </c>
      <c r="X223" t="s">
        <v>205</v>
      </c>
      <c r="Y223" t="s">
        <v>24</v>
      </c>
      <c r="Z223">
        <v>0.2</v>
      </c>
      <c r="AA223">
        <f t="shared" si="9"/>
        <v>16464.13</v>
      </c>
      <c r="AB223">
        <f t="shared" si="10"/>
        <v>0.1350526212174655</v>
      </c>
      <c r="AC223">
        <f t="shared" si="11"/>
        <v>0</v>
      </c>
      <c r="AD223">
        <v>2025</v>
      </c>
      <c r="AE223">
        <v>7</v>
      </c>
      <c r="AF223" t="s">
        <v>69</v>
      </c>
      <c r="AG223" t="s">
        <v>151</v>
      </c>
    </row>
    <row r="224" spans="1:33">
      <c r="A224" t="s">
        <v>374</v>
      </c>
      <c r="B224">
        <v>45365</v>
      </c>
      <c r="C224">
        <v>45366</v>
      </c>
      <c r="D224" t="s">
        <v>21</v>
      </c>
      <c r="E224">
        <v>100</v>
      </c>
      <c r="F224">
        <v>930.96</v>
      </c>
      <c r="G224">
        <v>1.53</v>
      </c>
      <c r="H224">
        <v>91671.63</v>
      </c>
      <c r="I224" t="s">
        <v>1727</v>
      </c>
      <c r="J224">
        <v>695.81</v>
      </c>
      <c r="K224">
        <v>69581</v>
      </c>
      <c r="L224">
        <v>1446.61</v>
      </c>
      <c r="M224">
        <v>421.75</v>
      </c>
      <c r="N224">
        <v>11826.97</v>
      </c>
      <c r="O224">
        <v>83276.33</v>
      </c>
      <c r="P224">
        <v>22090.63</v>
      </c>
      <c r="Q224">
        <v>8395.2999999999993</v>
      </c>
      <c r="R224" t="s">
        <v>85</v>
      </c>
      <c r="S224">
        <v>23460.52</v>
      </c>
      <c r="T224">
        <v>68211.11</v>
      </c>
      <c r="U224" t="s">
        <v>66</v>
      </c>
      <c r="V224" t="s">
        <v>6</v>
      </c>
      <c r="W224" t="s">
        <v>141</v>
      </c>
      <c r="X224" t="s">
        <v>375</v>
      </c>
      <c r="Y224" t="s">
        <v>30</v>
      </c>
      <c r="Z224">
        <v>0.79</v>
      </c>
      <c r="AA224">
        <f t="shared" si="9"/>
        <v>8395.2999999999993</v>
      </c>
      <c r="AB224">
        <f t="shared" si="10"/>
        <v>9.1580132261202277E-2</v>
      </c>
      <c r="AC224">
        <f t="shared" si="11"/>
        <v>0</v>
      </c>
      <c r="AD224">
        <v>2024</v>
      </c>
      <c r="AE224">
        <v>3</v>
      </c>
      <c r="AF224" t="s">
        <v>105</v>
      </c>
      <c r="AG224" t="s">
        <v>120</v>
      </c>
    </row>
    <row r="225" spans="1:33">
      <c r="A225" t="s">
        <v>376</v>
      </c>
      <c r="B225">
        <v>45422</v>
      </c>
      <c r="C225">
        <v>45435</v>
      </c>
      <c r="D225" t="s">
        <v>25</v>
      </c>
      <c r="E225">
        <v>100</v>
      </c>
      <c r="F225">
        <v>926.51</v>
      </c>
      <c r="G225">
        <v>1.1200000000000001</v>
      </c>
      <c r="H225">
        <v>91613.31</v>
      </c>
      <c r="I225" t="s">
        <v>1726</v>
      </c>
      <c r="J225">
        <v>794.2</v>
      </c>
      <c r="K225">
        <v>79420</v>
      </c>
      <c r="L225">
        <v>727.3</v>
      </c>
      <c r="M225">
        <v>213.86</v>
      </c>
      <c r="N225">
        <v>236.94</v>
      </c>
      <c r="O225">
        <v>80598.100000000006</v>
      </c>
      <c r="P225">
        <v>12193.31</v>
      </c>
      <c r="Q225">
        <v>11015.21</v>
      </c>
      <c r="R225" t="s">
        <v>65</v>
      </c>
      <c r="S225">
        <v>91613.31</v>
      </c>
      <c r="T225">
        <v>0</v>
      </c>
      <c r="U225" t="s">
        <v>73</v>
      </c>
      <c r="V225" t="s">
        <v>6</v>
      </c>
      <c r="W225" t="s">
        <v>67</v>
      </c>
      <c r="X225" t="s">
        <v>185</v>
      </c>
      <c r="Y225" t="s">
        <v>31</v>
      </c>
      <c r="Z225">
        <v>0.42</v>
      </c>
      <c r="AA225">
        <f t="shared" si="9"/>
        <v>11015.21</v>
      </c>
      <c r="AB225">
        <f t="shared" si="10"/>
        <v>0.12023591331870881</v>
      </c>
      <c r="AC225">
        <f t="shared" si="11"/>
        <v>0</v>
      </c>
      <c r="AD225">
        <v>2024</v>
      </c>
      <c r="AE225">
        <v>5</v>
      </c>
      <c r="AF225" t="s">
        <v>76</v>
      </c>
      <c r="AG225" t="s">
        <v>77</v>
      </c>
    </row>
    <row r="226" spans="1:33">
      <c r="A226" t="s">
        <v>377</v>
      </c>
      <c r="B226">
        <v>45657</v>
      </c>
      <c r="C226">
        <v>45663</v>
      </c>
      <c r="D226" t="s">
        <v>21</v>
      </c>
      <c r="E226">
        <v>1000</v>
      </c>
      <c r="F226">
        <v>850.33</v>
      </c>
      <c r="G226">
        <v>4.3499999999999996</v>
      </c>
      <c r="H226">
        <v>813340.64</v>
      </c>
      <c r="I226" t="s">
        <v>1727</v>
      </c>
      <c r="J226">
        <v>653.5</v>
      </c>
      <c r="K226">
        <v>653500</v>
      </c>
      <c r="L226">
        <v>18654.98</v>
      </c>
      <c r="M226">
        <v>3076.99</v>
      </c>
      <c r="N226">
        <v>3806.6</v>
      </c>
      <c r="O226">
        <v>679038.57</v>
      </c>
      <c r="P226">
        <v>159840.64000000001</v>
      </c>
      <c r="Q226">
        <v>134302.07</v>
      </c>
      <c r="R226" t="s">
        <v>65</v>
      </c>
      <c r="S226">
        <v>813340.64</v>
      </c>
      <c r="T226">
        <v>0</v>
      </c>
      <c r="U226" t="s">
        <v>66</v>
      </c>
      <c r="V226" t="s">
        <v>6</v>
      </c>
      <c r="W226" t="s">
        <v>141</v>
      </c>
      <c r="X226" t="s">
        <v>205</v>
      </c>
      <c r="Y226" t="s">
        <v>24</v>
      </c>
      <c r="Z226">
        <v>2.4</v>
      </c>
      <c r="AA226">
        <f t="shared" si="9"/>
        <v>134302.07</v>
      </c>
      <c r="AB226">
        <f t="shared" si="10"/>
        <v>0.16512401249247793</v>
      </c>
      <c r="AC226">
        <f t="shared" si="11"/>
        <v>0</v>
      </c>
      <c r="AD226">
        <v>2024</v>
      </c>
      <c r="AE226">
        <v>12</v>
      </c>
      <c r="AF226" t="s">
        <v>98</v>
      </c>
      <c r="AG226" t="s">
        <v>99</v>
      </c>
    </row>
    <row r="227" spans="1:33">
      <c r="A227" t="s">
        <v>378</v>
      </c>
      <c r="B227">
        <v>45844</v>
      </c>
      <c r="D227" t="s">
        <v>21</v>
      </c>
      <c r="E227">
        <v>500</v>
      </c>
      <c r="F227">
        <v>881.67</v>
      </c>
      <c r="G227">
        <v>2.25</v>
      </c>
      <c r="H227">
        <v>430916.21</v>
      </c>
      <c r="I227" t="s">
        <v>1726</v>
      </c>
      <c r="J227">
        <v>746.07</v>
      </c>
      <c r="K227">
        <v>373035</v>
      </c>
      <c r="L227">
        <v>9744</v>
      </c>
      <c r="M227">
        <v>926.15</v>
      </c>
      <c r="N227">
        <v>5941.21</v>
      </c>
      <c r="O227">
        <v>389646.36</v>
      </c>
      <c r="P227">
        <v>57881.21</v>
      </c>
      <c r="Q227">
        <v>41269.85</v>
      </c>
      <c r="R227" t="s">
        <v>65</v>
      </c>
      <c r="S227">
        <v>430916.21</v>
      </c>
      <c r="T227">
        <v>0</v>
      </c>
      <c r="U227" t="s">
        <v>91</v>
      </c>
      <c r="V227" t="s">
        <v>6</v>
      </c>
      <c r="W227" t="s">
        <v>67</v>
      </c>
      <c r="X227" t="s">
        <v>75</v>
      </c>
      <c r="Y227" t="s">
        <v>28</v>
      </c>
      <c r="Z227">
        <v>1.58</v>
      </c>
      <c r="AA227">
        <f t="shared" si="9"/>
        <v>41269.85</v>
      </c>
      <c r="AB227">
        <f t="shared" si="10"/>
        <v>9.5772331238130948E-2</v>
      </c>
      <c r="AC227">
        <f t="shared" si="11"/>
        <v>0</v>
      </c>
      <c r="AD227">
        <v>2025</v>
      </c>
      <c r="AE227">
        <v>7</v>
      </c>
      <c r="AF227" t="s">
        <v>69</v>
      </c>
      <c r="AG227" t="s">
        <v>151</v>
      </c>
    </row>
    <row r="228" spans="1:33">
      <c r="A228" t="s">
        <v>379</v>
      </c>
      <c r="B228">
        <v>45647</v>
      </c>
      <c r="D228" t="s">
        <v>27</v>
      </c>
      <c r="E228">
        <v>150</v>
      </c>
      <c r="F228">
        <v>785.15</v>
      </c>
      <c r="G228">
        <v>0.71</v>
      </c>
      <c r="H228">
        <v>116936.32000000001</v>
      </c>
      <c r="I228" t="s">
        <v>1728</v>
      </c>
      <c r="J228">
        <v>568.76</v>
      </c>
      <c r="K228">
        <v>85314</v>
      </c>
      <c r="L228">
        <v>2328.61</v>
      </c>
      <c r="M228">
        <v>828.93</v>
      </c>
      <c r="N228">
        <v>3688.99</v>
      </c>
      <c r="O228">
        <v>92160.53</v>
      </c>
      <c r="P228">
        <v>31622.32</v>
      </c>
      <c r="Q228">
        <v>24775.79</v>
      </c>
      <c r="R228" t="s">
        <v>65</v>
      </c>
      <c r="S228">
        <v>116936.32000000001</v>
      </c>
      <c r="T228">
        <v>0</v>
      </c>
      <c r="U228" t="s">
        <v>91</v>
      </c>
      <c r="V228" t="s">
        <v>16</v>
      </c>
      <c r="W228" t="s">
        <v>92</v>
      </c>
      <c r="X228" t="s">
        <v>230</v>
      </c>
      <c r="Y228" t="s">
        <v>31</v>
      </c>
      <c r="Z228">
        <v>1.44</v>
      </c>
      <c r="AA228">
        <f t="shared" si="9"/>
        <v>24775.79</v>
      </c>
      <c r="AB228">
        <f t="shared" si="10"/>
        <v>0.21187420640567448</v>
      </c>
      <c r="AC228">
        <f t="shared" si="11"/>
        <v>0</v>
      </c>
      <c r="AD228">
        <v>2024</v>
      </c>
      <c r="AE228">
        <v>12</v>
      </c>
      <c r="AF228" t="s">
        <v>98</v>
      </c>
      <c r="AG228" t="s">
        <v>99</v>
      </c>
    </row>
    <row r="229" spans="1:33">
      <c r="A229" t="s">
        <v>380</v>
      </c>
      <c r="B229">
        <v>45465</v>
      </c>
      <c r="C229">
        <v>45473</v>
      </c>
      <c r="D229" t="s">
        <v>21</v>
      </c>
      <c r="E229">
        <v>200</v>
      </c>
      <c r="F229">
        <v>851.51</v>
      </c>
      <c r="G229">
        <v>1.67</v>
      </c>
      <c r="H229">
        <v>167457.96</v>
      </c>
      <c r="I229" t="s">
        <v>1728</v>
      </c>
      <c r="J229">
        <v>683.54</v>
      </c>
      <c r="K229">
        <v>136708</v>
      </c>
      <c r="L229">
        <v>3494.38</v>
      </c>
      <c r="M229">
        <v>1046.22</v>
      </c>
      <c r="N229">
        <v>9395.42</v>
      </c>
      <c r="O229">
        <v>150644.01999999999</v>
      </c>
      <c r="P229">
        <v>30749.96</v>
      </c>
      <c r="Q229">
        <v>16813.939999999999</v>
      </c>
      <c r="R229" t="s">
        <v>65</v>
      </c>
      <c r="S229">
        <v>167457.96</v>
      </c>
      <c r="T229">
        <v>0</v>
      </c>
      <c r="U229" t="s">
        <v>73</v>
      </c>
      <c r="V229" t="s">
        <v>8</v>
      </c>
      <c r="W229" t="s">
        <v>74</v>
      </c>
      <c r="X229" t="s">
        <v>81</v>
      </c>
      <c r="Y229" t="s">
        <v>24</v>
      </c>
      <c r="Z229">
        <v>0.04</v>
      </c>
      <c r="AA229">
        <f t="shared" si="9"/>
        <v>16813.939999999999</v>
      </c>
      <c r="AB229">
        <f t="shared" si="10"/>
        <v>0.10040693198460079</v>
      </c>
      <c r="AC229">
        <f t="shared" si="11"/>
        <v>0</v>
      </c>
      <c r="AD229">
        <v>2024</v>
      </c>
      <c r="AE229">
        <v>6</v>
      </c>
      <c r="AF229" t="s">
        <v>111</v>
      </c>
      <c r="AG229" t="s">
        <v>148</v>
      </c>
    </row>
    <row r="230" spans="1:33">
      <c r="A230" t="s">
        <v>381</v>
      </c>
      <c r="B230">
        <v>45776</v>
      </c>
      <c r="C230">
        <v>45789</v>
      </c>
      <c r="D230" t="s">
        <v>21</v>
      </c>
      <c r="E230">
        <v>1000</v>
      </c>
      <c r="F230">
        <v>819.01</v>
      </c>
      <c r="G230">
        <v>1.1000000000000001</v>
      </c>
      <c r="H230">
        <v>810000.89</v>
      </c>
      <c r="I230" t="s">
        <v>1729</v>
      </c>
      <c r="J230">
        <v>679.91</v>
      </c>
      <c r="K230">
        <v>679910</v>
      </c>
      <c r="L230">
        <v>8670.19</v>
      </c>
      <c r="M230">
        <v>4897.18</v>
      </c>
      <c r="N230">
        <v>3007.74</v>
      </c>
      <c r="O230">
        <v>696485.11</v>
      </c>
      <c r="P230">
        <v>130090.89</v>
      </c>
      <c r="Q230">
        <v>113515.78</v>
      </c>
      <c r="R230" t="s">
        <v>65</v>
      </c>
      <c r="S230">
        <v>810000.89</v>
      </c>
      <c r="T230">
        <v>0</v>
      </c>
      <c r="U230" t="s">
        <v>66</v>
      </c>
      <c r="V230" t="s">
        <v>14</v>
      </c>
      <c r="W230" t="s">
        <v>74</v>
      </c>
      <c r="X230" t="s">
        <v>127</v>
      </c>
      <c r="Y230" t="s">
        <v>22</v>
      </c>
      <c r="Z230">
        <v>1.72</v>
      </c>
      <c r="AA230">
        <f t="shared" si="9"/>
        <v>113515.78</v>
      </c>
      <c r="AB230">
        <f t="shared" si="10"/>
        <v>0.140142784287558</v>
      </c>
      <c r="AC230">
        <f t="shared" si="11"/>
        <v>0</v>
      </c>
      <c r="AD230">
        <v>2025</v>
      </c>
      <c r="AE230">
        <v>4</v>
      </c>
      <c r="AF230" t="s">
        <v>154</v>
      </c>
      <c r="AG230" t="s">
        <v>155</v>
      </c>
    </row>
    <row r="231" spans="1:33">
      <c r="A231" t="s">
        <v>382</v>
      </c>
      <c r="B231">
        <v>45371</v>
      </c>
      <c r="C231">
        <v>45382</v>
      </c>
      <c r="D231" t="s">
        <v>23</v>
      </c>
      <c r="E231">
        <v>150</v>
      </c>
      <c r="F231">
        <v>1289.26</v>
      </c>
      <c r="G231">
        <v>0.74</v>
      </c>
      <c r="H231">
        <v>191957.92</v>
      </c>
      <c r="I231" t="s">
        <v>1728</v>
      </c>
      <c r="J231">
        <v>1062.8399999999999</v>
      </c>
      <c r="K231">
        <v>159426</v>
      </c>
      <c r="L231">
        <v>1553.6</v>
      </c>
      <c r="M231">
        <v>251.17</v>
      </c>
      <c r="N231">
        <v>9319.92</v>
      </c>
      <c r="O231">
        <v>170550.69</v>
      </c>
      <c r="P231">
        <v>32531.919999999998</v>
      </c>
      <c r="Q231">
        <v>21407.23</v>
      </c>
      <c r="R231" t="s">
        <v>85</v>
      </c>
      <c r="S231">
        <v>155747.73000000001</v>
      </c>
      <c r="T231">
        <v>36210.19</v>
      </c>
      <c r="U231" t="s">
        <v>66</v>
      </c>
      <c r="V231" t="s">
        <v>14</v>
      </c>
      <c r="W231" t="s">
        <v>74</v>
      </c>
      <c r="X231" t="s">
        <v>159</v>
      </c>
      <c r="Y231" t="s">
        <v>30</v>
      </c>
      <c r="Z231">
        <v>1.46</v>
      </c>
      <c r="AA231">
        <f t="shared" si="9"/>
        <v>21407.23</v>
      </c>
      <c r="AB231">
        <f t="shared" si="10"/>
        <v>0.11152043114449249</v>
      </c>
      <c r="AC231">
        <f t="shared" si="11"/>
        <v>0</v>
      </c>
      <c r="AD231">
        <v>2024</v>
      </c>
      <c r="AE231">
        <v>3</v>
      </c>
      <c r="AF231" t="s">
        <v>105</v>
      </c>
      <c r="AG231" t="s">
        <v>120</v>
      </c>
    </row>
    <row r="232" spans="1:33">
      <c r="A232" t="s">
        <v>383</v>
      </c>
      <c r="B232">
        <v>45493</v>
      </c>
      <c r="D232" t="s">
        <v>25</v>
      </c>
      <c r="E232">
        <v>50</v>
      </c>
      <c r="F232">
        <v>982.93</v>
      </c>
      <c r="G232">
        <v>1.65</v>
      </c>
      <c r="H232">
        <v>48335.58</v>
      </c>
      <c r="I232" t="s">
        <v>1728</v>
      </c>
      <c r="J232">
        <v>769.35</v>
      </c>
      <c r="K232">
        <v>38467.5</v>
      </c>
      <c r="L232">
        <v>966.03</v>
      </c>
      <c r="M232">
        <v>215.88</v>
      </c>
      <c r="N232">
        <v>5053.45</v>
      </c>
      <c r="O232">
        <v>44702.86</v>
      </c>
      <c r="P232">
        <v>9868.08</v>
      </c>
      <c r="Q232">
        <v>3632.72</v>
      </c>
      <c r="R232" t="s">
        <v>65</v>
      </c>
      <c r="S232">
        <v>48335.58</v>
      </c>
      <c r="T232">
        <v>0</v>
      </c>
      <c r="U232" t="s">
        <v>91</v>
      </c>
      <c r="V232" t="s">
        <v>6</v>
      </c>
      <c r="W232" t="s">
        <v>92</v>
      </c>
      <c r="X232" t="s">
        <v>164</v>
      </c>
      <c r="Y232" t="s">
        <v>24</v>
      </c>
      <c r="Z232">
        <v>1.29</v>
      </c>
      <c r="AA232">
        <f t="shared" si="9"/>
        <v>3632.72</v>
      </c>
      <c r="AB232">
        <f t="shared" si="10"/>
        <v>7.5156230669001997E-2</v>
      </c>
      <c r="AC232">
        <f t="shared" si="11"/>
        <v>0</v>
      </c>
      <c r="AD232">
        <v>2024</v>
      </c>
      <c r="AE232">
        <v>7</v>
      </c>
      <c r="AF232" t="s">
        <v>69</v>
      </c>
      <c r="AG232" t="s">
        <v>70</v>
      </c>
    </row>
    <row r="233" spans="1:33">
      <c r="A233" t="s">
        <v>384</v>
      </c>
      <c r="B233">
        <v>45600</v>
      </c>
      <c r="C233">
        <v>45609</v>
      </c>
      <c r="D233" t="s">
        <v>21</v>
      </c>
      <c r="E233">
        <v>200</v>
      </c>
      <c r="F233">
        <v>929.02</v>
      </c>
      <c r="G233">
        <v>2.0699999999999998</v>
      </c>
      <c r="H233">
        <v>181957.86</v>
      </c>
      <c r="I233" t="s">
        <v>1728</v>
      </c>
      <c r="J233">
        <v>719.11</v>
      </c>
      <c r="K233">
        <v>143822</v>
      </c>
      <c r="L233">
        <v>2273.8200000000002</v>
      </c>
      <c r="M233">
        <v>456.39</v>
      </c>
      <c r="N233">
        <v>4161.42</v>
      </c>
      <c r="O233">
        <v>150713.63</v>
      </c>
      <c r="P233">
        <v>38135.86</v>
      </c>
      <c r="Q233">
        <v>31244.23</v>
      </c>
      <c r="R233" t="s">
        <v>65</v>
      </c>
      <c r="S233">
        <v>181957.86</v>
      </c>
      <c r="T233">
        <v>0</v>
      </c>
      <c r="U233" t="s">
        <v>66</v>
      </c>
      <c r="V233" t="s">
        <v>16</v>
      </c>
      <c r="W233" t="s">
        <v>74</v>
      </c>
      <c r="X233" t="s">
        <v>275</v>
      </c>
      <c r="Y233" t="s">
        <v>31</v>
      </c>
      <c r="Z233">
        <v>1.81</v>
      </c>
      <c r="AA233">
        <f t="shared" si="9"/>
        <v>31244.23</v>
      </c>
      <c r="AB233">
        <f t="shared" si="10"/>
        <v>0.17171135118867634</v>
      </c>
      <c r="AC233">
        <f t="shared" si="11"/>
        <v>0</v>
      </c>
      <c r="AD233">
        <v>2024</v>
      </c>
      <c r="AE233">
        <v>11</v>
      </c>
      <c r="AF233" t="s">
        <v>128</v>
      </c>
      <c r="AG233" t="s">
        <v>129</v>
      </c>
    </row>
    <row r="234" spans="1:33">
      <c r="A234" t="s">
        <v>385</v>
      </c>
      <c r="B234">
        <v>45544</v>
      </c>
      <c r="C234">
        <v>45556</v>
      </c>
      <c r="D234" t="s">
        <v>21</v>
      </c>
      <c r="E234">
        <v>150</v>
      </c>
      <c r="F234">
        <v>873.08</v>
      </c>
      <c r="G234">
        <v>0.75</v>
      </c>
      <c r="H234">
        <v>129979.78</v>
      </c>
      <c r="I234" t="s">
        <v>1727</v>
      </c>
      <c r="J234">
        <v>735.27</v>
      </c>
      <c r="K234">
        <v>110290.5</v>
      </c>
      <c r="L234">
        <v>786.75</v>
      </c>
      <c r="M234">
        <v>474.09</v>
      </c>
      <c r="N234">
        <v>3630.91</v>
      </c>
      <c r="O234">
        <v>115182.25</v>
      </c>
      <c r="P234">
        <v>19689.28</v>
      </c>
      <c r="Q234">
        <v>14797.53</v>
      </c>
      <c r="R234" t="s">
        <v>85</v>
      </c>
      <c r="S234">
        <v>73014.03</v>
      </c>
      <c r="T234">
        <v>56965.75</v>
      </c>
      <c r="U234" t="s">
        <v>66</v>
      </c>
      <c r="V234" t="s">
        <v>6</v>
      </c>
      <c r="W234" t="s">
        <v>74</v>
      </c>
      <c r="X234" t="s">
        <v>110</v>
      </c>
      <c r="Y234" t="s">
        <v>28</v>
      </c>
      <c r="Z234">
        <v>1.58</v>
      </c>
      <c r="AA234">
        <f t="shared" si="9"/>
        <v>14797.53</v>
      </c>
      <c r="AB234">
        <f t="shared" si="10"/>
        <v>0.11384486110070352</v>
      </c>
      <c r="AC234">
        <f t="shared" si="11"/>
        <v>0</v>
      </c>
      <c r="AD234">
        <v>2024</v>
      </c>
      <c r="AE234">
        <v>9</v>
      </c>
      <c r="AF234" t="s">
        <v>131</v>
      </c>
      <c r="AG234" t="s">
        <v>188</v>
      </c>
    </row>
    <row r="235" spans="1:33">
      <c r="A235" t="s">
        <v>386</v>
      </c>
      <c r="B235">
        <v>45672</v>
      </c>
      <c r="C235">
        <v>45678</v>
      </c>
      <c r="D235" t="s">
        <v>23</v>
      </c>
      <c r="E235">
        <v>250</v>
      </c>
      <c r="F235">
        <v>1218.6099999999999</v>
      </c>
      <c r="G235">
        <v>1.97</v>
      </c>
      <c r="H235">
        <v>298650.84999999998</v>
      </c>
      <c r="I235" t="s">
        <v>1727</v>
      </c>
      <c r="J235">
        <v>1057.52</v>
      </c>
      <c r="K235">
        <v>264380</v>
      </c>
      <c r="L235">
        <v>4848.1000000000004</v>
      </c>
      <c r="M235">
        <v>593.16</v>
      </c>
      <c r="N235">
        <v>6794.79</v>
      </c>
      <c r="O235">
        <v>276616.05</v>
      </c>
      <c r="P235">
        <v>34270.85</v>
      </c>
      <c r="Q235">
        <v>22034.799999999999</v>
      </c>
      <c r="R235" t="s">
        <v>65</v>
      </c>
      <c r="S235">
        <v>298650.84999999998</v>
      </c>
      <c r="T235">
        <v>0</v>
      </c>
      <c r="U235" t="s">
        <v>66</v>
      </c>
      <c r="V235" t="s">
        <v>14</v>
      </c>
      <c r="W235" t="s">
        <v>67</v>
      </c>
      <c r="X235" t="s">
        <v>125</v>
      </c>
      <c r="Y235" t="s">
        <v>24</v>
      </c>
      <c r="Z235">
        <v>1.41</v>
      </c>
      <c r="AA235">
        <f t="shared" si="9"/>
        <v>22034.799999999999</v>
      </c>
      <c r="AB235">
        <f t="shared" si="10"/>
        <v>7.3781139414135277E-2</v>
      </c>
      <c r="AC235">
        <f t="shared" si="11"/>
        <v>0</v>
      </c>
      <c r="AD235">
        <v>2025</v>
      </c>
      <c r="AE235">
        <v>1</v>
      </c>
      <c r="AF235" t="s">
        <v>102</v>
      </c>
      <c r="AG235" t="s">
        <v>118</v>
      </c>
    </row>
    <row r="236" spans="1:33">
      <c r="A236" t="s">
        <v>387</v>
      </c>
      <c r="B236">
        <v>45337</v>
      </c>
      <c r="C236">
        <v>45345</v>
      </c>
      <c r="D236" t="s">
        <v>27</v>
      </c>
      <c r="E236">
        <v>1200</v>
      </c>
      <c r="F236">
        <v>743.4</v>
      </c>
      <c r="G236">
        <v>0.52</v>
      </c>
      <c r="H236">
        <v>887441.18</v>
      </c>
      <c r="I236" t="s">
        <v>1727</v>
      </c>
      <c r="J236">
        <v>566.54999999999995</v>
      </c>
      <c r="K236">
        <v>679860</v>
      </c>
      <c r="L236">
        <v>7072.41</v>
      </c>
      <c r="M236">
        <v>2877.51</v>
      </c>
      <c r="N236">
        <v>11946.64</v>
      </c>
      <c r="O236">
        <v>701756.56</v>
      </c>
      <c r="P236">
        <v>207581.18</v>
      </c>
      <c r="Q236">
        <v>185684.62</v>
      </c>
      <c r="R236" t="s">
        <v>65</v>
      </c>
      <c r="S236">
        <v>887441.18</v>
      </c>
      <c r="T236">
        <v>0</v>
      </c>
      <c r="U236" t="s">
        <v>66</v>
      </c>
      <c r="V236" t="s">
        <v>6</v>
      </c>
      <c r="W236" t="s">
        <v>74</v>
      </c>
      <c r="X236" t="s">
        <v>176</v>
      </c>
      <c r="Y236" t="s">
        <v>22</v>
      </c>
      <c r="Z236">
        <v>1.08</v>
      </c>
      <c r="AA236">
        <f t="shared" si="9"/>
        <v>185684.62</v>
      </c>
      <c r="AB236">
        <f t="shared" si="10"/>
        <v>0.20923597437747929</v>
      </c>
      <c r="AC236">
        <f t="shared" si="11"/>
        <v>0</v>
      </c>
      <c r="AD236">
        <v>2024</v>
      </c>
      <c r="AE236">
        <v>2</v>
      </c>
      <c r="AF236" t="s">
        <v>172</v>
      </c>
      <c r="AG236" t="s">
        <v>173</v>
      </c>
    </row>
    <row r="237" spans="1:33">
      <c r="A237" t="s">
        <v>388</v>
      </c>
      <c r="B237">
        <v>45904</v>
      </c>
      <c r="C237">
        <v>45917</v>
      </c>
      <c r="D237" t="s">
        <v>29</v>
      </c>
      <c r="E237">
        <v>150</v>
      </c>
      <c r="F237">
        <v>3014.28</v>
      </c>
      <c r="G237">
        <v>1.88</v>
      </c>
      <c r="H237">
        <v>443641.73</v>
      </c>
      <c r="I237" t="s">
        <v>1728</v>
      </c>
      <c r="J237">
        <v>2155.9899999999998</v>
      </c>
      <c r="K237">
        <v>323398.5</v>
      </c>
      <c r="L237">
        <v>1192.75</v>
      </c>
      <c r="M237">
        <v>801.28</v>
      </c>
      <c r="N237">
        <v>7554.04</v>
      </c>
      <c r="O237">
        <v>332946.57</v>
      </c>
      <c r="P237">
        <v>120243.23</v>
      </c>
      <c r="Q237">
        <v>110695.16</v>
      </c>
      <c r="R237" t="s">
        <v>65</v>
      </c>
      <c r="S237">
        <v>443641.73</v>
      </c>
      <c r="T237">
        <v>0</v>
      </c>
      <c r="U237" t="s">
        <v>66</v>
      </c>
      <c r="V237" t="s">
        <v>14</v>
      </c>
      <c r="W237" t="s">
        <v>80</v>
      </c>
      <c r="X237" t="s">
        <v>193</v>
      </c>
      <c r="Y237" t="s">
        <v>30</v>
      </c>
      <c r="Z237">
        <v>0.88</v>
      </c>
      <c r="AA237">
        <f t="shared" si="9"/>
        <v>110695.16</v>
      </c>
      <c r="AB237">
        <f t="shared" si="10"/>
        <v>0.24951476048026414</v>
      </c>
      <c r="AC237">
        <f t="shared" si="11"/>
        <v>0</v>
      </c>
      <c r="AD237">
        <v>2025</v>
      </c>
      <c r="AE237">
        <v>9</v>
      </c>
      <c r="AF237" t="s">
        <v>131</v>
      </c>
      <c r="AG237" t="s">
        <v>132</v>
      </c>
    </row>
    <row r="238" spans="1:33">
      <c r="A238" t="s">
        <v>389</v>
      </c>
      <c r="B238">
        <v>45958</v>
      </c>
      <c r="D238" t="s">
        <v>23</v>
      </c>
      <c r="E238">
        <v>300</v>
      </c>
      <c r="F238">
        <v>1269.26</v>
      </c>
      <c r="G238">
        <v>2.33</v>
      </c>
      <c r="H238">
        <v>371905.87</v>
      </c>
      <c r="I238" t="s">
        <v>1728</v>
      </c>
      <c r="J238">
        <v>1121.49</v>
      </c>
      <c r="K238">
        <v>336447</v>
      </c>
      <c r="L238">
        <v>3907.31</v>
      </c>
      <c r="M238">
        <v>660.91</v>
      </c>
      <c r="N238">
        <v>9717.44</v>
      </c>
      <c r="O238">
        <v>350732.66</v>
      </c>
      <c r="P238">
        <v>35458.870000000003</v>
      </c>
      <c r="Q238">
        <v>21173.21</v>
      </c>
      <c r="R238" t="s">
        <v>65</v>
      </c>
      <c r="S238">
        <v>371905.87</v>
      </c>
      <c r="T238">
        <v>0</v>
      </c>
      <c r="U238" t="s">
        <v>91</v>
      </c>
      <c r="V238" t="s">
        <v>6</v>
      </c>
      <c r="W238" t="s">
        <v>74</v>
      </c>
      <c r="X238" t="s">
        <v>101</v>
      </c>
      <c r="Y238" t="s">
        <v>22</v>
      </c>
      <c r="Z238">
        <v>1.96</v>
      </c>
      <c r="AA238">
        <f t="shared" si="9"/>
        <v>21173.21</v>
      </c>
      <c r="AB238">
        <f t="shared" si="10"/>
        <v>5.6931637029552666E-2</v>
      </c>
      <c r="AC238">
        <f t="shared" si="11"/>
        <v>0</v>
      </c>
      <c r="AD238">
        <v>2025</v>
      </c>
      <c r="AE238">
        <v>10</v>
      </c>
      <c r="AF238" t="s">
        <v>138</v>
      </c>
      <c r="AG238" t="s">
        <v>160</v>
      </c>
    </row>
    <row r="239" spans="1:33">
      <c r="A239" t="s">
        <v>390</v>
      </c>
      <c r="B239">
        <v>45651</v>
      </c>
      <c r="C239">
        <v>45660</v>
      </c>
      <c r="D239" t="s">
        <v>23</v>
      </c>
      <c r="E239">
        <v>750</v>
      </c>
      <c r="F239">
        <v>1214.25</v>
      </c>
      <c r="G239">
        <v>3.78</v>
      </c>
      <c r="H239">
        <v>876263.51</v>
      </c>
      <c r="I239" t="s">
        <v>1727</v>
      </c>
      <c r="J239">
        <v>1114.29</v>
      </c>
      <c r="K239">
        <v>835717.5</v>
      </c>
      <c r="L239">
        <v>11346.37</v>
      </c>
      <c r="M239">
        <v>1257.71</v>
      </c>
      <c r="N239">
        <v>3774.31</v>
      </c>
      <c r="O239">
        <v>852095.89</v>
      </c>
      <c r="P239">
        <v>40546.01</v>
      </c>
      <c r="Q239">
        <v>24167.62</v>
      </c>
      <c r="R239" t="s">
        <v>65</v>
      </c>
      <c r="S239">
        <v>876263.51</v>
      </c>
      <c r="T239">
        <v>0</v>
      </c>
      <c r="U239" t="s">
        <v>73</v>
      </c>
      <c r="V239" t="s">
        <v>8</v>
      </c>
      <c r="W239" t="s">
        <v>74</v>
      </c>
      <c r="X239" t="s">
        <v>101</v>
      </c>
      <c r="Y239" t="s">
        <v>22</v>
      </c>
      <c r="Z239">
        <v>1.79</v>
      </c>
      <c r="AA239">
        <f t="shared" si="9"/>
        <v>24167.62</v>
      </c>
      <c r="AB239">
        <f t="shared" si="10"/>
        <v>2.7580310858773521E-2</v>
      </c>
      <c r="AC239">
        <f t="shared" si="11"/>
        <v>0</v>
      </c>
      <c r="AD239">
        <v>2024</v>
      </c>
      <c r="AE239">
        <v>12</v>
      </c>
      <c r="AF239" t="s">
        <v>98</v>
      </c>
      <c r="AG239" t="s">
        <v>99</v>
      </c>
    </row>
    <row r="240" spans="1:33">
      <c r="A240" t="s">
        <v>391</v>
      </c>
      <c r="B240">
        <v>45647</v>
      </c>
      <c r="C240">
        <v>45650</v>
      </c>
      <c r="D240" t="s">
        <v>29</v>
      </c>
      <c r="E240">
        <v>250</v>
      </c>
      <c r="F240">
        <v>2890.7</v>
      </c>
      <c r="G240">
        <v>0.11</v>
      </c>
      <c r="H240">
        <v>721880.06</v>
      </c>
      <c r="I240" t="s">
        <v>1728</v>
      </c>
      <c r="J240">
        <v>2384.91</v>
      </c>
      <c r="K240">
        <v>596227.5</v>
      </c>
      <c r="L240">
        <v>5589.55</v>
      </c>
      <c r="M240">
        <v>485.1</v>
      </c>
      <c r="N240">
        <v>6592.95</v>
      </c>
      <c r="O240">
        <v>608895.1</v>
      </c>
      <c r="P240">
        <v>125652.56</v>
      </c>
      <c r="Q240">
        <v>112984.96000000001</v>
      </c>
      <c r="R240" t="s">
        <v>65</v>
      </c>
      <c r="S240">
        <v>721880.06</v>
      </c>
      <c r="T240">
        <v>0</v>
      </c>
      <c r="U240" t="s">
        <v>66</v>
      </c>
      <c r="V240" t="s">
        <v>14</v>
      </c>
      <c r="W240" t="s">
        <v>67</v>
      </c>
      <c r="X240" t="s">
        <v>185</v>
      </c>
      <c r="Y240" t="s">
        <v>31</v>
      </c>
      <c r="Z240">
        <v>1.56</v>
      </c>
      <c r="AA240">
        <f t="shared" si="9"/>
        <v>112984.96000000001</v>
      </c>
      <c r="AB240">
        <f t="shared" si="10"/>
        <v>0.15651486481009047</v>
      </c>
      <c r="AC240">
        <f t="shared" si="11"/>
        <v>0</v>
      </c>
      <c r="AD240">
        <v>2024</v>
      </c>
      <c r="AE240">
        <v>12</v>
      </c>
      <c r="AF240" t="s">
        <v>98</v>
      </c>
      <c r="AG240" t="s">
        <v>99</v>
      </c>
    </row>
    <row r="241" spans="1:33">
      <c r="A241" t="s">
        <v>392</v>
      </c>
      <c r="B241">
        <v>45901</v>
      </c>
      <c r="C241">
        <v>45914</v>
      </c>
      <c r="D241" t="s">
        <v>21</v>
      </c>
      <c r="E241">
        <v>200</v>
      </c>
      <c r="F241">
        <v>930.69</v>
      </c>
      <c r="G241">
        <v>1.0900000000000001</v>
      </c>
      <c r="H241">
        <v>184109.1</v>
      </c>
      <c r="I241" t="s">
        <v>1727</v>
      </c>
      <c r="J241">
        <v>737.83</v>
      </c>
      <c r="K241">
        <v>147566</v>
      </c>
      <c r="L241">
        <v>3118.35</v>
      </c>
      <c r="M241">
        <v>552.12</v>
      </c>
      <c r="N241">
        <v>196.41</v>
      </c>
      <c r="O241">
        <v>151432.88</v>
      </c>
      <c r="P241">
        <v>36543.1</v>
      </c>
      <c r="Q241">
        <v>32676.22</v>
      </c>
      <c r="R241" t="s">
        <v>65</v>
      </c>
      <c r="S241">
        <v>184109.1</v>
      </c>
      <c r="T241">
        <v>0</v>
      </c>
      <c r="U241" t="s">
        <v>66</v>
      </c>
      <c r="V241" t="s">
        <v>6</v>
      </c>
      <c r="W241" t="s">
        <v>74</v>
      </c>
      <c r="X241" t="s">
        <v>193</v>
      </c>
      <c r="Y241" t="s">
        <v>30</v>
      </c>
      <c r="Z241">
        <v>1.41</v>
      </c>
      <c r="AA241">
        <f t="shared" si="9"/>
        <v>32676.22</v>
      </c>
      <c r="AB241">
        <f t="shared" si="10"/>
        <v>0.17748291637947283</v>
      </c>
      <c r="AC241">
        <f t="shared" si="11"/>
        <v>0</v>
      </c>
      <c r="AD241">
        <v>2025</v>
      </c>
      <c r="AE241">
        <v>9</v>
      </c>
      <c r="AF241" t="s">
        <v>131</v>
      </c>
      <c r="AG241" t="s">
        <v>132</v>
      </c>
    </row>
    <row r="242" spans="1:33">
      <c r="A242" t="s">
        <v>393</v>
      </c>
      <c r="B242">
        <v>45570</v>
      </c>
      <c r="C242">
        <v>45570</v>
      </c>
      <c r="D242" t="s">
        <v>23</v>
      </c>
      <c r="E242">
        <v>500</v>
      </c>
      <c r="F242">
        <v>1326.29</v>
      </c>
      <c r="G242">
        <v>1.7</v>
      </c>
      <c r="H242">
        <v>651871.54</v>
      </c>
      <c r="I242" t="s">
        <v>1728</v>
      </c>
      <c r="J242">
        <v>1072.1400000000001</v>
      </c>
      <c r="K242">
        <v>536070</v>
      </c>
      <c r="L242">
        <v>7547.19</v>
      </c>
      <c r="M242">
        <v>2123.08</v>
      </c>
      <c r="N242">
        <v>10873.47</v>
      </c>
      <c r="O242">
        <v>556613.74</v>
      </c>
      <c r="P242">
        <v>115801.54</v>
      </c>
      <c r="Q242">
        <v>95257.8</v>
      </c>
      <c r="R242" t="s">
        <v>65</v>
      </c>
      <c r="S242">
        <v>651871.54</v>
      </c>
      <c r="T242">
        <v>0</v>
      </c>
      <c r="U242" t="s">
        <v>66</v>
      </c>
      <c r="V242" t="s">
        <v>10</v>
      </c>
      <c r="W242" t="s">
        <v>92</v>
      </c>
      <c r="X242" t="s">
        <v>127</v>
      </c>
      <c r="Y242" t="s">
        <v>22</v>
      </c>
      <c r="Z242">
        <v>2.23</v>
      </c>
      <c r="AA242">
        <f t="shared" si="9"/>
        <v>95257.8</v>
      </c>
      <c r="AB242">
        <f t="shared" si="10"/>
        <v>0.14612971138454672</v>
      </c>
      <c r="AC242">
        <f t="shared" si="11"/>
        <v>0</v>
      </c>
      <c r="AD242">
        <v>2024</v>
      </c>
      <c r="AE242">
        <v>10</v>
      </c>
      <c r="AF242" t="s">
        <v>138</v>
      </c>
      <c r="AG242" t="s">
        <v>139</v>
      </c>
    </row>
    <row r="243" spans="1:33">
      <c r="A243" t="s">
        <v>394</v>
      </c>
      <c r="B243">
        <v>45759</v>
      </c>
      <c r="C243">
        <v>45761</v>
      </c>
      <c r="D243" t="s">
        <v>21</v>
      </c>
      <c r="E243">
        <v>150</v>
      </c>
      <c r="F243">
        <v>833.24</v>
      </c>
      <c r="G243">
        <v>1.9</v>
      </c>
      <c r="H243">
        <v>122611.27</v>
      </c>
      <c r="I243" t="s">
        <v>1727</v>
      </c>
      <c r="J243">
        <v>664.4</v>
      </c>
      <c r="K243">
        <v>99660</v>
      </c>
      <c r="L243">
        <v>1117.07</v>
      </c>
      <c r="M243">
        <v>409</v>
      </c>
      <c r="N243">
        <v>914.05</v>
      </c>
      <c r="O243">
        <v>102100.12</v>
      </c>
      <c r="P243">
        <v>22951.27</v>
      </c>
      <c r="Q243">
        <v>20511.150000000001</v>
      </c>
      <c r="R243" t="s">
        <v>65</v>
      </c>
      <c r="S243">
        <v>122611.27</v>
      </c>
      <c r="T243">
        <v>0</v>
      </c>
      <c r="U243" t="s">
        <v>66</v>
      </c>
      <c r="V243" t="s">
        <v>12</v>
      </c>
      <c r="W243" t="s">
        <v>80</v>
      </c>
      <c r="X243" t="s">
        <v>167</v>
      </c>
      <c r="Y243" t="s">
        <v>31</v>
      </c>
      <c r="Z243">
        <v>2.0099999999999998</v>
      </c>
      <c r="AA243">
        <f t="shared" si="9"/>
        <v>20511.150000000001</v>
      </c>
      <c r="AB243">
        <f t="shared" si="10"/>
        <v>0.16728600886362241</v>
      </c>
      <c r="AC243">
        <f t="shared" si="11"/>
        <v>0</v>
      </c>
      <c r="AD243">
        <v>2025</v>
      </c>
      <c r="AE243">
        <v>4</v>
      </c>
      <c r="AF243" t="s">
        <v>154</v>
      </c>
      <c r="AG243" t="s">
        <v>155</v>
      </c>
    </row>
    <row r="244" spans="1:33">
      <c r="A244" t="s">
        <v>395</v>
      </c>
      <c r="B244">
        <v>45919</v>
      </c>
      <c r="C244">
        <v>45929</v>
      </c>
      <c r="D244" t="s">
        <v>21</v>
      </c>
      <c r="E244">
        <v>100</v>
      </c>
      <c r="F244">
        <v>869.08</v>
      </c>
      <c r="G244">
        <v>0.22</v>
      </c>
      <c r="H244">
        <v>86716.800000000003</v>
      </c>
      <c r="I244" t="s">
        <v>1729</v>
      </c>
      <c r="J244">
        <v>668.1</v>
      </c>
      <c r="K244">
        <v>66810</v>
      </c>
      <c r="L244">
        <v>1319.73</v>
      </c>
      <c r="M244">
        <v>281.89</v>
      </c>
      <c r="N244">
        <v>7770.2</v>
      </c>
      <c r="O244">
        <v>76181.820000000007</v>
      </c>
      <c r="P244">
        <v>19906.8</v>
      </c>
      <c r="Q244">
        <v>10534.98</v>
      </c>
      <c r="R244" t="s">
        <v>65</v>
      </c>
      <c r="S244">
        <v>86716.800000000003</v>
      </c>
      <c r="T244">
        <v>0</v>
      </c>
      <c r="U244" t="s">
        <v>66</v>
      </c>
      <c r="V244" t="s">
        <v>14</v>
      </c>
      <c r="W244" t="s">
        <v>80</v>
      </c>
      <c r="X244" t="s">
        <v>176</v>
      </c>
      <c r="Y244" t="s">
        <v>22</v>
      </c>
      <c r="Z244">
        <v>2.35</v>
      </c>
      <c r="AA244">
        <f t="shared" si="9"/>
        <v>10534.98</v>
      </c>
      <c r="AB244">
        <f t="shared" si="10"/>
        <v>0.12148718587401748</v>
      </c>
      <c r="AC244">
        <f t="shared" si="11"/>
        <v>0</v>
      </c>
      <c r="AD244">
        <v>2025</v>
      </c>
      <c r="AE244">
        <v>9</v>
      </c>
      <c r="AF244" t="s">
        <v>131</v>
      </c>
      <c r="AG244" t="s">
        <v>132</v>
      </c>
    </row>
    <row r="245" spans="1:33">
      <c r="A245" t="s">
        <v>396</v>
      </c>
      <c r="B245">
        <v>45495</v>
      </c>
      <c r="C245">
        <v>45501</v>
      </c>
      <c r="D245" t="s">
        <v>23</v>
      </c>
      <c r="E245">
        <v>200</v>
      </c>
      <c r="F245">
        <v>1229.4100000000001</v>
      </c>
      <c r="G245">
        <v>1.71</v>
      </c>
      <c r="H245">
        <v>241677.42</v>
      </c>
      <c r="I245" t="s">
        <v>1729</v>
      </c>
      <c r="J245">
        <v>1016.51</v>
      </c>
      <c r="K245">
        <v>203302</v>
      </c>
      <c r="L245">
        <v>4607.05</v>
      </c>
      <c r="M245">
        <v>826.88</v>
      </c>
      <c r="N245">
        <v>7269.12</v>
      </c>
      <c r="O245">
        <v>216005.05</v>
      </c>
      <c r="P245">
        <v>38375.42</v>
      </c>
      <c r="Q245">
        <v>25672.37</v>
      </c>
      <c r="R245" t="s">
        <v>65</v>
      </c>
      <c r="S245">
        <v>241677.42</v>
      </c>
      <c r="T245">
        <v>0</v>
      </c>
      <c r="U245" t="s">
        <v>66</v>
      </c>
      <c r="V245" t="s">
        <v>8</v>
      </c>
      <c r="W245" t="s">
        <v>74</v>
      </c>
      <c r="X245" t="s">
        <v>101</v>
      </c>
      <c r="Y245" t="s">
        <v>22</v>
      </c>
      <c r="Z245">
        <v>1.38</v>
      </c>
      <c r="AA245">
        <f t="shared" si="9"/>
        <v>25672.37</v>
      </c>
      <c r="AB245">
        <f t="shared" si="10"/>
        <v>0.10622576987126062</v>
      </c>
      <c r="AC245">
        <f t="shared" si="11"/>
        <v>0</v>
      </c>
      <c r="AD245">
        <v>2024</v>
      </c>
      <c r="AE245">
        <v>7</v>
      </c>
      <c r="AF245" t="s">
        <v>69</v>
      </c>
      <c r="AG245" t="s">
        <v>70</v>
      </c>
    </row>
    <row r="246" spans="1:33">
      <c r="A246" t="s">
        <v>397</v>
      </c>
      <c r="B246">
        <v>45509</v>
      </c>
      <c r="C246">
        <v>45521</v>
      </c>
      <c r="D246" t="s">
        <v>21</v>
      </c>
      <c r="E246">
        <v>100</v>
      </c>
      <c r="F246">
        <v>813.39</v>
      </c>
      <c r="G246">
        <v>1.85</v>
      </c>
      <c r="H246">
        <v>79834.23</v>
      </c>
      <c r="I246" t="s">
        <v>1727</v>
      </c>
      <c r="J246">
        <v>748.75</v>
      </c>
      <c r="K246">
        <v>74875</v>
      </c>
      <c r="L246">
        <v>2180.9499999999998</v>
      </c>
      <c r="M246">
        <v>252.4</v>
      </c>
      <c r="N246">
        <v>4188.92</v>
      </c>
      <c r="O246">
        <v>81497.27</v>
      </c>
      <c r="P246">
        <v>4959.2299999999996</v>
      </c>
      <c r="Q246">
        <v>-1663.04</v>
      </c>
      <c r="R246" t="s">
        <v>65</v>
      </c>
      <c r="S246">
        <v>79834.23</v>
      </c>
      <c r="T246">
        <v>0</v>
      </c>
      <c r="U246" t="s">
        <v>66</v>
      </c>
      <c r="V246" t="s">
        <v>6</v>
      </c>
      <c r="W246" t="s">
        <v>141</v>
      </c>
      <c r="X246" t="s">
        <v>167</v>
      </c>
      <c r="Y246" t="s">
        <v>31</v>
      </c>
      <c r="Z246">
        <v>2.02</v>
      </c>
      <c r="AA246">
        <f t="shared" si="9"/>
        <v>-1663.04</v>
      </c>
      <c r="AB246">
        <f t="shared" si="10"/>
        <v>-2.0831164777314191E-2</v>
      </c>
      <c r="AC246">
        <f t="shared" si="11"/>
        <v>0</v>
      </c>
      <c r="AD246">
        <v>2024</v>
      </c>
      <c r="AE246">
        <v>8</v>
      </c>
      <c r="AF246" t="s">
        <v>82</v>
      </c>
      <c r="AG246" t="s">
        <v>83</v>
      </c>
    </row>
    <row r="247" spans="1:33">
      <c r="A247" t="s">
        <v>398</v>
      </c>
      <c r="B247">
        <v>46008</v>
      </c>
      <c r="C247">
        <v>46011</v>
      </c>
      <c r="D247" t="s">
        <v>21</v>
      </c>
      <c r="E247">
        <v>200</v>
      </c>
      <c r="F247">
        <v>869.24</v>
      </c>
      <c r="G247">
        <v>0.77</v>
      </c>
      <c r="H247">
        <v>172509.37</v>
      </c>
      <c r="I247" t="s">
        <v>1726</v>
      </c>
      <c r="J247">
        <v>661.79</v>
      </c>
      <c r="K247">
        <v>132358</v>
      </c>
      <c r="L247">
        <v>1812.85</v>
      </c>
      <c r="M247">
        <v>987.79</v>
      </c>
      <c r="N247">
        <v>8480.93</v>
      </c>
      <c r="O247">
        <v>143639.57</v>
      </c>
      <c r="P247">
        <v>40151.370000000003</v>
      </c>
      <c r="Q247">
        <v>28869.8</v>
      </c>
      <c r="R247" t="s">
        <v>65</v>
      </c>
      <c r="S247">
        <v>172509.37</v>
      </c>
      <c r="T247">
        <v>0</v>
      </c>
      <c r="U247" t="s">
        <v>73</v>
      </c>
      <c r="V247" t="s">
        <v>6</v>
      </c>
      <c r="W247" t="s">
        <v>67</v>
      </c>
      <c r="X247" t="s">
        <v>75</v>
      </c>
      <c r="Y247" t="s">
        <v>28</v>
      </c>
      <c r="Z247">
        <v>1.9</v>
      </c>
      <c r="AA247">
        <f t="shared" si="9"/>
        <v>28869.8</v>
      </c>
      <c r="AB247">
        <f t="shared" si="10"/>
        <v>0.16735206904993044</v>
      </c>
      <c r="AC247">
        <f t="shared" si="11"/>
        <v>0</v>
      </c>
      <c r="AD247">
        <v>2025</v>
      </c>
      <c r="AE247">
        <v>12</v>
      </c>
      <c r="AF247" t="s">
        <v>98</v>
      </c>
      <c r="AG247" t="s">
        <v>168</v>
      </c>
    </row>
    <row r="248" spans="1:33">
      <c r="A248" t="s">
        <v>399</v>
      </c>
      <c r="B248">
        <v>45291</v>
      </c>
      <c r="C248">
        <v>45301</v>
      </c>
      <c r="D248" t="s">
        <v>23</v>
      </c>
      <c r="E248">
        <v>500</v>
      </c>
      <c r="F248">
        <v>1374.13</v>
      </c>
      <c r="G248">
        <v>0.79</v>
      </c>
      <c r="H248">
        <v>681637.19</v>
      </c>
      <c r="I248" t="s">
        <v>1728</v>
      </c>
      <c r="J248">
        <v>994.41</v>
      </c>
      <c r="K248">
        <v>497205</v>
      </c>
      <c r="L248">
        <v>2531.69</v>
      </c>
      <c r="M248">
        <v>2449.2600000000002</v>
      </c>
      <c r="N248">
        <v>4025.74</v>
      </c>
      <c r="O248">
        <v>506211.69</v>
      </c>
      <c r="P248">
        <v>184432.19</v>
      </c>
      <c r="Q248">
        <v>175425.5</v>
      </c>
      <c r="R248" t="s">
        <v>65</v>
      </c>
      <c r="S248">
        <v>681637.19</v>
      </c>
      <c r="T248">
        <v>0</v>
      </c>
      <c r="U248" t="s">
        <v>66</v>
      </c>
      <c r="V248" t="s">
        <v>10</v>
      </c>
      <c r="W248" t="s">
        <v>67</v>
      </c>
      <c r="X248" t="s">
        <v>125</v>
      </c>
      <c r="Y248" t="s">
        <v>24</v>
      </c>
      <c r="Z248">
        <v>1.83</v>
      </c>
      <c r="AA248">
        <f t="shared" si="9"/>
        <v>175425.5</v>
      </c>
      <c r="AB248">
        <f t="shared" si="10"/>
        <v>0.25735905049429597</v>
      </c>
      <c r="AC248">
        <f t="shared" si="11"/>
        <v>0</v>
      </c>
      <c r="AD248">
        <v>2023</v>
      </c>
      <c r="AE248">
        <v>12</v>
      </c>
      <c r="AF248" t="s">
        <v>98</v>
      </c>
      <c r="AG248" t="s">
        <v>232</v>
      </c>
    </row>
    <row r="249" spans="1:33">
      <c r="A249" t="s">
        <v>400</v>
      </c>
      <c r="B249">
        <v>45291</v>
      </c>
      <c r="C249">
        <v>45304</v>
      </c>
      <c r="D249" t="s">
        <v>23</v>
      </c>
      <c r="E249">
        <v>500</v>
      </c>
      <c r="F249">
        <v>1265.03</v>
      </c>
      <c r="G249">
        <v>4.6399999999999997</v>
      </c>
      <c r="H249">
        <v>603166.30000000005</v>
      </c>
      <c r="I249" t="s">
        <v>1727</v>
      </c>
      <c r="J249">
        <v>1083.54</v>
      </c>
      <c r="K249">
        <v>541770</v>
      </c>
      <c r="L249">
        <v>4026.29</v>
      </c>
      <c r="M249">
        <v>2975.62</v>
      </c>
      <c r="N249">
        <v>10120.1</v>
      </c>
      <c r="O249">
        <v>558892.01</v>
      </c>
      <c r="P249">
        <v>61396.3</v>
      </c>
      <c r="Q249">
        <v>44274.29</v>
      </c>
      <c r="R249" t="s">
        <v>65</v>
      </c>
      <c r="S249">
        <v>603166.30000000005</v>
      </c>
      <c r="T249">
        <v>0</v>
      </c>
      <c r="U249" t="s">
        <v>66</v>
      </c>
      <c r="V249" t="s">
        <v>6</v>
      </c>
      <c r="W249" t="s">
        <v>80</v>
      </c>
      <c r="X249" t="s">
        <v>375</v>
      </c>
      <c r="Y249" t="s">
        <v>30</v>
      </c>
      <c r="Z249">
        <v>1.77</v>
      </c>
      <c r="AA249">
        <f t="shared" si="9"/>
        <v>44274.29</v>
      </c>
      <c r="AB249">
        <f t="shared" si="10"/>
        <v>7.3403122820356506E-2</v>
      </c>
      <c r="AC249">
        <f t="shared" si="11"/>
        <v>0</v>
      </c>
      <c r="AD249">
        <v>2023</v>
      </c>
      <c r="AE249">
        <v>12</v>
      </c>
      <c r="AF249" t="s">
        <v>98</v>
      </c>
      <c r="AG249" t="s">
        <v>232</v>
      </c>
    </row>
    <row r="250" spans="1:33">
      <c r="A250" t="s">
        <v>401</v>
      </c>
      <c r="B250">
        <v>45699</v>
      </c>
      <c r="D250" t="s">
        <v>29</v>
      </c>
      <c r="E250">
        <v>150</v>
      </c>
      <c r="F250">
        <v>2821.98</v>
      </c>
      <c r="G250">
        <v>0.56000000000000005</v>
      </c>
      <c r="H250">
        <v>420926.54</v>
      </c>
      <c r="I250" t="s">
        <v>1729</v>
      </c>
      <c r="J250">
        <v>2449.4499999999998</v>
      </c>
      <c r="K250">
        <v>367417.5</v>
      </c>
      <c r="L250">
        <v>3467.66</v>
      </c>
      <c r="M250">
        <v>370.8</v>
      </c>
      <c r="N250">
        <v>4931.6899999999996</v>
      </c>
      <c r="O250">
        <v>376187.65</v>
      </c>
      <c r="P250">
        <v>53509.04</v>
      </c>
      <c r="Q250">
        <v>44738.89</v>
      </c>
      <c r="R250" t="s">
        <v>85</v>
      </c>
      <c r="S250">
        <v>235888.78</v>
      </c>
      <c r="T250">
        <v>185037.76</v>
      </c>
      <c r="U250" t="s">
        <v>91</v>
      </c>
      <c r="V250" t="s">
        <v>10</v>
      </c>
      <c r="W250" t="s">
        <v>74</v>
      </c>
      <c r="X250" t="s">
        <v>115</v>
      </c>
      <c r="Y250" t="s">
        <v>22</v>
      </c>
      <c r="Z250">
        <v>1.17</v>
      </c>
      <c r="AA250">
        <f t="shared" si="9"/>
        <v>44738.89</v>
      </c>
      <c r="AB250">
        <f t="shared" si="10"/>
        <v>0.10628669316028398</v>
      </c>
      <c r="AC250">
        <f t="shared" si="11"/>
        <v>0</v>
      </c>
      <c r="AD250">
        <v>2025</v>
      </c>
      <c r="AE250">
        <v>2</v>
      </c>
      <c r="AF250" t="s">
        <v>172</v>
      </c>
      <c r="AG250" t="s">
        <v>244</v>
      </c>
    </row>
    <row r="251" spans="1:33">
      <c r="A251" t="s">
        <v>402</v>
      </c>
      <c r="B251">
        <v>45405</v>
      </c>
      <c r="C251">
        <v>45418</v>
      </c>
      <c r="D251" t="s">
        <v>21</v>
      </c>
      <c r="E251">
        <v>500</v>
      </c>
      <c r="F251">
        <v>902.02</v>
      </c>
      <c r="G251">
        <v>4.6399999999999997</v>
      </c>
      <c r="H251">
        <v>430083.14</v>
      </c>
      <c r="I251" t="s">
        <v>1727</v>
      </c>
      <c r="J251">
        <v>702.81</v>
      </c>
      <c r="K251">
        <v>351405</v>
      </c>
      <c r="L251">
        <v>6437.21</v>
      </c>
      <c r="M251">
        <v>1956.45</v>
      </c>
      <c r="N251">
        <v>9743.6299999999992</v>
      </c>
      <c r="O251">
        <v>369542.29</v>
      </c>
      <c r="P251">
        <v>78678.14</v>
      </c>
      <c r="Q251">
        <v>60540.85</v>
      </c>
      <c r="R251" t="s">
        <v>65</v>
      </c>
      <c r="S251">
        <v>430083.14</v>
      </c>
      <c r="T251">
        <v>0</v>
      </c>
      <c r="U251" t="s">
        <v>73</v>
      </c>
      <c r="V251" t="s">
        <v>10</v>
      </c>
      <c r="W251" t="s">
        <v>74</v>
      </c>
      <c r="X251" t="s">
        <v>110</v>
      </c>
      <c r="Y251" t="s">
        <v>28</v>
      </c>
      <c r="Z251">
        <v>0.1</v>
      </c>
      <c r="AA251">
        <f t="shared" si="9"/>
        <v>60540.85</v>
      </c>
      <c r="AB251">
        <f t="shared" si="10"/>
        <v>0.1407654575810621</v>
      </c>
      <c r="AC251">
        <f t="shared" si="11"/>
        <v>0</v>
      </c>
      <c r="AD251">
        <v>2024</v>
      </c>
      <c r="AE251">
        <v>4</v>
      </c>
      <c r="AF251" t="s">
        <v>154</v>
      </c>
      <c r="AG251" t="s">
        <v>157</v>
      </c>
    </row>
    <row r="252" spans="1:33">
      <c r="A252" t="s">
        <v>403</v>
      </c>
      <c r="B252">
        <v>45320</v>
      </c>
      <c r="D252" t="s">
        <v>23</v>
      </c>
      <c r="E252">
        <v>150</v>
      </c>
      <c r="F252">
        <v>1211.44</v>
      </c>
      <c r="G252">
        <v>0.17</v>
      </c>
      <c r="H252">
        <v>181407.08</v>
      </c>
      <c r="I252" t="s">
        <v>1727</v>
      </c>
      <c r="J252">
        <v>1073.72</v>
      </c>
      <c r="K252">
        <v>161058</v>
      </c>
      <c r="L252">
        <v>2191.34</v>
      </c>
      <c r="M252">
        <v>471.64</v>
      </c>
      <c r="N252">
        <v>3865.45</v>
      </c>
      <c r="O252">
        <v>167586.43</v>
      </c>
      <c r="P252">
        <v>20349.080000000002</v>
      </c>
      <c r="Q252">
        <v>13820.65</v>
      </c>
      <c r="R252" t="s">
        <v>65</v>
      </c>
      <c r="S252">
        <v>181407.08</v>
      </c>
      <c r="T252">
        <v>0</v>
      </c>
      <c r="U252" t="s">
        <v>91</v>
      </c>
      <c r="V252" t="s">
        <v>6</v>
      </c>
      <c r="W252" t="s">
        <v>67</v>
      </c>
      <c r="X252" t="s">
        <v>147</v>
      </c>
      <c r="Y252" t="s">
        <v>28</v>
      </c>
      <c r="Z252">
        <v>1.95</v>
      </c>
      <c r="AA252">
        <f t="shared" si="9"/>
        <v>13820.65</v>
      </c>
      <c r="AB252">
        <f t="shared" si="10"/>
        <v>7.6185835745771341E-2</v>
      </c>
      <c r="AC252">
        <f t="shared" si="11"/>
        <v>0</v>
      </c>
      <c r="AD252">
        <v>2024</v>
      </c>
      <c r="AE252">
        <v>1</v>
      </c>
      <c r="AF252" t="s">
        <v>102</v>
      </c>
      <c r="AG252" t="s">
        <v>103</v>
      </c>
    </row>
    <row r="253" spans="1:33">
      <c r="A253" t="s">
        <v>404</v>
      </c>
      <c r="B253">
        <v>45704</v>
      </c>
      <c r="C253">
        <v>45704</v>
      </c>
      <c r="D253" t="s">
        <v>21</v>
      </c>
      <c r="E253">
        <v>300</v>
      </c>
      <c r="F253">
        <v>835.77</v>
      </c>
      <c r="G253">
        <v>2.15</v>
      </c>
      <c r="H253">
        <v>245340.28</v>
      </c>
      <c r="I253" t="s">
        <v>1727</v>
      </c>
      <c r="J253">
        <v>707.25</v>
      </c>
      <c r="K253">
        <v>212175</v>
      </c>
      <c r="L253">
        <v>6250.23</v>
      </c>
      <c r="M253">
        <v>1268.0899999999999</v>
      </c>
      <c r="N253">
        <v>10727.3</v>
      </c>
      <c r="O253">
        <v>230420.62</v>
      </c>
      <c r="P253">
        <v>33165.279999999999</v>
      </c>
      <c r="Q253">
        <v>14919.66</v>
      </c>
      <c r="R253" t="s">
        <v>65</v>
      </c>
      <c r="S253">
        <v>245340.28</v>
      </c>
      <c r="T253">
        <v>0</v>
      </c>
      <c r="U253" t="s">
        <v>66</v>
      </c>
      <c r="V253" t="s">
        <v>12</v>
      </c>
      <c r="W253" t="s">
        <v>92</v>
      </c>
      <c r="X253" t="s">
        <v>193</v>
      </c>
      <c r="Y253" t="s">
        <v>30</v>
      </c>
      <c r="Z253">
        <v>0.38</v>
      </c>
      <c r="AA253">
        <f t="shared" si="9"/>
        <v>14919.66</v>
      </c>
      <c r="AB253">
        <f t="shared" si="10"/>
        <v>6.0812109613635396E-2</v>
      </c>
      <c r="AC253">
        <f t="shared" si="11"/>
        <v>0</v>
      </c>
      <c r="AD253">
        <v>2025</v>
      </c>
      <c r="AE253">
        <v>2</v>
      </c>
      <c r="AF253" t="s">
        <v>172</v>
      </c>
      <c r="AG253" t="s">
        <v>244</v>
      </c>
    </row>
    <row r="254" spans="1:33">
      <c r="A254" t="s">
        <v>405</v>
      </c>
      <c r="B254">
        <v>45649</v>
      </c>
      <c r="C254">
        <v>45660</v>
      </c>
      <c r="D254" t="s">
        <v>21</v>
      </c>
      <c r="E254">
        <v>500</v>
      </c>
      <c r="F254">
        <v>831.66</v>
      </c>
      <c r="G254">
        <v>3.2</v>
      </c>
      <c r="H254">
        <v>402523.44</v>
      </c>
      <c r="I254" t="s">
        <v>1727</v>
      </c>
      <c r="J254">
        <v>709.72</v>
      </c>
      <c r="K254">
        <v>354860</v>
      </c>
      <c r="L254">
        <v>2857.1</v>
      </c>
      <c r="M254">
        <v>1246.77</v>
      </c>
      <c r="N254">
        <v>10784.76</v>
      </c>
      <c r="O254">
        <v>369748.63</v>
      </c>
      <c r="P254">
        <v>47663.44</v>
      </c>
      <c r="Q254">
        <v>32774.81</v>
      </c>
      <c r="R254" t="s">
        <v>65</v>
      </c>
      <c r="S254">
        <v>402523.44</v>
      </c>
      <c r="T254">
        <v>0</v>
      </c>
      <c r="U254" t="s">
        <v>66</v>
      </c>
      <c r="V254" t="s">
        <v>6</v>
      </c>
      <c r="W254" t="s">
        <v>67</v>
      </c>
      <c r="X254" t="s">
        <v>176</v>
      </c>
      <c r="Y254" t="s">
        <v>22</v>
      </c>
      <c r="Z254">
        <v>0.8</v>
      </c>
      <c r="AA254">
        <f t="shared" si="9"/>
        <v>32774.81</v>
      </c>
      <c r="AB254">
        <f t="shared" si="10"/>
        <v>8.142335760620549E-2</v>
      </c>
      <c r="AC254">
        <f t="shared" si="11"/>
        <v>0</v>
      </c>
      <c r="AD254">
        <v>2024</v>
      </c>
      <c r="AE254">
        <v>12</v>
      </c>
      <c r="AF254" t="s">
        <v>98</v>
      </c>
      <c r="AG254" t="s">
        <v>99</v>
      </c>
    </row>
    <row r="255" spans="1:33">
      <c r="A255" t="s">
        <v>406</v>
      </c>
      <c r="B255">
        <v>45809</v>
      </c>
      <c r="C255">
        <v>45816</v>
      </c>
      <c r="D255" t="s">
        <v>21</v>
      </c>
      <c r="E255">
        <v>300</v>
      </c>
      <c r="F255">
        <v>866.99</v>
      </c>
      <c r="G255">
        <v>1.26</v>
      </c>
      <c r="H255">
        <v>256819.78</v>
      </c>
      <c r="I255" t="s">
        <v>1727</v>
      </c>
      <c r="J255">
        <v>731.9</v>
      </c>
      <c r="K255">
        <v>219570</v>
      </c>
      <c r="L255">
        <v>2692.7</v>
      </c>
      <c r="M255">
        <v>520.23</v>
      </c>
      <c r="N255">
        <v>203.94</v>
      </c>
      <c r="O255">
        <v>222986.87</v>
      </c>
      <c r="P255">
        <v>37249.78</v>
      </c>
      <c r="Q255">
        <v>33832.910000000003</v>
      </c>
      <c r="R255" t="s">
        <v>65</v>
      </c>
      <c r="S255">
        <v>256819.78</v>
      </c>
      <c r="T255">
        <v>0</v>
      </c>
      <c r="U255" t="s">
        <v>66</v>
      </c>
      <c r="V255" t="s">
        <v>14</v>
      </c>
      <c r="W255" t="s">
        <v>80</v>
      </c>
      <c r="X255" t="s">
        <v>101</v>
      </c>
      <c r="Y255" t="s">
        <v>22</v>
      </c>
      <c r="Z255">
        <v>0.24</v>
      </c>
      <c r="AA255">
        <f t="shared" si="9"/>
        <v>33832.910000000003</v>
      </c>
      <c r="AB255">
        <f t="shared" si="10"/>
        <v>0.13173794479537365</v>
      </c>
      <c r="AC255">
        <f t="shared" si="11"/>
        <v>0</v>
      </c>
      <c r="AD255">
        <v>2025</v>
      </c>
      <c r="AE255">
        <v>6</v>
      </c>
      <c r="AF255" t="s">
        <v>111</v>
      </c>
      <c r="AG255" t="s">
        <v>112</v>
      </c>
    </row>
    <row r="256" spans="1:33">
      <c r="A256" t="s">
        <v>407</v>
      </c>
      <c r="B256">
        <v>45995</v>
      </c>
      <c r="C256">
        <v>46002</v>
      </c>
      <c r="D256" t="s">
        <v>23</v>
      </c>
      <c r="E256">
        <v>150</v>
      </c>
      <c r="F256">
        <v>1282.69</v>
      </c>
      <c r="G256">
        <v>2.19</v>
      </c>
      <c r="H256">
        <v>188189.86</v>
      </c>
      <c r="I256" t="s">
        <v>1728</v>
      </c>
      <c r="J256">
        <v>971.92</v>
      </c>
      <c r="K256">
        <v>145788</v>
      </c>
      <c r="L256">
        <v>1912.78</v>
      </c>
      <c r="M256">
        <v>383.32</v>
      </c>
      <c r="N256">
        <v>1332.43</v>
      </c>
      <c r="O256">
        <v>149416.53</v>
      </c>
      <c r="P256">
        <v>42401.86</v>
      </c>
      <c r="Q256">
        <v>38773.33</v>
      </c>
      <c r="R256" t="s">
        <v>65</v>
      </c>
      <c r="S256">
        <v>188189.86</v>
      </c>
      <c r="T256">
        <v>0</v>
      </c>
      <c r="U256" t="s">
        <v>66</v>
      </c>
      <c r="V256" t="s">
        <v>10</v>
      </c>
      <c r="W256" t="s">
        <v>92</v>
      </c>
      <c r="X256" t="s">
        <v>115</v>
      </c>
      <c r="Y256" t="s">
        <v>22</v>
      </c>
      <c r="Z256">
        <v>0.85</v>
      </c>
      <c r="AA256">
        <f t="shared" si="9"/>
        <v>38773.33</v>
      </c>
      <c r="AB256">
        <f t="shared" si="10"/>
        <v>0.20603304556366642</v>
      </c>
      <c r="AC256">
        <f t="shared" si="11"/>
        <v>0</v>
      </c>
      <c r="AD256">
        <v>2025</v>
      </c>
      <c r="AE256">
        <v>12</v>
      </c>
      <c r="AF256" t="s">
        <v>98</v>
      </c>
      <c r="AG256" t="s">
        <v>168</v>
      </c>
    </row>
    <row r="257" spans="1:33">
      <c r="A257" t="s">
        <v>408</v>
      </c>
      <c r="B257">
        <v>45574</v>
      </c>
      <c r="C257">
        <v>45587</v>
      </c>
      <c r="D257" t="s">
        <v>25</v>
      </c>
      <c r="E257">
        <v>500</v>
      </c>
      <c r="F257">
        <v>1021.39</v>
      </c>
      <c r="G257">
        <v>3.21</v>
      </c>
      <c r="H257">
        <v>494301.69</v>
      </c>
      <c r="I257" t="s">
        <v>1728</v>
      </c>
      <c r="J257">
        <v>804.35</v>
      </c>
      <c r="K257">
        <v>402175</v>
      </c>
      <c r="L257">
        <v>8330.9</v>
      </c>
      <c r="M257">
        <v>2050.1799999999998</v>
      </c>
      <c r="N257">
        <v>1276.47</v>
      </c>
      <c r="O257">
        <v>413832.55</v>
      </c>
      <c r="P257">
        <v>92126.69</v>
      </c>
      <c r="Q257">
        <v>80469.14</v>
      </c>
      <c r="R257" t="s">
        <v>65</v>
      </c>
      <c r="S257">
        <v>494301.69</v>
      </c>
      <c r="T257">
        <v>0</v>
      </c>
      <c r="U257" t="s">
        <v>66</v>
      </c>
      <c r="V257" t="s">
        <v>8</v>
      </c>
      <c r="W257" t="s">
        <v>92</v>
      </c>
      <c r="X257" t="s">
        <v>97</v>
      </c>
      <c r="Y257" t="s">
        <v>24</v>
      </c>
      <c r="Z257">
        <v>1.18</v>
      </c>
      <c r="AA257">
        <f t="shared" si="9"/>
        <v>80469.14</v>
      </c>
      <c r="AB257">
        <f t="shared" si="10"/>
        <v>0.16279357653015508</v>
      </c>
      <c r="AC257">
        <f t="shared" si="11"/>
        <v>0</v>
      </c>
      <c r="AD257">
        <v>2024</v>
      </c>
      <c r="AE257">
        <v>10</v>
      </c>
      <c r="AF257" t="s">
        <v>138</v>
      </c>
      <c r="AG257" t="s">
        <v>139</v>
      </c>
    </row>
    <row r="258" spans="1:33">
      <c r="A258" t="s">
        <v>409</v>
      </c>
      <c r="B258">
        <v>45775</v>
      </c>
      <c r="C258">
        <v>45787</v>
      </c>
      <c r="D258" t="s">
        <v>21</v>
      </c>
      <c r="E258">
        <v>1200</v>
      </c>
      <c r="F258">
        <v>872.81</v>
      </c>
      <c r="G258">
        <v>3.33</v>
      </c>
      <c r="H258">
        <v>1012494.51</v>
      </c>
      <c r="I258" t="s">
        <v>1727</v>
      </c>
      <c r="J258">
        <v>746.89</v>
      </c>
      <c r="K258">
        <v>896268</v>
      </c>
      <c r="L258">
        <v>20287.04</v>
      </c>
      <c r="M258">
        <v>3964.21</v>
      </c>
      <c r="N258">
        <v>10408.049999999999</v>
      </c>
      <c r="O258">
        <v>930927.3</v>
      </c>
      <c r="P258">
        <v>116226.51</v>
      </c>
      <c r="Q258">
        <v>81567.210000000006</v>
      </c>
      <c r="R258" t="s">
        <v>65</v>
      </c>
      <c r="S258">
        <v>1012494.51</v>
      </c>
      <c r="T258">
        <v>0</v>
      </c>
      <c r="U258" t="s">
        <v>66</v>
      </c>
      <c r="V258" t="s">
        <v>12</v>
      </c>
      <c r="W258" t="s">
        <v>67</v>
      </c>
      <c r="X258" t="s">
        <v>275</v>
      </c>
      <c r="Y258" t="s">
        <v>31</v>
      </c>
      <c r="Z258">
        <v>0.84</v>
      </c>
      <c r="AA258">
        <f t="shared" ref="AA258:AA321" si="12">ROUND(H258-O258,2)</f>
        <v>81567.210000000006</v>
      </c>
      <c r="AB258">
        <f t="shared" ref="AB258:AB321" si="13">AA258/H258</f>
        <v>8.0560644225122768E-2</v>
      </c>
      <c r="AC258">
        <f t="shared" ref="AC258:AC321" si="14">ROUND(AA258-Q258,2)</f>
        <v>0</v>
      </c>
      <c r="AD258">
        <v>2025</v>
      </c>
      <c r="AE258">
        <v>4</v>
      </c>
      <c r="AF258" t="s">
        <v>154</v>
      </c>
      <c r="AG258" t="s">
        <v>155</v>
      </c>
    </row>
    <row r="259" spans="1:33">
      <c r="A259" t="s">
        <v>410</v>
      </c>
      <c r="B259">
        <v>45942</v>
      </c>
      <c r="C259">
        <v>45946</v>
      </c>
      <c r="D259" t="s">
        <v>21</v>
      </c>
      <c r="E259">
        <v>200</v>
      </c>
      <c r="F259">
        <v>943.37</v>
      </c>
      <c r="G259">
        <v>2.13</v>
      </c>
      <c r="H259">
        <v>184655.24</v>
      </c>
      <c r="I259" t="s">
        <v>1727</v>
      </c>
      <c r="J259">
        <v>712.21</v>
      </c>
      <c r="K259">
        <v>142442</v>
      </c>
      <c r="L259">
        <v>4372.1899999999996</v>
      </c>
      <c r="M259">
        <v>1138.3900000000001</v>
      </c>
      <c r="N259">
        <v>2456.38</v>
      </c>
      <c r="O259">
        <v>150408.95999999999</v>
      </c>
      <c r="P259">
        <v>42213.24</v>
      </c>
      <c r="Q259">
        <v>34246.28</v>
      </c>
      <c r="R259" t="s">
        <v>65</v>
      </c>
      <c r="S259">
        <v>184655.24</v>
      </c>
      <c r="T259">
        <v>0</v>
      </c>
      <c r="U259" t="s">
        <v>66</v>
      </c>
      <c r="V259" t="s">
        <v>8</v>
      </c>
      <c r="W259" t="s">
        <v>74</v>
      </c>
      <c r="X259" t="s">
        <v>110</v>
      </c>
      <c r="Y259" t="s">
        <v>28</v>
      </c>
      <c r="Z259">
        <v>2.2799999999999998</v>
      </c>
      <c r="AA259">
        <f t="shared" si="12"/>
        <v>34246.28</v>
      </c>
      <c r="AB259">
        <f t="shared" si="13"/>
        <v>0.1854606454709869</v>
      </c>
      <c r="AC259">
        <f t="shared" si="14"/>
        <v>0</v>
      </c>
      <c r="AD259">
        <v>2025</v>
      </c>
      <c r="AE259">
        <v>10</v>
      </c>
      <c r="AF259" t="s">
        <v>138</v>
      </c>
      <c r="AG259" t="s">
        <v>160</v>
      </c>
    </row>
    <row r="260" spans="1:33">
      <c r="A260" t="s">
        <v>411</v>
      </c>
      <c r="B260">
        <v>45456</v>
      </c>
      <c r="C260">
        <v>45470</v>
      </c>
      <c r="D260" t="s">
        <v>21</v>
      </c>
      <c r="E260">
        <v>200</v>
      </c>
      <c r="F260">
        <v>832.88</v>
      </c>
      <c r="G260">
        <v>1.66</v>
      </c>
      <c r="H260">
        <v>163810.84</v>
      </c>
      <c r="I260" t="s">
        <v>1728</v>
      </c>
      <c r="J260">
        <v>697.56</v>
      </c>
      <c r="K260">
        <v>139512</v>
      </c>
      <c r="L260">
        <v>3452.3</v>
      </c>
      <c r="M260">
        <v>568.92999999999995</v>
      </c>
      <c r="N260">
        <v>6331.22</v>
      </c>
      <c r="O260">
        <v>149864.45000000001</v>
      </c>
      <c r="P260">
        <v>24298.84</v>
      </c>
      <c r="Q260">
        <v>13946.39</v>
      </c>
      <c r="R260" t="s">
        <v>65</v>
      </c>
      <c r="S260">
        <v>163810.84</v>
      </c>
      <c r="T260">
        <v>0</v>
      </c>
      <c r="U260" t="s">
        <v>66</v>
      </c>
      <c r="V260" t="s">
        <v>10</v>
      </c>
      <c r="W260" t="s">
        <v>74</v>
      </c>
      <c r="X260" t="s">
        <v>115</v>
      </c>
      <c r="Y260" t="s">
        <v>22</v>
      </c>
      <c r="Z260">
        <v>1.79</v>
      </c>
      <c r="AA260">
        <f t="shared" si="12"/>
        <v>13946.39</v>
      </c>
      <c r="AB260">
        <f t="shared" si="13"/>
        <v>8.5137161863036659E-2</v>
      </c>
      <c r="AC260">
        <f t="shared" si="14"/>
        <v>0</v>
      </c>
      <c r="AD260">
        <v>2024</v>
      </c>
      <c r="AE260">
        <v>6</v>
      </c>
      <c r="AF260" t="s">
        <v>111</v>
      </c>
      <c r="AG260" t="s">
        <v>148</v>
      </c>
    </row>
    <row r="261" spans="1:33">
      <c r="A261" t="s">
        <v>412</v>
      </c>
      <c r="B261">
        <v>45809</v>
      </c>
      <c r="D261" t="s">
        <v>23</v>
      </c>
      <c r="E261">
        <v>300</v>
      </c>
      <c r="F261">
        <v>1180.51</v>
      </c>
      <c r="G261">
        <v>2.2999999999999998</v>
      </c>
      <c r="H261">
        <v>346007.48</v>
      </c>
      <c r="I261" t="s">
        <v>1728</v>
      </c>
      <c r="J261">
        <v>1031.44</v>
      </c>
      <c r="K261">
        <v>309432</v>
      </c>
      <c r="L261">
        <v>5170.2</v>
      </c>
      <c r="M261">
        <v>1236.02</v>
      </c>
      <c r="N261">
        <v>11306.29</v>
      </c>
      <c r="O261">
        <v>327144.51</v>
      </c>
      <c r="P261">
        <v>36575.480000000003</v>
      </c>
      <c r="Q261">
        <v>18862.97</v>
      </c>
      <c r="R261" t="s">
        <v>65</v>
      </c>
      <c r="S261">
        <v>346007.48</v>
      </c>
      <c r="T261">
        <v>0</v>
      </c>
      <c r="U261" t="s">
        <v>91</v>
      </c>
      <c r="V261" t="s">
        <v>6</v>
      </c>
      <c r="W261" t="s">
        <v>74</v>
      </c>
      <c r="X261" t="s">
        <v>123</v>
      </c>
      <c r="Y261" t="s">
        <v>22</v>
      </c>
      <c r="Z261">
        <v>1.94</v>
      </c>
      <c r="AA261">
        <f t="shared" si="12"/>
        <v>18862.97</v>
      </c>
      <c r="AB261">
        <f t="shared" si="13"/>
        <v>5.4516075779633438E-2</v>
      </c>
      <c r="AC261">
        <f t="shared" si="14"/>
        <v>0</v>
      </c>
      <c r="AD261">
        <v>2025</v>
      </c>
      <c r="AE261">
        <v>6</v>
      </c>
      <c r="AF261" t="s">
        <v>111</v>
      </c>
      <c r="AG261" t="s">
        <v>112</v>
      </c>
    </row>
    <row r="262" spans="1:33">
      <c r="A262" t="s">
        <v>413</v>
      </c>
      <c r="B262">
        <v>45403</v>
      </c>
      <c r="C262">
        <v>45417</v>
      </c>
      <c r="D262" t="s">
        <v>27</v>
      </c>
      <c r="E262">
        <v>500</v>
      </c>
      <c r="F262">
        <v>751.06</v>
      </c>
      <c r="G262">
        <v>3.68</v>
      </c>
      <c r="H262">
        <v>361710.5</v>
      </c>
      <c r="I262" t="s">
        <v>1727</v>
      </c>
      <c r="J262">
        <v>533.26</v>
      </c>
      <c r="K262">
        <v>266630</v>
      </c>
      <c r="L262">
        <v>8500.58</v>
      </c>
      <c r="M262">
        <v>1078.1500000000001</v>
      </c>
      <c r="N262">
        <v>7665.59</v>
      </c>
      <c r="O262">
        <v>283874.32</v>
      </c>
      <c r="P262">
        <v>95080.5</v>
      </c>
      <c r="Q262">
        <v>77836.179999999993</v>
      </c>
      <c r="R262" t="s">
        <v>65</v>
      </c>
      <c r="S262">
        <v>361710.5</v>
      </c>
      <c r="T262">
        <v>0</v>
      </c>
      <c r="U262" t="s">
        <v>66</v>
      </c>
      <c r="V262" t="s">
        <v>6</v>
      </c>
      <c r="W262" t="s">
        <v>92</v>
      </c>
      <c r="X262" t="s">
        <v>108</v>
      </c>
      <c r="Y262" t="s">
        <v>22</v>
      </c>
      <c r="Z262">
        <v>2.2400000000000002</v>
      </c>
      <c r="AA262">
        <f t="shared" si="12"/>
        <v>77836.179999999993</v>
      </c>
      <c r="AB262">
        <f t="shared" si="13"/>
        <v>0.21518916370965177</v>
      </c>
      <c r="AC262">
        <f t="shared" si="14"/>
        <v>0</v>
      </c>
      <c r="AD262">
        <v>2024</v>
      </c>
      <c r="AE262">
        <v>4</v>
      </c>
      <c r="AF262" t="s">
        <v>154</v>
      </c>
      <c r="AG262" t="s">
        <v>157</v>
      </c>
    </row>
    <row r="263" spans="1:33">
      <c r="A263" t="s">
        <v>414</v>
      </c>
      <c r="B263">
        <v>46012</v>
      </c>
      <c r="C263">
        <v>46013</v>
      </c>
      <c r="D263" t="s">
        <v>21</v>
      </c>
      <c r="E263">
        <v>150</v>
      </c>
      <c r="F263">
        <v>930.77</v>
      </c>
      <c r="G263">
        <v>2.0099999999999998</v>
      </c>
      <c r="H263">
        <v>136809.23000000001</v>
      </c>
      <c r="I263" t="s">
        <v>1727</v>
      </c>
      <c r="J263">
        <v>660.95</v>
      </c>
      <c r="K263">
        <v>99142.5</v>
      </c>
      <c r="L263">
        <v>1379.23</v>
      </c>
      <c r="M263">
        <v>264.39</v>
      </c>
      <c r="N263">
        <v>9231.67</v>
      </c>
      <c r="O263">
        <v>110017.79</v>
      </c>
      <c r="P263">
        <v>37666.730000000003</v>
      </c>
      <c r="Q263">
        <v>26791.439999999999</v>
      </c>
      <c r="R263" t="s">
        <v>65</v>
      </c>
      <c r="S263">
        <v>136809.23000000001</v>
      </c>
      <c r="T263">
        <v>0</v>
      </c>
      <c r="U263" t="s">
        <v>66</v>
      </c>
      <c r="V263" t="s">
        <v>6</v>
      </c>
      <c r="W263" t="s">
        <v>74</v>
      </c>
      <c r="X263" t="s">
        <v>150</v>
      </c>
      <c r="Y263" t="s">
        <v>30</v>
      </c>
      <c r="Z263">
        <v>0.28000000000000003</v>
      </c>
      <c r="AA263">
        <f t="shared" si="12"/>
        <v>26791.439999999999</v>
      </c>
      <c r="AB263">
        <f t="shared" si="13"/>
        <v>0.19583064680650564</v>
      </c>
      <c r="AC263">
        <f t="shared" si="14"/>
        <v>0</v>
      </c>
      <c r="AD263">
        <v>2025</v>
      </c>
      <c r="AE263">
        <v>12</v>
      </c>
      <c r="AF263" t="s">
        <v>98</v>
      </c>
      <c r="AG263" t="s">
        <v>168</v>
      </c>
    </row>
    <row r="264" spans="1:33">
      <c r="A264" t="s">
        <v>415</v>
      </c>
      <c r="B264">
        <v>45986</v>
      </c>
      <c r="C264">
        <v>45999</v>
      </c>
      <c r="D264" t="s">
        <v>21</v>
      </c>
      <c r="E264">
        <v>500</v>
      </c>
      <c r="F264">
        <v>874.99</v>
      </c>
      <c r="G264">
        <v>4.01</v>
      </c>
      <c r="H264">
        <v>419951.45</v>
      </c>
      <c r="I264" t="s">
        <v>1727</v>
      </c>
      <c r="J264">
        <v>690.52</v>
      </c>
      <c r="K264">
        <v>345260</v>
      </c>
      <c r="L264">
        <v>6325.08</v>
      </c>
      <c r="M264">
        <v>2745.73</v>
      </c>
      <c r="N264">
        <v>2718.85</v>
      </c>
      <c r="O264">
        <v>357049.66</v>
      </c>
      <c r="P264">
        <v>74691.45</v>
      </c>
      <c r="Q264">
        <v>62901.79</v>
      </c>
      <c r="R264" t="s">
        <v>65</v>
      </c>
      <c r="S264">
        <v>419951.45</v>
      </c>
      <c r="T264">
        <v>0</v>
      </c>
      <c r="U264" t="s">
        <v>73</v>
      </c>
      <c r="V264" t="s">
        <v>12</v>
      </c>
      <c r="W264" t="s">
        <v>74</v>
      </c>
      <c r="X264" t="s">
        <v>230</v>
      </c>
      <c r="Y264" t="s">
        <v>31</v>
      </c>
      <c r="Z264">
        <v>0.51</v>
      </c>
      <c r="AA264">
        <f t="shared" si="12"/>
        <v>62901.79</v>
      </c>
      <c r="AB264">
        <f t="shared" si="13"/>
        <v>0.14978348092380678</v>
      </c>
      <c r="AC264">
        <f t="shared" si="14"/>
        <v>0</v>
      </c>
      <c r="AD264">
        <v>2025</v>
      </c>
      <c r="AE264">
        <v>11</v>
      </c>
      <c r="AF264" t="s">
        <v>128</v>
      </c>
      <c r="AG264" t="s">
        <v>135</v>
      </c>
    </row>
    <row r="265" spans="1:33">
      <c r="A265" t="s">
        <v>416</v>
      </c>
      <c r="B265">
        <v>45301</v>
      </c>
      <c r="C265">
        <v>45302</v>
      </c>
      <c r="D265" t="s">
        <v>21</v>
      </c>
      <c r="E265">
        <v>750</v>
      </c>
      <c r="F265">
        <v>819.59</v>
      </c>
      <c r="G265">
        <v>3.61</v>
      </c>
      <c r="H265">
        <v>592502.1</v>
      </c>
      <c r="I265" t="s">
        <v>1726</v>
      </c>
      <c r="J265">
        <v>666.07</v>
      </c>
      <c r="K265">
        <v>499552.5</v>
      </c>
      <c r="L265">
        <v>11663.19</v>
      </c>
      <c r="M265">
        <v>4449.05</v>
      </c>
      <c r="N265">
        <v>5906.72</v>
      </c>
      <c r="O265">
        <v>521571.46</v>
      </c>
      <c r="P265">
        <v>92949.6</v>
      </c>
      <c r="Q265">
        <v>70930.64</v>
      </c>
      <c r="R265" t="s">
        <v>65</v>
      </c>
      <c r="S265">
        <v>592502.1</v>
      </c>
      <c r="T265">
        <v>0</v>
      </c>
      <c r="U265" t="s">
        <v>66</v>
      </c>
      <c r="V265" t="s">
        <v>10</v>
      </c>
      <c r="W265" t="s">
        <v>74</v>
      </c>
      <c r="X265" t="s">
        <v>127</v>
      </c>
      <c r="Y265" t="s">
        <v>22</v>
      </c>
      <c r="Z265">
        <v>1.1499999999999999</v>
      </c>
      <c r="AA265">
        <f t="shared" si="12"/>
        <v>70930.64</v>
      </c>
      <c r="AB265">
        <f t="shared" si="13"/>
        <v>0.11971373603570351</v>
      </c>
      <c r="AC265">
        <f t="shared" si="14"/>
        <v>0</v>
      </c>
      <c r="AD265">
        <v>2024</v>
      </c>
      <c r="AE265">
        <v>1</v>
      </c>
      <c r="AF265" t="s">
        <v>102</v>
      </c>
      <c r="AG265" t="s">
        <v>103</v>
      </c>
    </row>
    <row r="266" spans="1:33">
      <c r="A266" t="s">
        <v>417</v>
      </c>
      <c r="B266">
        <v>45912</v>
      </c>
      <c r="C266">
        <v>45919</v>
      </c>
      <c r="D266" t="s">
        <v>27</v>
      </c>
      <c r="E266">
        <v>200</v>
      </c>
      <c r="F266">
        <v>757.04</v>
      </c>
      <c r="G266">
        <v>1.0900000000000001</v>
      </c>
      <c r="H266">
        <v>149757.65</v>
      </c>
      <c r="I266" t="s">
        <v>1726</v>
      </c>
      <c r="J266">
        <v>585.77</v>
      </c>
      <c r="K266">
        <v>117154</v>
      </c>
      <c r="L266">
        <v>3158.78</v>
      </c>
      <c r="M266">
        <v>416.7</v>
      </c>
      <c r="N266">
        <v>8116.11</v>
      </c>
      <c r="O266">
        <v>128845.59</v>
      </c>
      <c r="P266">
        <v>32603.65</v>
      </c>
      <c r="Q266">
        <v>20912.060000000001</v>
      </c>
      <c r="R266" t="s">
        <v>65</v>
      </c>
      <c r="S266">
        <v>149757.65</v>
      </c>
      <c r="T266">
        <v>0</v>
      </c>
      <c r="U266" t="s">
        <v>66</v>
      </c>
      <c r="V266" t="s">
        <v>16</v>
      </c>
      <c r="W266" t="s">
        <v>141</v>
      </c>
      <c r="X266" t="s">
        <v>81</v>
      </c>
      <c r="Y266" t="s">
        <v>24</v>
      </c>
      <c r="Z266">
        <v>1.99</v>
      </c>
      <c r="AA266">
        <f t="shared" si="12"/>
        <v>20912.060000000001</v>
      </c>
      <c r="AB266">
        <f t="shared" si="13"/>
        <v>0.13963934396673561</v>
      </c>
      <c r="AC266">
        <f t="shared" si="14"/>
        <v>0</v>
      </c>
      <c r="AD266">
        <v>2025</v>
      </c>
      <c r="AE266">
        <v>9</v>
      </c>
      <c r="AF266" t="s">
        <v>131</v>
      </c>
      <c r="AG266" t="s">
        <v>132</v>
      </c>
    </row>
    <row r="267" spans="1:33">
      <c r="A267" t="s">
        <v>418</v>
      </c>
      <c r="B267">
        <v>45880</v>
      </c>
      <c r="C267">
        <v>45882</v>
      </c>
      <c r="D267" t="s">
        <v>23</v>
      </c>
      <c r="E267">
        <v>500</v>
      </c>
      <c r="F267">
        <v>1212.4000000000001</v>
      </c>
      <c r="G267">
        <v>2.27</v>
      </c>
      <c r="H267">
        <v>592439.26</v>
      </c>
      <c r="I267" t="s">
        <v>1727</v>
      </c>
      <c r="J267">
        <v>1103.6500000000001</v>
      </c>
      <c r="K267">
        <v>551825</v>
      </c>
      <c r="L267">
        <v>4780.05</v>
      </c>
      <c r="M267">
        <v>1114.5999999999999</v>
      </c>
      <c r="N267">
        <v>6807.75</v>
      </c>
      <c r="O267">
        <v>564527.4</v>
      </c>
      <c r="P267">
        <v>40614.26</v>
      </c>
      <c r="Q267">
        <v>27911.86</v>
      </c>
      <c r="R267" t="s">
        <v>85</v>
      </c>
      <c r="S267">
        <v>440719.46</v>
      </c>
      <c r="T267">
        <v>151719.79999999999</v>
      </c>
      <c r="U267" t="s">
        <v>66</v>
      </c>
      <c r="V267" t="s">
        <v>14</v>
      </c>
      <c r="W267" t="s">
        <v>141</v>
      </c>
      <c r="X267" t="s">
        <v>195</v>
      </c>
      <c r="Y267" t="s">
        <v>26</v>
      </c>
      <c r="Z267">
        <v>0.59</v>
      </c>
      <c r="AA267">
        <f t="shared" si="12"/>
        <v>27911.86</v>
      </c>
      <c r="AB267">
        <f t="shared" si="13"/>
        <v>4.7113454297407639E-2</v>
      </c>
      <c r="AC267">
        <f t="shared" si="14"/>
        <v>0</v>
      </c>
      <c r="AD267">
        <v>2025</v>
      </c>
      <c r="AE267">
        <v>8</v>
      </c>
      <c r="AF267" t="s">
        <v>82</v>
      </c>
      <c r="AG267" t="s">
        <v>87</v>
      </c>
    </row>
    <row r="268" spans="1:33">
      <c r="A268" t="s">
        <v>419</v>
      </c>
      <c r="B268">
        <v>45960</v>
      </c>
      <c r="C268">
        <v>45969</v>
      </c>
      <c r="D268" t="s">
        <v>23</v>
      </c>
      <c r="E268">
        <v>50</v>
      </c>
      <c r="F268">
        <v>1362.32</v>
      </c>
      <c r="G268">
        <v>1.68</v>
      </c>
      <c r="H268">
        <v>66971.649999999994</v>
      </c>
      <c r="I268" t="s">
        <v>1727</v>
      </c>
      <c r="J268">
        <v>1052.78</v>
      </c>
      <c r="K268">
        <v>52639</v>
      </c>
      <c r="L268">
        <v>361.57</v>
      </c>
      <c r="M268">
        <v>254.02</v>
      </c>
      <c r="N268">
        <v>10065.25</v>
      </c>
      <c r="O268">
        <v>63319.839999999997</v>
      </c>
      <c r="P268">
        <v>14332.65</v>
      </c>
      <c r="Q268">
        <v>3651.81</v>
      </c>
      <c r="R268" t="s">
        <v>65</v>
      </c>
      <c r="S268">
        <v>66971.649999999994</v>
      </c>
      <c r="T268">
        <v>0</v>
      </c>
      <c r="U268" t="s">
        <v>73</v>
      </c>
      <c r="V268" t="s">
        <v>6</v>
      </c>
      <c r="W268" t="s">
        <v>92</v>
      </c>
      <c r="X268" t="s">
        <v>101</v>
      </c>
      <c r="Y268" t="s">
        <v>22</v>
      </c>
      <c r="Z268">
        <v>0.1</v>
      </c>
      <c r="AA268">
        <f t="shared" si="12"/>
        <v>3651.81</v>
      </c>
      <c r="AB268">
        <f t="shared" si="13"/>
        <v>5.4527699407137205E-2</v>
      </c>
      <c r="AC268">
        <f t="shared" si="14"/>
        <v>0</v>
      </c>
      <c r="AD268">
        <v>2025</v>
      </c>
      <c r="AE268">
        <v>10</v>
      </c>
      <c r="AF268" t="s">
        <v>138</v>
      </c>
      <c r="AG268" t="s">
        <v>160</v>
      </c>
    </row>
    <row r="269" spans="1:33">
      <c r="A269" t="s">
        <v>420</v>
      </c>
      <c r="B269">
        <v>45551</v>
      </c>
      <c r="C269">
        <v>45558</v>
      </c>
      <c r="D269" t="s">
        <v>21</v>
      </c>
      <c r="E269">
        <v>50</v>
      </c>
      <c r="F269">
        <v>891.16</v>
      </c>
      <c r="G269">
        <v>1.2</v>
      </c>
      <c r="H269">
        <v>44023.3</v>
      </c>
      <c r="I269" t="s">
        <v>1728</v>
      </c>
      <c r="J269">
        <v>724.03</v>
      </c>
      <c r="K269">
        <v>36201.5</v>
      </c>
      <c r="L269">
        <v>866.7</v>
      </c>
      <c r="M269">
        <v>238.41</v>
      </c>
      <c r="N269">
        <v>7618.05</v>
      </c>
      <c r="O269">
        <v>44924.66</v>
      </c>
      <c r="P269">
        <v>7821.8</v>
      </c>
      <c r="Q269">
        <v>-901.36</v>
      </c>
      <c r="R269" t="s">
        <v>65</v>
      </c>
      <c r="S269">
        <v>44023.3</v>
      </c>
      <c r="T269">
        <v>0</v>
      </c>
      <c r="U269" t="s">
        <v>73</v>
      </c>
      <c r="V269" t="s">
        <v>6</v>
      </c>
      <c r="W269" t="s">
        <v>80</v>
      </c>
      <c r="X269" t="s">
        <v>230</v>
      </c>
      <c r="Y269" t="s">
        <v>31</v>
      </c>
      <c r="Z269">
        <v>0.24</v>
      </c>
      <c r="AA269">
        <f t="shared" si="12"/>
        <v>-901.36</v>
      </c>
      <c r="AB269">
        <f t="shared" si="13"/>
        <v>-2.0474612307573487E-2</v>
      </c>
      <c r="AC269">
        <f t="shared" si="14"/>
        <v>0</v>
      </c>
      <c r="AD269">
        <v>2024</v>
      </c>
      <c r="AE269">
        <v>9</v>
      </c>
      <c r="AF269" t="s">
        <v>131</v>
      </c>
      <c r="AG269" t="s">
        <v>188</v>
      </c>
    </row>
    <row r="270" spans="1:33">
      <c r="A270" t="s">
        <v>421</v>
      </c>
      <c r="B270">
        <v>45720</v>
      </c>
      <c r="C270">
        <v>45730</v>
      </c>
      <c r="D270" t="s">
        <v>21</v>
      </c>
      <c r="E270">
        <v>750</v>
      </c>
      <c r="F270">
        <v>855.21</v>
      </c>
      <c r="G270">
        <v>2.81</v>
      </c>
      <c r="H270">
        <v>623383.94999999995</v>
      </c>
      <c r="I270" t="s">
        <v>1728</v>
      </c>
      <c r="J270">
        <v>663.08</v>
      </c>
      <c r="K270">
        <v>497310</v>
      </c>
      <c r="L270">
        <v>14849.84</v>
      </c>
      <c r="M270">
        <v>3294.84</v>
      </c>
      <c r="N270">
        <v>11496.2</v>
      </c>
      <c r="O270">
        <v>526950.88</v>
      </c>
      <c r="P270">
        <v>126073.95</v>
      </c>
      <c r="Q270">
        <v>96433.07</v>
      </c>
      <c r="R270" t="s">
        <v>85</v>
      </c>
      <c r="S270">
        <v>511560.72</v>
      </c>
      <c r="T270">
        <v>111823.23</v>
      </c>
      <c r="U270" t="s">
        <v>66</v>
      </c>
      <c r="V270" t="s">
        <v>8</v>
      </c>
      <c r="W270" t="s">
        <v>67</v>
      </c>
      <c r="X270" t="s">
        <v>89</v>
      </c>
      <c r="Y270" t="s">
        <v>28</v>
      </c>
      <c r="Z270">
        <v>2.0699999999999998</v>
      </c>
      <c r="AA270">
        <f t="shared" si="12"/>
        <v>96433.07</v>
      </c>
      <c r="AB270">
        <f t="shared" si="13"/>
        <v>0.15469289833336264</v>
      </c>
      <c r="AC270">
        <f t="shared" si="14"/>
        <v>0</v>
      </c>
      <c r="AD270">
        <v>2025</v>
      </c>
      <c r="AE270">
        <v>3</v>
      </c>
      <c r="AF270" t="s">
        <v>105</v>
      </c>
      <c r="AG270" t="s">
        <v>106</v>
      </c>
    </row>
    <row r="271" spans="1:33">
      <c r="A271" t="s">
        <v>422</v>
      </c>
      <c r="B271">
        <v>45455</v>
      </c>
      <c r="C271">
        <v>45460</v>
      </c>
      <c r="D271" t="s">
        <v>25</v>
      </c>
      <c r="E271">
        <v>1000</v>
      </c>
      <c r="F271">
        <v>970.95</v>
      </c>
      <c r="G271">
        <v>2.93</v>
      </c>
      <c r="H271">
        <v>942501.16</v>
      </c>
      <c r="I271" t="s">
        <v>1727</v>
      </c>
      <c r="J271">
        <v>823.74</v>
      </c>
      <c r="K271">
        <v>823740</v>
      </c>
      <c r="L271">
        <v>12818.21</v>
      </c>
      <c r="M271">
        <v>4952.6000000000004</v>
      </c>
      <c r="N271">
        <v>11446.36</v>
      </c>
      <c r="O271">
        <v>852957.17</v>
      </c>
      <c r="P271">
        <v>118761.16</v>
      </c>
      <c r="Q271">
        <v>89543.99</v>
      </c>
      <c r="R271" t="s">
        <v>85</v>
      </c>
      <c r="S271">
        <v>662605.47</v>
      </c>
      <c r="T271">
        <v>279895.69</v>
      </c>
      <c r="U271" t="s">
        <v>73</v>
      </c>
      <c r="V271" t="s">
        <v>10</v>
      </c>
      <c r="W271" t="s">
        <v>80</v>
      </c>
      <c r="X271" t="s">
        <v>115</v>
      </c>
      <c r="Y271" t="s">
        <v>22</v>
      </c>
      <c r="Z271">
        <v>1.98</v>
      </c>
      <c r="AA271">
        <f t="shared" si="12"/>
        <v>89543.99</v>
      </c>
      <c r="AB271">
        <f t="shared" si="13"/>
        <v>9.5006769010236553E-2</v>
      </c>
      <c r="AC271">
        <f t="shared" si="14"/>
        <v>0</v>
      </c>
      <c r="AD271">
        <v>2024</v>
      </c>
      <c r="AE271">
        <v>6</v>
      </c>
      <c r="AF271" t="s">
        <v>111</v>
      </c>
      <c r="AG271" t="s">
        <v>148</v>
      </c>
    </row>
    <row r="272" spans="1:33">
      <c r="A272" t="s">
        <v>423</v>
      </c>
      <c r="B272">
        <v>45548</v>
      </c>
      <c r="C272">
        <v>45548</v>
      </c>
      <c r="D272" t="s">
        <v>21</v>
      </c>
      <c r="E272">
        <v>150</v>
      </c>
      <c r="F272">
        <v>880.62</v>
      </c>
      <c r="G272">
        <v>2.34</v>
      </c>
      <c r="H272">
        <v>129002.02</v>
      </c>
      <c r="I272" t="s">
        <v>1728</v>
      </c>
      <c r="J272">
        <v>705.22</v>
      </c>
      <c r="K272">
        <v>105783</v>
      </c>
      <c r="L272">
        <v>1701.88</v>
      </c>
      <c r="M272">
        <v>799.77</v>
      </c>
      <c r="N272">
        <v>3214.4</v>
      </c>
      <c r="O272">
        <v>111499.05</v>
      </c>
      <c r="P272">
        <v>23219.02</v>
      </c>
      <c r="Q272">
        <v>17502.97</v>
      </c>
      <c r="R272" t="s">
        <v>65</v>
      </c>
      <c r="S272">
        <v>129002.02</v>
      </c>
      <c r="T272">
        <v>0</v>
      </c>
      <c r="U272" t="s">
        <v>66</v>
      </c>
      <c r="V272" t="s">
        <v>10</v>
      </c>
      <c r="W272" t="s">
        <v>67</v>
      </c>
      <c r="X272" t="s">
        <v>115</v>
      </c>
      <c r="Y272" t="s">
        <v>22</v>
      </c>
      <c r="Z272">
        <v>2.4300000000000002</v>
      </c>
      <c r="AA272">
        <f t="shared" si="12"/>
        <v>17502.97</v>
      </c>
      <c r="AB272">
        <f t="shared" si="13"/>
        <v>0.1356798133858679</v>
      </c>
      <c r="AC272">
        <f t="shared" si="14"/>
        <v>0</v>
      </c>
      <c r="AD272">
        <v>2024</v>
      </c>
      <c r="AE272">
        <v>9</v>
      </c>
      <c r="AF272" t="s">
        <v>131</v>
      </c>
      <c r="AG272" t="s">
        <v>188</v>
      </c>
    </row>
    <row r="273" spans="1:33">
      <c r="A273" t="s">
        <v>424</v>
      </c>
      <c r="B273">
        <v>45772</v>
      </c>
      <c r="C273">
        <v>45779</v>
      </c>
      <c r="D273" t="s">
        <v>23</v>
      </c>
      <c r="E273">
        <v>50</v>
      </c>
      <c r="F273">
        <v>1307.3900000000001</v>
      </c>
      <c r="G273">
        <v>1.69</v>
      </c>
      <c r="H273">
        <v>64264.76</v>
      </c>
      <c r="I273" t="s">
        <v>1729</v>
      </c>
      <c r="J273">
        <v>1075.92</v>
      </c>
      <c r="K273">
        <v>53796</v>
      </c>
      <c r="L273">
        <v>1184.3800000000001</v>
      </c>
      <c r="M273">
        <v>170.34</v>
      </c>
      <c r="N273">
        <v>7548.61</v>
      </c>
      <c r="O273">
        <v>62699.33</v>
      </c>
      <c r="P273">
        <v>10468.76</v>
      </c>
      <c r="Q273">
        <v>1565.43</v>
      </c>
      <c r="R273" t="s">
        <v>65</v>
      </c>
      <c r="S273">
        <v>64264.76</v>
      </c>
      <c r="T273">
        <v>0</v>
      </c>
      <c r="U273" t="s">
        <v>66</v>
      </c>
      <c r="V273" t="s">
        <v>8</v>
      </c>
      <c r="W273" t="s">
        <v>74</v>
      </c>
      <c r="X273" t="s">
        <v>164</v>
      </c>
      <c r="Y273" t="s">
        <v>24</v>
      </c>
      <c r="Z273">
        <v>0.32</v>
      </c>
      <c r="AA273">
        <f t="shared" si="12"/>
        <v>1565.43</v>
      </c>
      <c r="AB273">
        <f t="shared" si="13"/>
        <v>2.4359073308606458E-2</v>
      </c>
      <c r="AC273">
        <f t="shared" si="14"/>
        <v>0</v>
      </c>
      <c r="AD273">
        <v>2025</v>
      </c>
      <c r="AE273">
        <v>4</v>
      </c>
      <c r="AF273" t="s">
        <v>154</v>
      </c>
      <c r="AG273" t="s">
        <v>155</v>
      </c>
    </row>
    <row r="274" spans="1:33">
      <c r="A274" t="s">
        <v>425</v>
      </c>
      <c r="B274">
        <v>45622</v>
      </c>
      <c r="C274">
        <v>45635</v>
      </c>
      <c r="D274" t="s">
        <v>21</v>
      </c>
      <c r="E274">
        <v>100</v>
      </c>
      <c r="F274">
        <v>941.56</v>
      </c>
      <c r="G274">
        <v>1.39</v>
      </c>
      <c r="H274">
        <v>92847.23</v>
      </c>
      <c r="I274" t="s">
        <v>1726</v>
      </c>
      <c r="J274">
        <v>670.86</v>
      </c>
      <c r="K274">
        <v>67086</v>
      </c>
      <c r="L274">
        <v>1626.83</v>
      </c>
      <c r="M274">
        <v>459.15</v>
      </c>
      <c r="N274">
        <v>11556.5</v>
      </c>
      <c r="O274">
        <v>80728.479999999996</v>
      </c>
      <c r="P274">
        <v>25761.23</v>
      </c>
      <c r="Q274">
        <v>12118.75</v>
      </c>
      <c r="R274" t="s">
        <v>134</v>
      </c>
      <c r="S274">
        <v>0</v>
      </c>
      <c r="T274">
        <v>92847.23</v>
      </c>
      <c r="U274" t="s">
        <v>66</v>
      </c>
      <c r="V274" t="s">
        <v>14</v>
      </c>
      <c r="W274" t="s">
        <v>92</v>
      </c>
      <c r="X274" t="s">
        <v>375</v>
      </c>
      <c r="Y274" t="s">
        <v>30</v>
      </c>
      <c r="Z274">
        <v>0.8</v>
      </c>
      <c r="AA274">
        <f t="shared" si="12"/>
        <v>12118.75</v>
      </c>
      <c r="AB274">
        <f t="shared" si="13"/>
        <v>0.13052354927551421</v>
      </c>
      <c r="AC274">
        <f t="shared" si="14"/>
        <v>0</v>
      </c>
      <c r="AD274">
        <v>2024</v>
      </c>
      <c r="AE274">
        <v>11</v>
      </c>
      <c r="AF274" t="s">
        <v>128</v>
      </c>
      <c r="AG274" t="s">
        <v>129</v>
      </c>
    </row>
    <row r="275" spans="1:33">
      <c r="A275" t="s">
        <v>426</v>
      </c>
      <c r="B275">
        <v>45751</v>
      </c>
      <c r="C275">
        <v>45756</v>
      </c>
      <c r="D275" t="s">
        <v>25</v>
      </c>
      <c r="E275">
        <v>100</v>
      </c>
      <c r="F275">
        <v>1028.82</v>
      </c>
      <c r="G275">
        <v>0.42</v>
      </c>
      <c r="H275">
        <v>102449.9</v>
      </c>
      <c r="I275" t="s">
        <v>1729</v>
      </c>
      <c r="J275">
        <v>735.82</v>
      </c>
      <c r="K275">
        <v>73582</v>
      </c>
      <c r="L275">
        <v>2272.98</v>
      </c>
      <c r="M275">
        <v>378.21</v>
      </c>
      <c r="N275">
        <v>4404.8500000000004</v>
      </c>
      <c r="O275">
        <v>80638.039999999994</v>
      </c>
      <c r="P275">
        <v>28867.9</v>
      </c>
      <c r="Q275">
        <v>21811.86</v>
      </c>
      <c r="R275" t="s">
        <v>65</v>
      </c>
      <c r="S275">
        <v>102449.9</v>
      </c>
      <c r="T275">
        <v>0</v>
      </c>
      <c r="U275" t="s">
        <v>66</v>
      </c>
      <c r="V275" t="s">
        <v>8</v>
      </c>
      <c r="W275" t="s">
        <v>74</v>
      </c>
      <c r="X275" t="s">
        <v>285</v>
      </c>
      <c r="Y275" t="s">
        <v>28</v>
      </c>
      <c r="Z275">
        <v>1.37</v>
      </c>
      <c r="AA275">
        <f t="shared" si="12"/>
        <v>21811.86</v>
      </c>
      <c r="AB275">
        <f t="shared" si="13"/>
        <v>0.21290269683035321</v>
      </c>
      <c r="AC275">
        <f t="shared" si="14"/>
        <v>0</v>
      </c>
      <c r="AD275">
        <v>2025</v>
      </c>
      <c r="AE275">
        <v>4</v>
      </c>
      <c r="AF275" t="s">
        <v>154</v>
      </c>
      <c r="AG275" t="s">
        <v>155</v>
      </c>
    </row>
    <row r="276" spans="1:33">
      <c r="A276" t="s">
        <v>427</v>
      </c>
      <c r="B276">
        <v>45293</v>
      </c>
      <c r="C276">
        <v>45293</v>
      </c>
      <c r="D276" t="s">
        <v>21</v>
      </c>
      <c r="E276">
        <v>200</v>
      </c>
      <c r="F276">
        <v>914.82</v>
      </c>
      <c r="G276">
        <v>2.25</v>
      </c>
      <c r="H276">
        <v>178847.31</v>
      </c>
      <c r="I276" t="s">
        <v>1728</v>
      </c>
      <c r="J276">
        <v>710.67</v>
      </c>
      <c r="K276">
        <v>142134</v>
      </c>
      <c r="L276">
        <v>1920.43</v>
      </c>
      <c r="M276">
        <v>339.02</v>
      </c>
      <c r="N276">
        <v>5990.48</v>
      </c>
      <c r="O276">
        <v>150383.93</v>
      </c>
      <c r="P276">
        <v>36713.31</v>
      </c>
      <c r="Q276">
        <v>28463.38</v>
      </c>
      <c r="R276" t="s">
        <v>65</v>
      </c>
      <c r="S276">
        <v>178847.31</v>
      </c>
      <c r="T276">
        <v>0</v>
      </c>
      <c r="U276" t="s">
        <v>73</v>
      </c>
      <c r="V276" t="s">
        <v>6</v>
      </c>
      <c r="W276" t="s">
        <v>67</v>
      </c>
      <c r="X276" t="s">
        <v>145</v>
      </c>
      <c r="Y276" t="s">
        <v>30</v>
      </c>
      <c r="Z276">
        <v>2.19</v>
      </c>
      <c r="AA276">
        <f t="shared" si="12"/>
        <v>28463.38</v>
      </c>
      <c r="AB276">
        <f t="shared" si="13"/>
        <v>0.15914905289881073</v>
      </c>
      <c r="AC276">
        <f t="shared" si="14"/>
        <v>0</v>
      </c>
      <c r="AD276">
        <v>2024</v>
      </c>
      <c r="AE276">
        <v>1</v>
      </c>
      <c r="AF276" t="s">
        <v>102</v>
      </c>
      <c r="AG276" t="s">
        <v>103</v>
      </c>
    </row>
    <row r="277" spans="1:33">
      <c r="A277" t="s">
        <v>428</v>
      </c>
      <c r="B277">
        <v>45892</v>
      </c>
      <c r="C277">
        <v>45901</v>
      </c>
      <c r="D277" t="s">
        <v>21</v>
      </c>
      <c r="E277">
        <v>300</v>
      </c>
      <c r="F277">
        <v>930.48</v>
      </c>
      <c r="G277">
        <v>1.18</v>
      </c>
      <c r="H277">
        <v>275850.09999999998</v>
      </c>
      <c r="I277" t="s">
        <v>1727</v>
      </c>
      <c r="J277">
        <v>652.41999999999996</v>
      </c>
      <c r="K277">
        <v>195726</v>
      </c>
      <c r="L277">
        <v>5104.95</v>
      </c>
      <c r="M277">
        <v>593.71</v>
      </c>
      <c r="N277">
        <v>350.51</v>
      </c>
      <c r="O277">
        <v>201775.17</v>
      </c>
      <c r="P277">
        <v>80124.100000000006</v>
      </c>
      <c r="Q277">
        <v>74074.929999999993</v>
      </c>
      <c r="R277" t="s">
        <v>65</v>
      </c>
      <c r="S277">
        <v>275850.09999999998</v>
      </c>
      <c r="T277">
        <v>0</v>
      </c>
      <c r="U277" t="s">
        <v>66</v>
      </c>
      <c r="V277" t="s">
        <v>12</v>
      </c>
      <c r="W277" t="s">
        <v>141</v>
      </c>
      <c r="X277" t="s">
        <v>224</v>
      </c>
      <c r="Y277" t="s">
        <v>31</v>
      </c>
      <c r="Z277">
        <v>1.1499999999999999</v>
      </c>
      <c r="AA277">
        <f t="shared" si="12"/>
        <v>74074.929999999993</v>
      </c>
      <c r="AB277">
        <f t="shared" si="13"/>
        <v>0.26853327223734919</v>
      </c>
      <c r="AC277">
        <f t="shared" si="14"/>
        <v>0</v>
      </c>
      <c r="AD277">
        <v>2025</v>
      </c>
      <c r="AE277">
        <v>8</v>
      </c>
      <c r="AF277" t="s">
        <v>82</v>
      </c>
      <c r="AG277" t="s">
        <v>87</v>
      </c>
    </row>
    <row r="278" spans="1:33">
      <c r="A278" t="s">
        <v>429</v>
      </c>
      <c r="B278">
        <v>45446</v>
      </c>
      <c r="C278">
        <v>45455</v>
      </c>
      <c r="D278" t="s">
        <v>25</v>
      </c>
      <c r="E278">
        <v>300</v>
      </c>
      <c r="F278">
        <v>947.56</v>
      </c>
      <c r="G278">
        <v>1.79</v>
      </c>
      <c r="H278">
        <v>279179.59999999998</v>
      </c>
      <c r="I278" t="s">
        <v>1728</v>
      </c>
      <c r="J278">
        <v>734.63</v>
      </c>
      <c r="K278">
        <v>220389</v>
      </c>
      <c r="L278">
        <v>3828.76</v>
      </c>
      <c r="M278">
        <v>1379.03</v>
      </c>
      <c r="N278">
        <v>7147.35</v>
      </c>
      <c r="O278">
        <v>232744.14</v>
      </c>
      <c r="P278">
        <v>58790.6</v>
      </c>
      <c r="Q278">
        <v>46435.46</v>
      </c>
      <c r="R278" t="s">
        <v>134</v>
      </c>
      <c r="S278">
        <v>0</v>
      </c>
      <c r="T278">
        <v>279179.59999999998</v>
      </c>
      <c r="U278" t="s">
        <v>73</v>
      </c>
      <c r="V278" t="s">
        <v>10</v>
      </c>
      <c r="W278" t="s">
        <v>92</v>
      </c>
      <c r="X278" t="s">
        <v>101</v>
      </c>
      <c r="Y278" t="s">
        <v>22</v>
      </c>
      <c r="Z278">
        <v>0.45</v>
      </c>
      <c r="AA278">
        <f t="shared" si="12"/>
        <v>46435.46</v>
      </c>
      <c r="AB278">
        <f t="shared" si="13"/>
        <v>0.16632827040371145</v>
      </c>
      <c r="AC278">
        <f t="shared" si="14"/>
        <v>0</v>
      </c>
      <c r="AD278">
        <v>2024</v>
      </c>
      <c r="AE278">
        <v>6</v>
      </c>
      <c r="AF278" t="s">
        <v>111</v>
      </c>
      <c r="AG278" t="s">
        <v>148</v>
      </c>
    </row>
    <row r="279" spans="1:33">
      <c r="A279" t="s">
        <v>430</v>
      </c>
      <c r="B279">
        <v>45295</v>
      </c>
      <c r="C279">
        <v>45301</v>
      </c>
      <c r="D279" t="s">
        <v>25</v>
      </c>
      <c r="E279">
        <v>200</v>
      </c>
      <c r="F279">
        <v>987.51</v>
      </c>
      <c r="G279">
        <v>2</v>
      </c>
      <c r="H279">
        <v>193551.96</v>
      </c>
      <c r="I279" t="s">
        <v>1726</v>
      </c>
      <c r="J279">
        <v>754.05</v>
      </c>
      <c r="K279">
        <v>150810</v>
      </c>
      <c r="L279">
        <v>2128.69</v>
      </c>
      <c r="M279">
        <v>600.30999999999995</v>
      </c>
      <c r="N279">
        <v>1762.41</v>
      </c>
      <c r="O279">
        <v>155301.41</v>
      </c>
      <c r="P279">
        <v>42741.96</v>
      </c>
      <c r="Q279">
        <v>38250.550000000003</v>
      </c>
      <c r="R279" t="s">
        <v>65</v>
      </c>
      <c r="S279">
        <v>193551.96</v>
      </c>
      <c r="T279">
        <v>0</v>
      </c>
      <c r="U279" t="s">
        <v>73</v>
      </c>
      <c r="V279" t="s">
        <v>16</v>
      </c>
      <c r="W279" t="s">
        <v>67</v>
      </c>
      <c r="X279" t="s">
        <v>86</v>
      </c>
      <c r="Y279" t="s">
        <v>30</v>
      </c>
      <c r="Z279">
        <v>1.47</v>
      </c>
      <c r="AA279">
        <f t="shared" si="12"/>
        <v>38250.550000000003</v>
      </c>
      <c r="AB279">
        <f t="shared" si="13"/>
        <v>0.19762419352405425</v>
      </c>
      <c r="AC279">
        <f t="shared" si="14"/>
        <v>0</v>
      </c>
      <c r="AD279">
        <v>2024</v>
      </c>
      <c r="AE279">
        <v>1</v>
      </c>
      <c r="AF279" t="s">
        <v>102</v>
      </c>
      <c r="AG279" t="s">
        <v>103</v>
      </c>
    </row>
    <row r="280" spans="1:33">
      <c r="A280" t="s">
        <v>431</v>
      </c>
      <c r="B280">
        <v>45848</v>
      </c>
      <c r="C280">
        <v>45855</v>
      </c>
      <c r="D280" t="s">
        <v>25</v>
      </c>
      <c r="E280">
        <v>1000</v>
      </c>
      <c r="F280">
        <v>913.23</v>
      </c>
      <c r="G280">
        <v>3.29</v>
      </c>
      <c r="H280">
        <v>883184.73</v>
      </c>
      <c r="I280" t="s">
        <v>1729</v>
      </c>
      <c r="J280">
        <v>752.86</v>
      </c>
      <c r="K280">
        <v>752860</v>
      </c>
      <c r="L280">
        <v>16439.87</v>
      </c>
      <c r="M280">
        <v>3304.32</v>
      </c>
      <c r="N280">
        <v>7244.77</v>
      </c>
      <c r="O280">
        <v>779848.96</v>
      </c>
      <c r="P280">
        <v>130324.73</v>
      </c>
      <c r="Q280">
        <v>103335.77</v>
      </c>
      <c r="R280" t="s">
        <v>65</v>
      </c>
      <c r="S280">
        <v>883184.73</v>
      </c>
      <c r="T280">
        <v>0</v>
      </c>
      <c r="U280" t="s">
        <v>66</v>
      </c>
      <c r="V280" t="s">
        <v>14</v>
      </c>
      <c r="W280" t="s">
        <v>80</v>
      </c>
      <c r="X280" t="s">
        <v>123</v>
      </c>
      <c r="Y280" t="s">
        <v>22</v>
      </c>
      <c r="Z280">
        <v>1.56</v>
      </c>
      <c r="AA280">
        <f t="shared" si="12"/>
        <v>103335.77</v>
      </c>
      <c r="AB280">
        <f t="shared" si="13"/>
        <v>0.11700357409938462</v>
      </c>
      <c r="AC280">
        <f t="shared" si="14"/>
        <v>0</v>
      </c>
      <c r="AD280">
        <v>2025</v>
      </c>
      <c r="AE280">
        <v>7</v>
      </c>
      <c r="AF280" t="s">
        <v>69</v>
      </c>
      <c r="AG280" t="s">
        <v>151</v>
      </c>
    </row>
    <row r="281" spans="1:33">
      <c r="A281" t="s">
        <v>432</v>
      </c>
      <c r="B281">
        <v>45652</v>
      </c>
      <c r="C281">
        <v>45657</v>
      </c>
      <c r="D281" t="s">
        <v>21</v>
      </c>
      <c r="E281">
        <v>1200</v>
      </c>
      <c r="F281">
        <v>874.52</v>
      </c>
      <c r="G281">
        <v>3.32</v>
      </c>
      <c r="H281">
        <v>1014583.12</v>
      </c>
      <c r="I281" t="s">
        <v>1728</v>
      </c>
      <c r="J281">
        <v>701.9</v>
      </c>
      <c r="K281">
        <v>842280</v>
      </c>
      <c r="L281">
        <v>6111.44</v>
      </c>
      <c r="M281">
        <v>2148.15</v>
      </c>
      <c r="N281">
        <v>2469.5300000000002</v>
      </c>
      <c r="O281">
        <v>853009.12</v>
      </c>
      <c r="P281">
        <v>172303.12</v>
      </c>
      <c r="Q281">
        <v>161574</v>
      </c>
      <c r="R281" t="s">
        <v>85</v>
      </c>
      <c r="S281">
        <v>529510.66</v>
      </c>
      <c r="T281">
        <v>485072.46</v>
      </c>
      <c r="U281" t="s">
        <v>73</v>
      </c>
      <c r="V281" t="s">
        <v>8</v>
      </c>
      <c r="W281" t="s">
        <v>141</v>
      </c>
      <c r="X281" t="s">
        <v>97</v>
      </c>
      <c r="Y281" t="s">
        <v>24</v>
      </c>
      <c r="Z281">
        <v>0.32</v>
      </c>
      <c r="AA281">
        <f t="shared" si="12"/>
        <v>161574</v>
      </c>
      <c r="AB281">
        <f t="shared" si="13"/>
        <v>0.15925161459417933</v>
      </c>
      <c r="AC281">
        <f t="shared" si="14"/>
        <v>0</v>
      </c>
      <c r="AD281">
        <v>2024</v>
      </c>
      <c r="AE281">
        <v>12</v>
      </c>
      <c r="AF281" t="s">
        <v>98</v>
      </c>
      <c r="AG281" t="s">
        <v>99</v>
      </c>
    </row>
    <row r="282" spans="1:33">
      <c r="A282" t="s">
        <v>433</v>
      </c>
      <c r="B282">
        <v>45925</v>
      </c>
      <c r="C282">
        <v>45935</v>
      </c>
      <c r="D282" t="s">
        <v>21</v>
      </c>
      <c r="E282">
        <v>150</v>
      </c>
      <c r="F282">
        <v>919.69</v>
      </c>
      <c r="G282">
        <v>0.86</v>
      </c>
      <c r="H282">
        <v>136767.1</v>
      </c>
      <c r="I282" t="s">
        <v>1727</v>
      </c>
      <c r="J282">
        <v>666.85</v>
      </c>
      <c r="K282">
        <v>100027.5</v>
      </c>
      <c r="L282">
        <v>2002.38</v>
      </c>
      <c r="M282">
        <v>676.53</v>
      </c>
      <c r="N282">
        <v>9517.56</v>
      </c>
      <c r="O282">
        <v>112223.97</v>
      </c>
      <c r="P282">
        <v>36739.599999999999</v>
      </c>
      <c r="Q282">
        <v>24543.13</v>
      </c>
      <c r="R282" t="s">
        <v>65</v>
      </c>
      <c r="S282">
        <v>136767.1</v>
      </c>
      <c r="T282">
        <v>0</v>
      </c>
      <c r="U282" t="s">
        <v>66</v>
      </c>
      <c r="V282" t="s">
        <v>12</v>
      </c>
      <c r="W282" t="s">
        <v>141</v>
      </c>
      <c r="X282" t="s">
        <v>115</v>
      </c>
      <c r="Y282" t="s">
        <v>22</v>
      </c>
      <c r="Z282">
        <v>1.6</v>
      </c>
      <c r="AA282">
        <f t="shared" si="12"/>
        <v>24543.13</v>
      </c>
      <c r="AB282">
        <f t="shared" si="13"/>
        <v>0.17945200271117834</v>
      </c>
      <c r="AC282">
        <f t="shared" si="14"/>
        <v>0</v>
      </c>
      <c r="AD282">
        <v>2025</v>
      </c>
      <c r="AE282">
        <v>9</v>
      </c>
      <c r="AF282" t="s">
        <v>131</v>
      </c>
      <c r="AG282" t="s">
        <v>132</v>
      </c>
    </row>
    <row r="283" spans="1:33">
      <c r="A283" t="s">
        <v>434</v>
      </c>
      <c r="B283">
        <v>45833</v>
      </c>
      <c r="C283">
        <v>45837</v>
      </c>
      <c r="D283" t="s">
        <v>21</v>
      </c>
      <c r="E283">
        <v>250</v>
      </c>
      <c r="F283">
        <v>855.21</v>
      </c>
      <c r="G283">
        <v>2.23</v>
      </c>
      <c r="H283">
        <v>209034.7</v>
      </c>
      <c r="I283" t="s">
        <v>1728</v>
      </c>
      <c r="J283">
        <v>693.15</v>
      </c>
      <c r="K283">
        <v>173287.5</v>
      </c>
      <c r="L283">
        <v>2993.55</v>
      </c>
      <c r="M283">
        <v>775.7</v>
      </c>
      <c r="N283">
        <v>10399.82</v>
      </c>
      <c r="O283">
        <v>187456.57</v>
      </c>
      <c r="P283">
        <v>35747.199999999997</v>
      </c>
      <c r="Q283">
        <v>21578.13</v>
      </c>
      <c r="R283" t="s">
        <v>85</v>
      </c>
      <c r="S283">
        <v>78258.63</v>
      </c>
      <c r="T283">
        <v>130776.07</v>
      </c>
      <c r="U283" t="s">
        <v>66</v>
      </c>
      <c r="V283" t="s">
        <v>16</v>
      </c>
      <c r="W283" t="s">
        <v>80</v>
      </c>
      <c r="X283" t="s">
        <v>115</v>
      </c>
      <c r="Y283" t="s">
        <v>22</v>
      </c>
      <c r="Z283">
        <v>0.46</v>
      </c>
      <c r="AA283">
        <f t="shared" si="12"/>
        <v>21578.13</v>
      </c>
      <c r="AB283">
        <f t="shared" si="13"/>
        <v>0.10322750241945476</v>
      </c>
      <c r="AC283">
        <f t="shared" si="14"/>
        <v>0</v>
      </c>
      <c r="AD283">
        <v>2025</v>
      </c>
      <c r="AE283">
        <v>6</v>
      </c>
      <c r="AF283" t="s">
        <v>111</v>
      </c>
      <c r="AG283" t="s">
        <v>112</v>
      </c>
    </row>
    <row r="284" spans="1:33">
      <c r="A284" t="s">
        <v>435</v>
      </c>
      <c r="B284">
        <v>45943</v>
      </c>
      <c r="C284">
        <v>45945</v>
      </c>
      <c r="D284" t="s">
        <v>21</v>
      </c>
      <c r="E284">
        <v>500</v>
      </c>
      <c r="F284">
        <v>865.18</v>
      </c>
      <c r="G284">
        <v>2.58</v>
      </c>
      <c r="H284">
        <v>421429.18</v>
      </c>
      <c r="I284" t="s">
        <v>1727</v>
      </c>
      <c r="J284">
        <v>724.43</v>
      </c>
      <c r="K284">
        <v>362215</v>
      </c>
      <c r="L284">
        <v>11891.06</v>
      </c>
      <c r="M284">
        <v>907.93</v>
      </c>
      <c r="N284">
        <v>3468.67</v>
      </c>
      <c r="O284">
        <v>378482.66</v>
      </c>
      <c r="P284">
        <v>59214.18</v>
      </c>
      <c r="Q284">
        <v>42946.52</v>
      </c>
      <c r="R284" t="s">
        <v>65</v>
      </c>
      <c r="S284">
        <v>421429.18</v>
      </c>
      <c r="T284">
        <v>0</v>
      </c>
      <c r="U284" t="s">
        <v>66</v>
      </c>
      <c r="V284" t="s">
        <v>8</v>
      </c>
      <c r="W284" t="s">
        <v>67</v>
      </c>
      <c r="X284" t="s">
        <v>75</v>
      </c>
      <c r="Y284" t="s">
        <v>28</v>
      </c>
      <c r="Z284">
        <v>1.83</v>
      </c>
      <c r="AA284">
        <f t="shared" si="12"/>
        <v>42946.52</v>
      </c>
      <c r="AB284">
        <f t="shared" si="13"/>
        <v>0.10190684944976994</v>
      </c>
      <c r="AC284">
        <f t="shared" si="14"/>
        <v>0</v>
      </c>
      <c r="AD284">
        <v>2025</v>
      </c>
      <c r="AE284">
        <v>10</v>
      </c>
      <c r="AF284" t="s">
        <v>138</v>
      </c>
      <c r="AG284" t="s">
        <v>160</v>
      </c>
    </row>
    <row r="285" spans="1:33">
      <c r="A285" t="s">
        <v>436</v>
      </c>
      <c r="B285">
        <v>45498</v>
      </c>
      <c r="C285">
        <v>45507</v>
      </c>
      <c r="D285" t="s">
        <v>25</v>
      </c>
      <c r="E285">
        <v>200</v>
      </c>
      <c r="F285">
        <v>1014.5</v>
      </c>
      <c r="G285">
        <v>1.1299999999999999</v>
      </c>
      <c r="H285">
        <v>200607.23</v>
      </c>
      <c r="I285" t="s">
        <v>1727</v>
      </c>
      <c r="J285">
        <v>780.2</v>
      </c>
      <c r="K285">
        <v>156040</v>
      </c>
      <c r="L285">
        <v>3713.15</v>
      </c>
      <c r="M285">
        <v>625.24</v>
      </c>
      <c r="N285">
        <v>9946.4599999999991</v>
      </c>
      <c r="O285">
        <v>170324.85</v>
      </c>
      <c r="P285">
        <v>44567.23</v>
      </c>
      <c r="Q285">
        <v>30282.38</v>
      </c>
      <c r="R285" t="s">
        <v>65</v>
      </c>
      <c r="S285">
        <v>200607.23</v>
      </c>
      <c r="T285">
        <v>0</v>
      </c>
      <c r="U285" t="s">
        <v>66</v>
      </c>
      <c r="V285" t="s">
        <v>12</v>
      </c>
      <c r="W285" t="s">
        <v>67</v>
      </c>
      <c r="X285" t="s">
        <v>123</v>
      </c>
      <c r="Y285" t="s">
        <v>22</v>
      </c>
      <c r="Z285">
        <v>1.52</v>
      </c>
      <c r="AA285">
        <f t="shared" si="12"/>
        <v>30282.38</v>
      </c>
      <c r="AB285">
        <f t="shared" si="13"/>
        <v>0.15095358228115707</v>
      </c>
      <c r="AC285">
        <f t="shared" si="14"/>
        <v>0</v>
      </c>
      <c r="AD285">
        <v>2024</v>
      </c>
      <c r="AE285">
        <v>7</v>
      </c>
      <c r="AF285" t="s">
        <v>69</v>
      </c>
      <c r="AG285" t="s">
        <v>70</v>
      </c>
    </row>
    <row r="286" spans="1:33">
      <c r="A286" t="s">
        <v>437</v>
      </c>
      <c r="B286">
        <v>45883</v>
      </c>
      <c r="D286" t="s">
        <v>29</v>
      </c>
      <c r="E286">
        <v>200</v>
      </c>
      <c r="F286">
        <v>2824.73</v>
      </c>
      <c r="G286">
        <v>1.69</v>
      </c>
      <c r="H286">
        <v>555398.41</v>
      </c>
      <c r="I286" t="s">
        <v>1728</v>
      </c>
      <c r="J286">
        <v>2200.9899999999998</v>
      </c>
      <c r="K286">
        <v>440198</v>
      </c>
      <c r="L286">
        <v>1377.69</v>
      </c>
      <c r="M286">
        <v>342.72</v>
      </c>
      <c r="N286">
        <v>9460.83</v>
      </c>
      <c r="O286">
        <v>451379.24</v>
      </c>
      <c r="P286">
        <v>115200.41</v>
      </c>
      <c r="Q286">
        <v>104019.17</v>
      </c>
      <c r="R286" t="s">
        <v>65</v>
      </c>
      <c r="S286">
        <v>555398.41</v>
      </c>
      <c r="T286">
        <v>0</v>
      </c>
      <c r="U286" t="s">
        <v>91</v>
      </c>
      <c r="V286" t="s">
        <v>8</v>
      </c>
      <c r="W286" t="s">
        <v>92</v>
      </c>
      <c r="X286" t="s">
        <v>97</v>
      </c>
      <c r="Y286" t="s">
        <v>24</v>
      </c>
      <c r="Z286">
        <v>0.35</v>
      </c>
      <c r="AA286">
        <f t="shared" si="12"/>
        <v>104019.17</v>
      </c>
      <c r="AB286">
        <f t="shared" si="13"/>
        <v>0.18728748251187827</v>
      </c>
      <c r="AC286">
        <f t="shared" si="14"/>
        <v>0</v>
      </c>
      <c r="AD286">
        <v>2025</v>
      </c>
      <c r="AE286">
        <v>8</v>
      </c>
      <c r="AF286" t="s">
        <v>82</v>
      </c>
      <c r="AG286" t="s">
        <v>87</v>
      </c>
    </row>
    <row r="287" spans="1:33">
      <c r="A287" t="s">
        <v>438</v>
      </c>
      <c r="B287">
        <v>45932</v>
      </c>
      <c r="C287">
        <v>45944</v>
      </c>
      <c r="D287" t="s">
        <v>21</v>
      </c>
      <c r="E287">
        <v>500</v>
      </c>
      <c r="F287">
        <v>869.88</v>
      </c>
      <c r="G287">
        <v>1.55</v>
      </c>
      <c r="H287">
        <v>428198.43</v>
      </c>
      <c r="I287" t="s">
        <v>1727</v>
      </c>
      <c r="J287">
        <v>731.33</v>
      </c>
      <c r="K287">
        <v>365665</v>
      </c>
      <c r="L287">
        <v>9766.02</v>
      </c>
      <c r="M287">
        <v>1042.8800000000001</v>
      </c>
      <c r="N287">
        <v>4597.58</v>
      </c>
      <c r="O287">
        <v>381071.48</v>
      </c>
      <c r="P287">
        <v>62533.43</v>
      </c>
      <c r="Q287">
        <v>47126.95</v>
      </c>
      <c r="R287" t="s">
        <v>65</v>
      </c>
      <c r="S287">
        <v>428198.43</v>
      </c>
      <c r="T287">
        <v>0</v>
      </c>
      <c r="U287" t="s">
        <v>66</v>
      </c>
      <c r="V287" t="s">
        <v>14</v>
      </c>
      <c r="W287" t="s">
        <v>67</v>
      </c>
      <c r="X287" t="s">
        <v>97</v>
      </c>
      <c r="Y287" t="s">
        <v>24</v>
      </c>
      <c r="Z287">
        <v>0.05</v>
      </c>
      <c r="AA287">
        <f t="shared" si="12"/>
        <v>47126.95</v>
      </c>
      <c r="AB287">
        <f t="shared" si="13"/>
        <v>0.11005867069620036</v>
      </c>
      <c r="AC287">
        <f t="shared" si="14"/>
        <v>0</v>
      </c>
      <c r="AD287">
        <v>2025</v>
      </c>
      <c r="AE287">
        <v>10</v>
      </c>
      <c r="AF287" t="s">
        <v>138</v>
      </c>
      <c r="AG287" t="s">
        <v>160</v>
      </c>
    </row>
    <row r="288" spans="1:33">
      <c r="A288" t="s">
        <v>439</v>
      </c>
      <c r="B288">
        <v>45456</v>
      </c>
      <c r="D288" t="s">
        <v>21</v>
      </c>
      <c r="E288">
        <v>200</v>
      </c>
      <c r="F288">
        <v>891.9</v>
      </c>
      <c r="G288">
        <v>2.25</v>
      </c>
      <c r="H288">
        <v>0</v>
      </c>
      <c r="I288" t="s">
        <v>1726</v>
      </c>
      <c r="J288">
        <v>750.82</v>
      </c>
      <c r="K288">
        <v>0</v>
      </c>
      <c r="L288">
        <v>0</v>
      </c>
      <c r="M288">
        <v>0</v>
      </c>
      <c r="N288">
        <v>0</v>
      </c>
      <c r="O288">
        <v>0</v>
      </c>
      <c r="P288">
        <v>0</v>
      </c>
      <c r="Q288">
        <v>0</v>
      </c>
      <c r="R288" t="s">
        <v>85</v>
      </c>
      <c r="S288">
        <v>0</v>
      </c>
      <c r="T288">
        <v>0</v>
      </c>
      <c r="U288" t="s">
        <v>117</v>
      </c>
      <c r="V288" t="s">
        <v>6</v>
      </c>
      <c r="W288" t="s">
        <v>67</v>
      </c>
      <c r="X288" t="s">
        <v>275</v>
      </c>
      <c r="Y288" t="s">
        <v>31</v>
      </c>
      <c r="Z288">
        <v>2.09</v>
      </c>
      <c r="AA288">
        <f t="shared" si="12"/>
        <v>0</v>
      </c>
      <c r="AB288" t="e">
        <f t="shared" si="13"/>
        <v>#DIV/0!</v>
      </c>
      <c r="AC288">
        <f t="shared" si="14"/>
        <v>0</v>
      </c>
      <c r="AD288">
        <v>2024</v>
      </c>
      <c r="AE288">
        <v>6</v>
      </c>
      <c r="AF288" t="s">
        <v>111</v>
      </c>
      <c r="AG288" t="s">
        <v>148</v>
      </c>
    </row>
    <row r="289" spans="1:33">
      <c r="A289" t="s">
        <v>440</v>
      </c>
      <c r="B289">
        <v>45709</v>
      </c>
      <c r="C289">
        <v>45721</v>
      </c>
      <c r="D289" t="s">
        <v>21</v>
      </c>
      <c r="E289">
        <v>500</v>
      </c>
      <c r="F289">
        <v>889.15</v>
      </c>
      <c r="G289">
        <v>3.51</v>
      </c>
      <c r="H289">
        <v>428970.42</v>
      </c>
      <c r="I289" t="s">
        <v>1726</v>
      </c>
      <c r="J289">
        <v>721.94</v>
      </c>
      <c r="K289">
        <v>360970</v>
      </c>
      <c r="L289">
        <v>9208.09</v>
      </c>
      <c r="M289">
        <v>762.94</v>
      </c>
      <c r="N289">
        <v>1409.95</v>
      </c>
      <c r="O289">
        <v>372350.98</v>
      </c>
      <c r="P289">
        <v>68000.42</v>
      </c>
      <c r="Q289">
        <v>56619.44</v>
      </c>
      <c r="R289" t="s">
        <v>65</v>
      </c>
      <c r="S289">
        <v>428970.42</v>
      </c>
      <c r="T289">
        <v>0</v>
      </c>
      <c r="U289" t="s">
        <v>66</v>
      </c>
      <c r="V289" t="s">
        <v>6</v>
      </c>
      <c r="W289" t="s">
        <v>74</v>
      </c>
      <c r="X289" t="s">
        <v>123</v>
      </c>
      <c r="Y289" t="s">
        <v>22</v>
      </c>
      <c r="Z289">
        <v>2.44</v>
      </c>
      <c r="AA289">
        <f t="shared" si="12"/>
        <v>56619.44</v>
      </c>
      <c r="AB289">
        <f t="shared" si="13"/>
        <v>0.13198914741021073</v>
      </c>
      <c r="AC289">
        <f t="shared" si="14"/>
        <v>0</v>
      </c>
      <c r="AD289">
        <v>2025</v>
      </c>
      <c r="AE289">
        <v>2</v>
      </c>
      <c r="AF289" t="s">
        <v>172</v>
      </c>
      <c r="AG289" t="s">
        <v>244</v>
      </c>
    </row>
    <row r="290" spans="1:33">
      <c r="A290" t="s">
        <v>441</v>
      </c>
      <c r="B290">
        <v>45476</v>
      </c>
      <c r="D290" t="s">
        <v>25</v>
      </c>
      <c r="E290">
        <v>200</v>
      </c>
      <c r="F290">
        <v>974.44</v>
      </c>
      <c r="G290">
        <v>0.85</v>
      </c>
      <c r="H290">
        <v>193231.45</v>
      </c>
      <c r="I290" t="s">
        <v>1729</v>
      </c>
      <c r="J290">
        <v>805.03</v>
      </c>
      <c r="K290">
        <v>161006</v>
      </c>
      <c r="L290">
        <v>4507.46</v>
      </c>
      <c r="M290">
        <v>846.75</v>
      </c>
      <c r="N290">
        <v>8599.34</v>
      </c>
      <c r="O290">
        <v>174959.55</v>
      </c>
      <c r="P290">
        <v>32225.45</v>
      </c>
      <c r="Q290">
        <v>18271.900000000001</v>
      </c>
      <c r="R290" t="s">
        <v>65</v>
      </c>
      <c r="S290">
        <v>193231.45</v>
      </c>
      <c r="T290">
        <v>0</v>
      </c>
      <c r="U290" t="s">
        <v>91</v>
      </c>
      <c r="V290" t="s">
        <v>12</v>
      </c>
      <c r="W290" t="s">
        <v>74</v>
      </c>
      <c r="X290" t="s">
        <v>182</v>
      </c>
      <c r="Y290" t="s">
        <v>26</v>
      </c>
      <c r="Z290">
        <v>0.61</v>
      </c>
      <c r="AA290">
        <f t="shared" si="12"/>
        <v>18271.900000000001</v>
      </c>
      <c r="AB290">
        <f t="shared" si="13"/>
        <v>9.4559658896106194E-2</v>
      </c>
      <c r="AC290">
        <f t="shared" si="14"/>
        <v>0</v>
      </c>
      <c r="AD290">
        <v>2024</v>
      </c>
      <c r="AE290">
        <v>7</v>
      </c>
      <c r="AF290" t="s">
        <v>69</v>
      </c>
      <c r="AG290" t="s">
        <v>70</v>
      </c>
    </row>
    <row r="291" spans="1:33">
      <c r="A291" t="s">
        <v>442</v>
      </c>
      <c r="B291">
        <v>45866</v>
      </c>
      <c r="C291">
        <v>45873</v>
      </c>
      <c r="D291" t="s">
        <v>23</v>
      </c>
      <c r="E291">
        <v>300</v>
      </c>
      <c r="F291">
        <v>1331.63</v>
      </c>
      <c r="G291">
        <v>0.81</v>
      </c>
      <c r="H291">
        <v>396253.14</v>
      </c>
      <c r="I291" t="s">
        <v>1727</v>
      </c>
      <c r="J291">
        <v>1107.0999999999999</v>
      </c>
      <c r="K291">
        <v>332130</v>
      </c>
      <c r="L291">
        <v>5654.19</v>
      </c>
      <c r="M291">
        <v>1317.47</v>
      </c>
      <c r="N291">
        <v>2209.67</v>
      </c>
      <c r="O291">
        <v>341311.33</v>
      </c>
      <c r="P291">
        <v>64123.14</v>
      </c>
      <c r="Q291">
        <v>54941.81</v>
      </c>
      <c r="R291" t="s">
        <v>65</v>
      </c>
      <c r="S291">
        <v>396253.14</v>
      </c>
      <c r="T291">
        <v>0</v>
      </c>
      <c r="U291" t="s">
        <v>66</v>
      </c>
      <c r="V291" t="s">
        <v>6</v>
      </c>
      <c r="W291" t="s">
        <v>74</v>
      </c>
      <c r="X291" t="s">
        <v>97</v>
      </c>
      <c r="Y291" t="s">
        <v>24</v>
      </c>
      <c r="Z291">
        <v>1.67</v>
      </c>
      <c r="AA291">
        <f t="shared" si="12"/>
        <v>54941.81</v>
      </c>
      <c r="AB291">
        <f t="shared" si="13"/>
        <v>0.13865331136555786</v>
      </c>
      <c r="AC291">
        <f t="shared" si="14"/>
        <v>0</v>
      </c>
      <c r="AD291">
        <v>2025</v>
      </c>
      <c r="AE291">
        <v>7</v>
      </c>
      <c r="AF291" t="s">
        <v>69</v>
      </c>
      <c r="AG291" t="s">
        <v>151</v>
      </c>
    </row>
    <row r="292" spans="1:33">
      <c r="A292" t="s">
        <v>443</v>
      </c>
      <c r="B292">
        <v>45323</v>
      </c>
      <c r="C292">
        <v>45323</v>
      </c>
      <c r="D292" t="s">
        <v>21</v>
      </c>
      <c r="E292">
        <v>200</v>
      </c>
      <c r="F292">
        <v>896.21</v>
      </c>
      <c r="G292">
        <v>0.18</v>
      </c>
      <c r="H292">
        <v>178919.36</v>
      </c>
      <c r="I292" t="s">
        <v>1728</v>
      </c>
      <c r="J292">
        <v>733.58</v>
      </c>
      <c r="K292">
        <v>146716</v>
      </c>
      <c r="L292">
        <v>3471.11</v>
      </c>
      <c r="M292">
        <v>509.22</v>
      </c>
      <c r="N292">
        <v>2482.37</v>
      </c>
      <c r="O292">
        <v>153178.70000000001</v>
      </c>
      <c r="P292">
        <v>32203.360000000001</v>
      </c>
      <c r="Q292">
        <v>25740.66</v>
      </c>
      <c r="R292" t="s">
        <v>65</v>
      </c>
      <c r="S292">
        <v>178919.36</v>
      </c>
      <c r="T292">
        <v>0</v>
      </c>
      <c r="U292" t="s">
        <v>66</v>
      </c>
      <c r="V292" t="s">
        <v>8</v>
      </c>
      <c r="W292" t="s">
        <v>67</v>
      </c>
      <c r="X292" t="s">
        <v>195</v>
      </c>
      <c r="Y292" t="s">
        <v>26</v>
      </c>
      <c r="Z292">
        <v>2.35</v>
      </c>
      <c r="AA292">
        <f t="shared" si="12"/>
        <v>25740.66</v>
      </c>
      <c r="AB292">
        <f t="shared" si="13"/>
        <v>0.14386738249007822</v>
      </c>
      <c r="AC292">
        <f t="shared" si="14"/>
        <v>0</v>
      </c>
      <c r="AD292">
        <v>2024</v>
      </c>
      <c r="AE292">
        <v>2</v>
      </c>
      <c r="AF292" t="s">
        <v>172</v>
      </c>
      <c r="AG292" t="s">
        <v>173</v>
      </c>
    </row>
    <row r="293" spans="1:33">
      <c r="A293" t="s">
        <v>444</v>
      </c>
      <c r="B293">
        <v>45751</v>
      </c>
      <c r="C293">
        <v>45755</v>
      </c>
      <c r="D293" t="s">
        <v>21</v>
      </c>
      <c r="E293">
        <v>100</v>
      </c>
      <c r="F293">
        <v>846.82</v>
      </c>
      <c r="G293">
        <v>1.03</v>
      </c>
      <c r="H293">
        <v>83809.78</v>
      </c>
      <c r="I293" t="s">
        <v>1727</v>
      </c>
      <c r="J293">
        <v>690.39</v>
      </c>
      <c r="K293">
        <v>69039</v>
      </c>
      <c r="L293">
        <v>626.65</v>
      </c>
      <c r="M293">
        <v>435.35</v>
      </c>
      <c r="N293">
        <v>5627.58</v>
      </c>
      <c r="O293">
        <v>75728.58</v>
      </c>
      <c r="P293">
        <v>14770.78</v>
      </c>
      <c r="Q293">
        <v>8081.2</v>
      </c>
      <c r="R293" t="s">
        <v>85</v>
      </c>
      <c r="S293">
        <v>29004.71</v>
      </c>
      <c r="T293">
        <v>54805.07</v>
      </c>
      <c r="U293" t="s">
        <v>73</v>
      </c>
      <c r="V293" t="s">
        <v>6</v>
      </c>
      <c r="W293" t="s">
        <v>67</v>
      </c>
      <c r="X293" t="s">
        <v>208</v>
      </c>
      <c r="Y293" t="s">
        <v>26</v>
      </c>
      <c r="Z293">
        <v>0.74</v>
      </c>
      <c r="AA293">
        <f t="shared" si="12"/>
        <v>8081.2</v>
      </c>
      <c r="AB293">
        <f t="shared" si="13"/>
        <v>9.6423114342980024E-2</v>
      </c>
      <c r="AC293">
        <f t="shared" si="14"/>
        <v>0</v>
      </c>
      <c r="AD293">
        <v>2025</v>
      </c>
      <c r="AE293">
        <v>4</v>
      </c>
      <c r="AF293" t="s">
        <v>154</v>
      </c>
      <c r="AG293" t="s">
        <v>155</v>
      </c>
    </row>
    <row r="294" spans="1:33">
      <c r="A294" t="s">
        <v>445</v>
      </c>
      <c r="B294">
        <v>45992</v>
      </c>
      <c r="C294">
        <v>46004</v>
      </c>
      <c r="D294" t="s">
        <v>21</v>
      </c>
      <c r="E294">
        <v>200</v>
      </c>
      <c r="F294">
        <v>894.54</v>
      </c>
      <c r="G294">
        <v>1.68</v>
      </c>
      <c r="H294">
        <v>175902.35</v>
      </c>
      <c r="I294" t="s">
        <v>1727</v>
      </c>
      <c r="J294">
        <v>655.15</v>
      </c>
      <c r="K294">
        <v>131030</v>
      </c>
      <c r="L294">
        <v>3373.6</v>
      </c>
      <c r="M294">
        <v>1134.3499999999999</v>
      </c>
      <c r="N294">
        <v>1867.38</v>
      </c>
      <c r="O294">
        <v>137405.32999999999</v>
      </c>
      <c r="P294">
        <v>44872.35</v>
      </c>
      <c r="Q294">
        <v>38497.019999999997</v>
      </c>
      <c r="R294" t="s">
        <v>65</v>
      </c>
      <c r="S294">
        <v>175902.35</v>
      </c>
      <c r="T294">
        <v>0</v>
      </c>
      <c r="U294" t="s">
        <v>66</v>
      </c>
      <c r="V294" t="s">
        <v>10</v>
      </c>
      <c r="W294" t="s">
        <v>67</v>
      </c>
      <c r="X294" t="s">
        <v>125</v>
      </c>
      <c r="Y294" t="s">
        <v>24</v>
      </c>
      <c r="Z294">
        <v>1.66</v>
      </c>
      <c r="AA294">
        <f t="shared" si="12"/>
        <v>38497.019999999997</v>
      </c>
      <c r="AB294">
        <f t="shared" si="13"/>
        <v>0.2188544951218673</v>
      </c>
      <c r="AC294">
        <f t="shared" si="14"/>
        <v>0</v>
      </c>
      <c r="AD294">
        <v>2025</v>
      </c>
      <c r="AE294">
        <v>12</v>
      </c>
      <c r="AF294" t="s">
        <v>98</v>
      </c>
      <c r="AG294" t="s">
        <v>168</v>
      </c>
    </row>
    <row r="295" spans="1:33">
      <c r="A295" t="s">
        <v>446</v>
      </c>
      <c r="B295">
        <v>45866</v>
      </c>
      <c r="D295" t="s">
        <v>25</v>
      </c>
      <c r="E295">
        <v>250</v>
      </c>
      <c r="F295">
        <v>941.29</v>
      </c>
      <c r="G295">
        <v>0.52</v>
      </c>
      <c r="H295">
        <v>0</v>
      </c>
      <c r="I295" t="s">
        <v>1726</v>
      </c>
      <c r="J295">
        <v>814.3</v>
      </c>
      <c r="K295">
        <v>0</v>
      </c>
      <c r="L295">
        <v>0</v>
      </c>
      <c r="M295">
        <v>0</v>
      </c>
      <c r="N295">
        <v>0</v>
      </c>
      <c r="O295">
        <v>0</v>
      </c>
      <c r="P295">
        <v>0</v>
      </c>
      <c r="Q295">
        <v>0</v>
      </c>
      <c r="R295" t="s">
        <v>134</v>
      </c>
      <c r="S295">
        <v>0</v>
      </c>
      <c r="T295">
        <v>0</v>
      </c>
      <c r="U295" t="s">
        <v>117</v>
      </c>
      <c r="V295" t="s">
        <v>16</v>
      </c>
      <c r="W295" t="s">
        <v>74</v>
      </c>
      <c r="X295" t="s">
        <v>108</v>
      </c>
      <c r="Y295" t="s">
        <v>22</v>
      </c>
      <c r="Z295">
        <v>1.63</v>
      </c>
      <c r="AA295">
        <f t="shared" si="12"/>
        <v>0</v>
      </c>
      <c r="AB295" t="e">
        <f t="shared" si="13"/>
        <v>#DIV/0!</v>
      </c>
      <c r="AC295">
        <f t="shared" si="14"/>
        <v>0</v>
      </c>
      <c r="AD295">
        <v>2025</v>
      </c>
      <c r="AE295">
        <v>7</v>
      </c>
      <c r="AF295" t="s">
        <v>69</v>
      </c>
      <c r="AG295" t="s">
        <v>151</v>
      </c>
    </row>
    <row r="296" spans="1:33">
      <c r="A296" t="s">
        <v>447</v>
      </c>
      <c r="B296">
        <v>45362</v>
      </c>
      <c r="C296">
        <v>45368</v>
      </c>
      <c r="D296" t="s">
        <v>21</v>
      </c>
      <c r="E296">
        <v>100</v>
      </c>
      <c r="F296">
        <v>876.31</v>
      </c>
      <c r="G296">
        <v>2.17</v>
      </c>
      <c r="H296">
        <v>85729.41</v>
      </c>
      <c r="I296" t="s">
        <v>1728</v>
      </c>
      <c r="J296">
        <v>731.46</v>
      </c>
      <c r="K296">
        <v>73146</v>
      </c>
      <c r="L296">
        <v>916.63</v>
      </c>
      <c r="M296">
        <v>177.56</v>
      </c>
      <c r="N296">
        <v>376.87</v>
      </c>
      <c r="O296">
        <v>74617.06</v>
      </c>
      <c r="P296">
        <v>12583.41</v>
      </c>
      <c r="Q296">
        <v>11112.35</v>
      </c>
      <c r="R296" t="s">
        <v>134</v>
      </c>
      <c r="S296">
        <v>0</v>
      </c>
      <c r="T296">
        <v>85729.41</v>
      </c>
      <c r="U296" t="s">
        <v>66</v>
      </c>
      <c r="V296" t="s">
        <v>10</v>
      </c>
      <c r="W296" t="s">
        <v>141</v>
      </c>
      <c r="X296" t="s">
        <v>327</v>
      </c>
      <c r="Y296" t="s">
        <v>26</v>
      </c>
      <c r="Z296">
        <v>1.95</v>
      </c>
      <c r="AA296">
        <f t="shared" si="12"/>
        <v>11112.35</v>
      </c>
      <c r="AB296">
        <f t="shared" si="13"/>
        <v>0.12962121167053406</v>
      </c>
      <c r="AC296">
        <f t="shared" si="14"/>
        <v>0</v>
      </c>
      <c r="AD296">
        <v>2024</v>
      </c>
      <c r="AE296">
        <v>3</v>
      </c>
      <c r="AF296" t="s">
        <v>105</v>
      </c>
      <c r="AG296" t="s">
        <v>120</v>
      </c>
    </row>
    <row r="297" spans="1:33">
      <c r="A297" t="s">
        <v>448</v>
      </c>
      <c r="B297">
        <v>45445</v>
      </c>
      <c r="C297">
        <v>45452</v>
      </c>
      <c r="D297" t="s">
        <v>25</v>
      </c>
      <c r="E297">
        <v>250</v>
      </c>
      <c r="F297">
        <v>996.66</v>
      </c>
      <c r="G297">
        <v>0.16</v>
      </c>
      <c r="H297">
        <v>248766.34</v>
      </c>
      <c r="I297" t="s">
        <v>1727</v>
      </c>
      <c r="J297">
        <v>738.45</v>
      </c>
      <c r="K297">
        <v>184612.5</v>
      </c>
      <c r="L297">
        <v>3537.61</v>
      </c>
      <c r="M297">
        <v>668.77</v>
      </c>
      <c r="N297">
        <v>9988.35</v>
      </c>
      <c r="O297">
        <v>198807.23</v>
      </c>
      <c r="P297">
        <v>64153.84</v>
      </c>
      <c r="Q297">
        <v>49959.11</v>
      </c>
      <c r="R297" t="s">
        <v>85</v>
      </c>
      <c r="S297">
        <v>195133.07</v>
      </c>
      <c r="T297">
        <v>53633.27</v>
      </c>
      <c r="U297" t="s">
        <v>73</v>
      </c>
      <c r="V297" t="s">
        <v>10</v>
      </c>
      <c r="W297" t="s">
        <v>80</v>
      </c>
      <c r="X297" t="s">
        <v>205</v>
      </c>
      <c r="Y297" t="s">
        <v>24</v>
      </c>
      <c r="Z297">
        <v>1.03</v>
      </c>
      <c r="AA297">
        <f t="shared" si="12"/>
        <v>49959.11</v>
      </c>
      <c r="AB297">
        <f t="shared" si="13"/>
        <v>0.2008274511736596</v>
      </c>
      <c r="AC297">
        <f t="shared" si="14"/>
        <v>0</v>
      </c>
      <c r="AD297">
        <v>2024</v>
      </c>
      <c r="AE297">
        <v>6</v>
      </c>
      <c r="AF297" t="s">
        <v>111</v>
      </c>
      <c r="AG297" t="s">
        <v>148</v>
      </c>
    </row>
    <row r="298" spans="1:33">
      <c r="A298" t="s">
        <v>449</v>
      </c>
      <c r="B298">
        <v>45468</v>
      </c>
      <c r="C298">
        <v>45478</v>
      </c>
      <c r="D298" t="s">
        <v>23</v>
      </c>
      <c r="E298">
        <v>300</v>
      </c>
      <c r="F298">
        <v>1287.6300000000001</v>
      </c>
      <c r="G298">
        <v>0.85</v>
      </c>
      <c r="H298">
        <v>383005.54</v>
      </c>
      <c r="I298" t="s">
        <v>1726</v>
      </c>
      <c r="J298">
        <v>1111.28</v>
      </c>
      <c r="K298">
        <v>333384</v>
      </c>
      <c r="L298">
        <v>5152.4799999999996</v>
      </c>
      <c r="M298">
        <v>1553.11</v>
      </c>
      <c r="N298">
        <v>3974.95</v>
      </c>
      <c r="O298">
        <v>344064.54</v>
      </c>
      <c r="P298">
        <v>49621.54</v>
      </c>
      <c r="Q298">
        <v>38941</v>
      </c>
      <c r="R298" t="s">
        <v>65</v>
      </c>
      <c r="S298">
        <v>383005.54</v>
      </c>
      <c r="T298">
        <v>0</v>
      </c>
      <c r="U298" t="s">
        <v>66</v>
      </c>
      <c r="V298" t="s">
        <v>12</v>
      </c>
      <c r="W298" t="s">
        <v>67</v>
      </c>
      <c r="X298" t="s">
        <v>125</v>
      </c>
      <c r="Y298" t="s">
        <v>24</v>
      </c>
      <c r="Z298">
        <v>1.36</v>
      </c>
      <c r="AA298">
        <f t="shared" si="12"/>
        <v>38941</v>
      </c>
      <c r="AB298">
        <f t="shared" si="13"/>
        <v>0.10167215858026493</v>
      </c>
      <c r="AC298">
        <f t="shared" si="14"/>
        <v>0</v>
      </c>
      <c r="AD298">
        <v>2024</v>
      </c>
      <c r="AE298">
        <v>6</v>
      </c>
      <c r="AF298" t="s">
        <v>111</v>
      </c>
      <c r="AG298" t="s">
        <v>148</v>
      </c>
    </row>
    <row r="299" spans="1:33">
      <c r="A299" t="s">
        <v>450</v>
      </c>
      <c r="B299">
        <v>45371</v>
      </c>
      <c r="C299">
        <v>45371</v>
      </c>
      <c r="D299" t="s">
        <v>23</v>
      </c>
      <c r="E299">
        <v>500</v>
      </c>
      <c r="F299">
        <v>1273.6099999999999</v>
      </c>
      <c r="G299">
        <v>2.37</v>
      </c>
      <c r="H299">
        <v>621712.72</v>
      </c>
      <c r="I299" t="s">
        <v>1727</v>
      </c>
      <c r="J299">
        <v>1122.0899999999999</v>
      </c>
      <c r="K299">
        <v>561045</v>
      </c>
      <c r="L299">
        <v>5809.24</v>
      </c>
      <c r="M299">
        <v>2341.11</v>
      </c>
      <c r="N299">
        <v>6781.15</v>
      </c>
      <c r="O299">
        <v>575976.5</v>
      </c>
      <c r="P299">
        <v>60667.72</v>
      </c>
      <c r="Q299">
        <v>45736.22</v>
      </c>
      <c r="R299" t="s">
        <v>65</v>
      </c>
      <c r="S299">
        <v>621712.72</v>
      </c>
      <c r="T299">
        <v>0</v>
      </c>
      <c r="U299" t="s">
        <v>73</v>
      </c>
      <c r="V299" t="s">
        <v>6</v>
      </c>
      <c r="W299" t="s">
        <v>141</v>
      </c>
      <c r="X299" t="s">
        <v>123</v>
      </c>
      <c r="Y299" t="s">
        <v>22</v>
      </c>
      <c r="Z299">
        <v>2</v>
      </c>
      <c r="AA299">
        <f t="shared" si="12"/>
        <v>45736.22</v>
      </c>
      <c r="AB299">
        <f t="shared" si="13"/>
        <v>7.3564877360077177E-2</v>
      </c>
      <c r="AC299">
        <f t="shared" si="14"/>
        <v>0</v>
      </c>
      <c r="AD299">
        <v>2024</v>
      </c>
      <c r="AE299">
        <v>3</v>
      </c>
      <c r="AF299" t="s">
        <v>105</v>
      </c>
      <c r="AG299" t="s">
        <v>120</v>
      </c>
    </row>
    <row r="300" spans="1:33">
      <c r="A300" t="s">
        <v>451</v>
      </c>
      <c r="B300">
        <v>45941</v>
      </c>
      <c r="D300" t="s">
        <v>21</v>
      </c>
      <c r="E300">
        <v>100</v>
      </c>
      <c r="F300">
        <v>880.88</v>
      </c>
      <c r="G300">
        <v>0.67</v>
      </c>
      <c r="H300">
        <v>87497.81</v>
      </c>
      <c r="I300" t="s">
        <v>1726</v>
      </c>
      <c r="J300">
        <v>693.2</v>
      </c>
      <c r="K300">
        <v>69320</v>
      </c>
      <c r="L300">
        <v>1407.01</v>
      </c>
      <c r="M300">
        <v>288</v>
      </c>
      <c r="N300">
        <v>3656.19</v>
      </c>
      <c r="O300">
        <v>74671.199999999997</v>
      </c>
      <c r="P300">
        <v>18177.810000000001</v>
      </c>
      <c r="Q300">
        <v>12826.61</v>
      </c>
      <c r="R300" t="s">
        <v>85</v>
      </c>
      <c r="S300">
        <v>62133.95</v>
      </c>
      <c r="T300">
        <v>25363.86</v>
      </c>
      <c r="U300" t="s">
        <v>91</v>
      </c>
      <c r="V300" t="s">
        <v>12</v>
      </c>
      <c r="W300" t="s">
        <v>67</v>
      </c>
      <c r="X300" t="s">
        <v>115</v>
      </c>
      <c r="Y300" t="s">
        <v>22</v>
      </c>
      <c r="Z300">
        <v>1.23</v>
      </c>
      <c r="AA300">
        <f t="shared" si="12"/>
        <v>12826.61</v>
      </c>
      <c r="AB300">
        <f t="shared" si="13"/>
        <v>0.14659349759725415</v>
      </c>
      <c r="AC300">
        <f t="shared" si="14"/>
        <v>0</v>
      </c>
      <c r="AD300">
        <v>2025</v>
      </c>
      <c r="AE300">
        <v>10</v>
      </c>
      <c r="AF300" t="s">
        <v>138</v>
      </c>
      <c r="AG300" t="s">
        <v>160</v>
      </c>
    </row>
    <row r="301" spans="1:33">
      <c r="A301" t="s">
        <v>452</v>
      </c>
      <c r="B301">
        <v>45582</v>
      </c>
      <c r="C301">
        <v>45583</v>
      </c>
      <c r="D301" t="s">
        <v>21</v>
      </c>
      <c r="E301">
        <v>1000</v>
      </c>
      <c r="F301">
        <v>941.43</v>
      </c>
      <c r="G301">
        <v>2.54</v>
      </c>
      <c r="H301">
        <v>917517.68</v>
      </c>
      <c r="I301" t="s">
        <v>1727</v>
      </c>
      <c r="J301">
        <v>691.68</v>
      </c>
      <c r="K301">
        <v>691680</v>
      </c>
      <c r="L301">
        <v>17962.54</v>
      </c>
      <c r="M301">
        <v>5243.3</v>
      </c>
      <c r="N301">
        <v>7145.24</v>
      </c>
      <c r="O301">
        <v>722031.08</v>
      </c>
      <c r="P301">
        <v>225837.68</v>
      </c>
      <c r="Q301">
        <v>195486.6</v>
      </c>
      <c r="R301" t="s">
        <v>65</v>
      </c>
      <c r="S301">
        <v>917517.68</v>
      </c>
      <c r="T301">
        <v>0</v>
      </c>
      <c r="U301" t="s">
        <v>66</v>
      </c>
      <c r="V301" t="s">
        <v>8</v>
      </c>
      <c r="W301" t="s">
        <v>80</v>
      </c>
      <c r="X301" t="s">
        <v>162</v>
      </c>
      <c r="Y301" t="s">
        <v>26</v>
      </c>
      <c r="Z301">
        <v>0.11</v>
      </c>
      <c r="AA301">
        <f t="shared" si="12"/>
        <v>195486.6</v>
      </c>
      <c r="AB301">
        <f t="shared" si="13"/>
        <v>0.21306030854904071</v>
      </c>
      <c r="AC301">
        <f t="shared" si="14"/>
        <v>0</v>
      </c>
      <c r="AD301">
        <v>2024</v>
      </c>
      <c r="AE301">
        <v>10</v>
      </c>
      <c r="AF301" t="s">
        <v>138</v>
      </c>
      <c r="AG301" t="s">
        <v>139</v>
      </c>
    </row>
    <row r="302" spans="1:33">
      <c r="A302" t="s">
        <v>453</v>
      </c>
      <c r="B302">
        <v>45757</v>
      </c>
      <c r="C302">
        <v>45768</v>
      </c>
      <c r="D302" t="s">
        <v>21</v>
      </c>
      <c r="E302">
        <v>300</v>
      </c>
      <c r="F302">
        <v>853.62</v>
      </c>
      <c r="G302">
        <v>1.43</v>
      </c>
      <c r="H302">
        <v>252423.97</v>
      </c>
      <c r="I302" t="s">
        <v>1729</v>
      </c>
      <c r="J302">
        <v>750.62</v>
      </c>
      <c r="K302">
        <v>225186</v>
      </c>
      <c r="L302">
        <v>1708</v>
      </c>
      <c r="M302">
        <v>823.53</v>
      </c>
      <c r="N302">
        <v>10970.49</v>
      </c>
      <c r="O302">
        <v>238688.02</v>
      </c>
      <c r="P302">
        <v>27237.97</v>
      </c>
      <c r="Q302">
        <v>13735.95</v>
      </c>
      <c r="R302" t="s">
        <v>65</v>
      </c>
      <c r="S302">
        <v>252423.97</v>
      </c>
      <c r="T302">
        <v>0</v>
      </c>
      <c r="U302" t="s">
        <v>66</v>
      </c>
      <c r="V302" t="s">
        <v>12</v>
      </c>
      <c r="W302" t="s">
        <v>92</v>
      </c>
      <c r="X302" t="s">
        <v>150</v>
      </c>
      <c r="Y302" t="s">
        <v>30</v>
      </c>
      <c r="Z302">
        <v>2.15</v>
      </c>
      <c r="AA302">
        <f t="shared" si="12"/>
        <v>13735.95</v>
      </c>
      <c r="AB302">
        <f t="shared" si="13"/>
        <v>5.4416187179054352E-2</v>
      </c>
      <c r="AC302">
        <f t="shared" si="14"/>
        <v>0</v>
      </c>
      <c r="AD302">
        <v>2025</v>
      </c>
      <c r="AE302">
        <v>4</v>
      </c>
      <c r="AF302" t="s">
        <v>154</v>
      </c>
      <c r="AG302" t="s">
        <v>155</v>
      </c>
    </row>
    <row r="303" spans="1:33">
      <c r="A303" t="s">
        <v>454</v>
      </c>
      <c r="B303">
        <v>45767</v>
      </c>
      <c r="C303">
        <v>45777</v>
      </c>
      <c r="D303" t="s">
        <v>21</v>
      </c>
      <c r="E303">
        <v>150</v>
      </c>
      <c r="F303">
        <v>873.84</v>
      </c>
      <c r="G303">
        <v>1.67</v>
      </c>
      <c r="H303">
        <v>128887.03</v>
      </c>
      <c r="I303" t="s">
        <v>1726</v>
      </c>
      <c r="J303">
        <v>715.36</v>
      </c>
      <c r="K303">
        <v>107304</v>
      </c>
      <c r="L303">
        <v>2955.34</v>
      </c>
      <c r="M303">
        <v>385.79</v>
      </c>
      <c r="N303">
        <v>4263.92</v>
      </c>
      <c r="O303">
        <v>114909.05</v>
      </c>
      <c r="P303">
        <v>21583.03</v>
      </c>
      <c r="Q303">
        <v>13977.98</v>
      </c>
      <c r="R303" t="s">
        <v>65</v>
      </c>
      <c r="S303">
        <v>128887.03</v>
      </c>
      <c r="T303">
        <v>0</v>
      </c>
      <c r="U303" t="s">
        <v>73</v>
      </c>
      <c r="V303" t="s">
        <v>8</v>
      </c>
      <c r="W303" t="s">
        <v>74</v>
      </c>
      <c r="X303" t="s">
        <v>123</v>
      </c>
      <c r="Y303" t="s">
        <v>22</v>
      </c>
      <c r="Z303">
        <v>2.0299999999999998</v>
      </c>
      <c r="AA303">
        <f t="shared" si="12"/>
        <v>13977.98</v>
      </c>
      <c r="AB303">
        <f t="shared" si="13"/>
        <v>0.10845140895868265</v>
      </c>
      <c r="AC303">
        <f t="shared" si="14"/>
        <v>0</v>
      </c>
      <c r="AD303">
        <v>2025</v>
      </c>
      <c r="AE303">
        <v>4</v>
      </c>
      <c r="AF303" t="s">
        <v>154</v>
      </c>
      <c r="AG303" t="s">
        <v>155</v>
      </c>
    </row>
    <row r="304" spans="1:33">
      <c r="A304" t="s">
        <v>455</v>
      </c>
      <c r="B304">
        <v>45408</v>
      </c>
      <c r="C304">
        <v>45413</v>
      </c>
      <c r="D304" t="s">
        <v>21</v>
      </c>
      <c r="E304">
        <v>300</v>
      </c>
      <c r="F304">
        <v>905.74</v>
      </c>
      <c r="G304">
        <v>0.26</v>
      </c>
      <c r="H304">
        <v>271015.52</v>
      </c>
      <c r="I304" t="s">
        <v>1726</v>
      </c>
      <c r="J304">
        <v>750.59</v>
      </c>
      <c r="K304">
        <v>225177</v>
      </c>
      <c r="L304">
        <v>3174.29</v>
      </c>
      <c r="M304">
        <v>1016.96</v>
      </c>
      <c r="N304">
        <v>3188.75</v>
      </c>
      <c r="O304">
        <v>232557</v>
      </c>
      <c r="P304">
        <v>45838.52</v>
      </c>
      <c r="Q304">
        <v>38458.519999999997</v>
      </c>
      <c r="R304" t="s">
        <v>65</v>
      </c>
      <c r="S304">
        <v>271015.52</v>
      </c>
      <c r="T304">
        <v>0</v>
      </c>
      <c r="U304" t="s">
        <v>66</v>
      </c>
      <c r="V304" t="s">
        <v>16</v>
      </c>
      <c r="W304" t="s">
        <v>67</v>
      </c>
      <c r="X304" t="s">
        <v>371</v>
      </c>
      <c r="Y304" t="s">
        <v>26</v>
      </c>
      <c r="Z304">
        <v>2.0499999999999998</v>
      </c>
      <c r="AA304">
        <f t="shared" si="12"/>
        <v>38458.519999999997</v>
      </c>
      <c r="AB304">
        <f t="shared" si="13"/>
        <v>0.14190523111001169</v>
      </c>
      <c r="AC304">
        <f t="shared" si="14"/>
        <v>0</v>
      </c>
      <c r="AD304">
        <v>2024</v>
      </c>
      <c r="AE304">
        <v>4</v>
      </c>
      <c r="AF304" t="s">
        <v>154</v>
      </c>
      <c r="AG304" t="s">
        <v>157</v>
      </c>
    </row>
    <row r="305" spans="1:33">
      <c r="A305" t="s">
        <v>456</v>
      </c>
      <c r="B305">
        <v>45571</v>
      </c>
      <c r="C305">
        <v>45582</v>
      </c>
      <c r="D305" t="s">
        <v>23</v>
      </c>
      <c r="E305">
        <v>150</v>
      </c>
      <c r="F305">
        <v>1256.43</v>
      </c>
      <c r="G305">
        <v>0.36</v>
      </c>
      <c r="H305">
        <v>187786.03</v>
      </c>
      <c r="I305" t="s">
        <v>1726</v>
      </c>
      <c r="J305">
        <v>1091.26</v>
      </c>
      <c r="K305">
        <v>163689</v>
      </c>
      <c r="L305">
        <v>996.37</v>
      </c>
      <c r="M305">
        <v>643.74</v>
      </c>
      <c r="N305">
        <v>7134.22</v>
      </c>
      <c r="O305">
        <v>172463.33</v>
      </c>
      <c r="P305">
        <v>24097.03</v>
      </c>
      <c r="Q305">
        <v>15322.7</v>
      </c>
      <c r="R305" t="s">
        <v>65</v>
      </c>
      <c r="S305">
        <v>187786.03</v>
      </c>
      <c r="T305">
        <v>0</v>
      </c>
      <c r="U305" t="s">
        <v>66</v>
      </c>
      <c r="V305" t="s">
        <v>6</v>
      </c>
      <c r="W305" t="s">
        <v>92</v>
      </c>
      <c r="X305" t="s">
        <v>115</v>
      </c>
      <c r="Y305" t="s">
        <v>22</v>
      </c>
      <c r="Z305">
        <v>1.87</v>
      </c>
      <c r="AA305">
        <f t="shared" si="12"/>
        <v>15322.7</v>
      </c>
      <c r="AB305">
        <f t="shared" si="13"/>
        <v>8.1596591610142682E-2</v>
      </c>
      <c r="AC305">
        <f t="shared" si="14"/>
        <v>0</v>
      </c>
      <c r="AD305">
        <v>2024</v>
      </c>
      <c r="AE305">
        <v>10</v>
      </c>
      <c r="AF305" t="s">
        <v>138</v>
      </c>
      <c r="AG305" t="s">
        <v>139</v>
      </c>
    </row>
    <row r="306" spans="1:33">
      <c r="A306" t="s">
        <v>457</v>
      </c>
      <c r="B306">
        <v>45750</v>
      </c>
      <c r="D306" t="s">
        <v>27</v>
      </c>
      <c r="E306">
        <v>200</v>
      </c>
      <c r="F306">
        <v>697.22</v>
      </c>
      <c r="G306">
        <v>2.25</v>
      </c>
      <c r="H306">
        <v>136306.51</v>
      </c>
      <c r="I306" t="s">
        <v>1727</v>
      </c>
      <c r="J306">
        <v>573.22</v>
      </c>
      <c r="K306">
        <v>114644</v>
      </c>
      <c r="L306">
        <v>2235.4699999999998</v>
      </c>
      <c r="M306">
        <v>726.18</v>
      </c>
      <c r="N306">
        <v>3472.19</v>
      </c>
      <c r="O306">
        <v>121077.84</v>
      </c>
      <c r="P306">
        <v>21662.51</v>
      </c>
      <c r="Q306">
        <v>15228.67</v>
      </c>
      <c r="R306" t="s">
        <v>134</v>
      </c>
      <c r="S306">
        <v>0</v>
      </c>
      <c r="T306">
        <v>136306.51</v>
      </c>
      <c r="U306" t="s">
        <v>91</v>
      </c>
      <c r="V306" t="s">
        <v>14</v>
      </c>
      <c r="W306" t="s">
        <v>74</v>
      </c>
      <c r="X306" t="s">
        <v>115</v>
      </c>
      <c r="Y306" t="s">
        <v>22</v>
      </c>
      <c r="Z306">
        <v>1.1599999999999999</v>
      </c>
      <c r="AA306">
        <f t="shared" si="12"/>
        <v>15228.67</v>
      </c>
      <c r="AB306">
        <f t="shared" si="13"/>
        <v>0.11172371737784204</v>
      </c>
      <c r="AC306">
        <f t="shared" si="14"/>
        <v>0</v>
      </c>
      <c r="AD306">
        <v>2025</v>
      </c>
      <c r="AE306">
        <v>4</v>
      </c>
      <c r="AF306" t="s">
        <v>154</v>
      </c>
      <c r="AG306" t="s">
        <v>155</v>
      </c>
    </row>
    <row r="307" spans="1:33">
      <c r="A307" t="s">
        <v>458</v>
      </c>
      <c r="B307">
        <v>45401</v>
      </c>
      <c r="C307">
        <v>45401</v>
      </c>
      <c r="D307" t="s">
        <v>21</v>
      </c>
      <c r="E307">
        <v>300</v>
      </c>
      <c r="F307">
        <v>900.11</v>
      </c>
      <c r="G307">
        <v>1.68</v>
      </c>
      <c r="H307">
        <v>265496.45</v>
      </c>
      <c r="I307" t="s">
        <v>1726</v>
      </c>
      <c r="J307">
        <v>704.63</v>
      </c>
      <c r="K307">
        <v>211389</v>
      </c>
      <c r="L307">
        <v>4869.3599999999997</v>
      </c>
      <c r="M307">
        <v>814.75</v>
      </c>
      <c r="N307">
        <v>10706.33</v>
      </c>
      <c r="O307">
        <v>227779.44</v>
      </c>
      <c r="P307">
        <v>54107.45</v>
      </c>
      <c r="Q307">
        <v>37717.01</v>
      </c>
      <c r="R307" t="s">
        <v>65</v>
      </c>
      <c r="S307">
        <v>265496.45</v>
      </c>
      <c r="T307">
        <v>0</v>
      </c>
      <c r="U307" t="s">
        <v>73</v>
      </c>
      <c r="V307" t="s">
        <v>14</v>
      </c>
      <c r="W307" t="s">
        <v>67</v>
      </c>
      <c r="X307" t="s">
        <v>101</v>
      </c>
      <c r="Y307" t="s">
        <v>22</v>
      </c>
      <c r="Z307">
        <v>1.89</v>
      </c>
      <c r="AA307">
        <f t="shared" si="12"/>
        <v>37717.01</v>
      </c>
      <c r="AB307">
        <f t="shared" si="13"/>
        <v>0.14206220083168719</v>
      </c>
      <c r="AC307">
        <f t="shared" si="14"/>
        <v>0</v>
      </c>
      <c r="AD307">
        <v>2024</v>
      </c>
      <c r="AE307">
        <v>4</v>
      </c>
      <c r="AF307" t="s">
        <v>154</v>
      </c>
      <c r="AG307" t="s">
        <v>157</v>
      </c>
    </row>
    <row r="308" spans="1:33">
      <c r="A308" t="s">
        <v>459</v>
      </c>
      <c r="B308">
        <v>45854</v>
      </c>
      <c r="C308">
        <v>45859</v>
      </c>
      <c r="D308" t="s">
        <v>21</v>
      </c>
      <c r="E308">
        <v>250</v>
      </c>
      <c r="F308">
        <v>858.35</v>
      </c>
      <c r="G308">
        <v>1.64</v>
      </c>
      <c r="H308">
        <v>211068.26</v>
      </c>
      <c r="I308" t="s">
        <v>1728</v>
      </c>
      <c r="J308">
        <v>742.76</v>
      </c>
      <c r="K308">
        <v>185690</v>
      </c>
      <c r="L308">
        <v>5259.23</v>
      </c>
      <c r="M308">
        <v>907.21</v>
      </c>
      <c r="N308">
        <v>11336.12</v>
      </c>
      <c r="O308">
        <v>203192.56</v>
      </c>
      <c r="P308">
        <v>25378.26</v>
      </c>
      <c r="Q308">
        <v>7875.7</v>
      </c>
      <c r="R308" t="s">
        <v>65</v>
      </c>
      <c r="S308">
        <v>211068.26</v>
      </c>
      <c r="T308">
        <v>0</v>
      </c>
      <c r="U308" t="s">
        <v>66</v>
      </c>
      <c r="V308" t="s">
        <v>6</v>
      </c>
      <c r="W308" t="s">
        <v>92</v>
      </c>
      <c r="X308" t="s">
        <v>164</v>
      </c>
      <c r="Y308" t="s">
        <v>24</v>
      </c>
      <c r="Z308">
        <v>2.08</v>
      </c>
      <c r="AA308">
        <f t="shared" si="12"/>
        <v>7875.7</v>
      </c>
      <c r="AB308">
        <f t="shared" si="13"/>
        <v>3.7313521227682452E-2</v>
      </c>
      <c r="AC308">
        <f t="shared" si="14"/>
        <v>0</v>
      </c>
      <c r="AD308">
        <v>2025</v>
      </c>
      <c r="AE308">
        <v>7</v>
      </c>
      <c r="AF308" t="s">
        <v>69</v>
      </c>
      <c r="AG308" t="s">
        <v>151</v>
      </c>
    </row>
    <row r="309" spans="1:33">
      <c r="A309" t="s">
        <v>460</v>
      </c>
      <c r="B309">
        <v>45312</v>
      </c>
      <c r="C309">
        <v>45317</v>
      </c>
      <c r="D309" t="s">
        <v>25</v>
      </c>
      <c r="E309">
        <v>100</v>
      </c>
      <c r="F309">
        <v>929.59</v>
      </c>
      <c r="G309">
        <v>0.35</v>
      </c>
      <c r="H309">
        <v>92633.64</v>
      </c>
      <c r="I309" t="s">
        <v>1729</v>
      </c>
      <c r="J309">
        <v>741.9</v>
      </c>
      <c r="K309">
        <v>74190</v>
      </c>
      <c r="L309">
        <v>1201.6400000000001</v>
      </c>
      <c r="M309">
        <v>444.12</v>
      </c>
      <c r="N309">
        <v>9544.31</v>
      </c>
      <c r="O309">
        <v>85380.07</v>
      </c>
      <c r="P309">
        <v>18443.64</v>
      </c>
      <c r="Q309">
        <v>7253.57</v>
      </c>
      <c r="R309" t="s">
        <v>134</v>
      </c>
      <c r="S309">
        <v>0</v>
      </c>
      <c r="T309">
        <v>92633.64</v>
      </c>
      <c r="U309" t="s">
        <v>66</v>
      </c>
      <c r="V309" t="s">
        <v>14</v>
      </c>
      <c r="W309" t="s">
        <v>74</v>
      </c>
      <c r="X309" t="s">
        <v>127</v>
      </c>
      <c r="Y309" t="s">
        <v>22</v>
      </c>
      <c r="Z309">
        <v>0.68</v>
      </c>
      <c r="AA309">
        <f t="shared" si="12"/>
        <v>7253.57</v>
      </c>
      <c r="AB309">
        <f t="shared" si="13"/>
        <v>7.8303842966766721E-2</v>
      </c>
      <c r="AC309">
        <f t="shared" si="14"/>
        <v>0</v>
      </c>
      <c r="AD309">
        <v>2024</v>
      </c>
      <c r="AE309">
        <v>1</v>
      </c>
      <c r="AF309" t="s">
        <v>102</v>
      </c>
      <c r="AG309" t="s">
        <v>103</v>
      </c>
    </row>
    <row r="310" spans="1:33">
      <c r="A310" t="s">
        <v>461</v>
      </c>
      <c r="B310">
        <v>45861</v>
      </c>
      <c r="C310">
        <v>45872</v>
      </c>
      <c r="D310" t="s">
        <v>21</v>
      </c>
      <c r="E310">
        <v>750</v>
      </c>
      <c r="F310">
        <v>865.75</v>
      </c>
      <c r="G310">
        <v>4.59</v>
      </c>
      <c r="H310">
        <v>619509.06000000006</v>
      </c>
      <c r="I310" t="s">
        <v>1726</v>
      </c>
      <c r="J310">
        <v>661.43</v>
      </c>
      <c r="K310">
        <v>496072.5</v>
      </c>
      <c r="L310">
        <v>14939.54</v>
      </c>
      <c r="M310">
        <v>2420.4299999999998</v>
      </c>
      <c r="N310">
        <v>1949.94</v>
      </c>
      <c r="O310">
        <v>515382.41</v>
      </c>
      <c r="P310">
        <v>123436.56</v>
      </c>
      <c r="Q310">
        <v>104126.65</v>
      </c>
      <c r="R310" t="s">
        <v>85</v>
      </c>
      <c r="S310">
        <v>257494.23</v>
      </c>
      <c r="T310">
        <v>362014.83</v>
      </c>
      <c r="U310" t="s">
        <v>66</v>
      </c>
      <c r="V310" t="s">
        <v>10</v>
      </c>
      <c r="W310" t="s">
        <v>74</v>
      </c>
      <c r="X310" t="s">
        <v>97</v>
      </c>
      <c r="Y310" t="s">
        <v>24</v>
      </c>
      <c r="Z310">
        <v>2.02</v>
      </c>
      <c r="AA310">
        <f t="shared" si="12"/>
        <v>104126.65</v>
      </c>
      <c r="AB310">
        <f t="shared" si="13"/>
        <v>0.16807930137454324</v>
      </c>
      <c r="AC310">
        <f t="shared" si="14"/>
        <v>0</v>
      </c>
      <c r="AD310">
        <v>2025</v>
      </c>
      <c r="AE310">
        <v>7</v>
      </c>
      <c r="AF310" t="s">
        <v>69</v>
      </c>
      <c r="AG310" t="s">
        <v>151</v>
      </c>
    </row>
    <row r="311" spans="1:33">
      <c r="A311" t="s">
        <v>462</v>
      </c>
      <c r="B311">
        <v>45503</v>
      </c>
      <c r="C311">
        <v>45505</v>
      </c>
      <c r="D311" t="s">
        <v>23</v>
      </c>
      <c r="E311">
        <v>750</v>
      </c>
      <c r="F311">
        <v>1254.8699999999999</v>
      </c>
      <c r="G311">
        <v>4.5199999999999996</v>
      </c>
      <c r="H311">
        <v>898612.41</v>
      </c>
      <c r="I311" t="s">
        <v>1728</v>
      </c>
      <c r="J311">
        <v>1105.9000000000001</v>
      </c>
      <c r="K311">
        <v>829425</v>
      </c>
      <c r="L311">
        <v>12515.34</v>
      </c>
      <c r="M311">
        <v>4133.53</v>
      </c>
      <c r="N311">
        <v>1088.8499999999999</v>
      </c>
      <c r="O311">
        <v>847162.72</v>
      </c>
      <c r="P311">
        <v>69187.41</v>
      </c>
      <c r="Q311">
        <v>51449.69</v>
      </c>
      <c r="R311" t="s">
        <v>65</v>
      </c>
      <c r="S311">
        <v>898612.41</v>
      </c>
      <c r="T311">
        <v>0</v>
      </c>
      <c r="U311" t="s">
        <v>66</v>
      </c>
      <c r="V311" t="s">
        <v>6</v>
      </c>
      <c r="W311" t="s">
        <v>74</v>
      </c>
      <c r="X311" t="s">
        <v>205</v>
      </c>
      <c r="Y311" t="s">
        <v>24</v>
      </c>
      <c r="Z311">
        <v>2.3199999999999998</v>
      </c>
      <c r="AA311">
        <f t="shared" si="12"/>
        <v>51449.69</v>
      </c>
      <c r="AB311">
        <f t="shared" si="13"/>
        <v>5.7254595448998975E-2</v>
      </c>
      <c r="AC311">
        <f t="shared" si="14"/>
        <v>0</v>
      </c>
      <c r="AD311">
        <v>2024</v>
      </c>
      <c r="AE311">
        <v>7</v>
      </c>
      <c r="AF311" t="s">
        <v>69</v>
      </c>
      <c r="AG311" t="s">
        <v>70</v>
      </c>
    </row>
    <row r="312" spans="1:33">
      <c r="A312" t="s">
        <v>463</v>
      </c>
      <c r="B312">
        <v>45480</v>
      </c>
      <c r="D312" t="s">
        <v>21</v>
      </c>
      <c r="E312">
        <v>150</v>
      </c>
      <c r="F312">
        <v>841.22</v>
      </c>
      <c r="G312">
        <v>2.2599999999999998</v>
      </c>
      <c r="H312">
        <v>0</v>
      </c>
      <c r="I312" t="s">
        <v>1726</v>
      </c>
      <c r="J312">
        <v>687.26</v>
      </c>
      <c r="K312">
        <v>0</v>
      </c>
      <c r="L312">
        <v>0</v>
      </c>
      <c r="M312">
        <v>0</v>
      </c>
      <c r="N312">
        <v>0</v>
      </c>
      <c r="O312">
        <v>0</v>
      </c>
      <c r="P312">
        <v>0</v>
      </c>
      <c r="Q312">
        <v>0</v>
      </c>
      <c r="R312" t="s">
        <v>65</v>
      </c>
      <c r="S312">
        <v>0</v>
      </c>
      <c r="T312">
        <v>0</v>
      </c>
      <c r="U312" t="s">
        <v>117</v>
      </c>
      <c r="V312" t="s">
        <v>14</v>
      </c>
      <c r="W312" t="s">
        <v>80</v>
      </c>
      <c r="X312" t="s">
        <v>224</v>
      </c>
      <c r="Y312" t="s">
        <v>31</v>
      </c>
      <c r="Z312">
        <v>0.86</v>
      </c>
      <c r="AA312">
        <f t="shared" si="12"/>
        <v>0</v>
      </c>
      <c r="AB312" t="e">
        <f t="shared" si="13"/>
        <v>#DIV/0!</v>
      </c>
      <c r="AC312">
        <f t="shared" si="14"/>
        <v>0</v>
      </c>
      <c r="AD312">
        <v>2024</v>
      </c>
      <c r="AE312">
        <v>7</v>
      </c>
      <c r="AF312" t="s">
        <v>69</v>
      </c>
      <c r="AG312" t="s">
        <v>70</v>
      </c>
    </row>
    <row r="313" spans="1:33">
      <c r="A313" t="s">
        <v>464</v>
      </c>
      <c r="B313">
        <v>45380</v>
      </c>
      <c r="C313">
        <v>45392</v>
      </c>
      <c r="D313" t="s">
        <v>21</v>
      </c>
      <c r="E313">
        <v>300</v>
      </c>
      <c r="F313">
        <v>872.96</v>
      </c>
      <c r="G313">
        <v>1.55</v>
      </c>
      <c r="H313">
        <v>257828.74</v>
      </c>
      <c r="I313" t="s">
        <v>1728</v>
      </c>
      <c r="J313">
        <v>745.9</v>
      </c>
      <c r="K313">
        <v>223770</v>
      </c>
      <c r="L313">
        <v>4929.0600000000004</v>
      </c>
      <c r="M313">
        <v>1715.26</v>
      </c>
      <c r="N313">
        <v>6018.43</v>
      </c>
      <c r="O313">
        <v>236432.75</v>
      </c>
      <c r="P313">
        <v>34058.74</v>
      </c>
      <c r="Q313">
        <v>21395.99</v>
      </c>
      <c r="R313" t="s">
        <v>134</v>
      </c>
      <c r="S313">
        <v>0</v>
      </c>
      <c r="T313">
        <v>257828.74</v>
      </c>
      <c r="U313" t="s">
        <v>66</v>
      </c>
      <c r="V313" t="s">
        <v>6</v>
      </c>
      <c r="W313" t="s">
        <v>67</v>
      </c>
      <c r="X313" t="s">
        <v>205</v>
      </c>
      <c r="Y313" t="s">
        <v>24</v>
      </c>
      <c r="Z313">
        <v>0.24</v>
      </c>
      <c r="AA313">
        <f t="shared" si="12"/>
        <v>21395.99</v>
      </c>
      <c r="AB313">
        <f t="shared" si="13"/>
        <v>8.2985279298188414E-2</v>
      </c>
      <c r="AC313">
        <f t="shared" si="14"/>
        <v>0</v>
      </c>
      <c r="AD313">
        <v>2024</v>
      </c>
      <c r="AE313">
        <v>3</v>
      </c>
      <c r="AF313" t="s">
        <v>105</v>
      </c>
      <c r="AG313" t="s">
        <v>120</v>
      </c>
    </row>
    <row r="314" spans="1:33">
      <c r="A314" t="s">
        <v>465</v>
      </c>
      <c r="B314">
        <v>45611</v>
      </c>
      <c r="C314">
        <v>45619</v>
      </c>
      <c r="D314" t="s">
        <v>21</v>
      </c>
      <c r="E314">
        <v>200</v>
      </c>
      <c r="F314">
        <v>870.46</v>
      </c>
      <c r="G314">
        <v>1.66</v>
      </c>
      <c r="H314">
        <v>171202.07</v>
      </c>
      <c r="I314" t="s">
        <v>1726</v>
      </c>
      <c r="J314">
        <v>745.55</v>
      </c>
      <c r="K314">
        <v>149110</v>
      </c>
      <c r="L314">
        <v>3818.32</v>
      </c>
      <c r="M314">
        <v>777.32</v>
      </c>
      <c r="N314">
        <v>6504.81</v>
      </c>
      <c r="O314">
        <v>160210.45000000001</v>
      </c>
      <c r="P314">
        <v>22092.07</v>
      </c>
      <c r="Q314">
        <v>10991.62</v>
      </c>
      <c r="R314" t="s">
        <v>85</v>
      </c>
      <c r="S314">
        <v>123356.62</v>
      </c>
      <c r="T314">
        <v>47845.45</v>
      </c>
      <c r="U314" t="s">
        <v>66</v>
      </c>
      <c r="V314" t="s">
        <v>14</v>
      </c>
      <c r="W314" t="s">
        <v>74</v>
      </c>
      <c r="X314" t="s">
        <v>185</v>
      </c>
      <c r="Y314" t="s">
        <v>31</v>
      </c>
      <c r="Z314">
        <v>1.46</v>
      </c>
      <c r="AA314">
        <f t="shared" si="12"/>
        <v>10991.62</v>
      </c>
      <c r="AB314">
        <f t="shared" si="13"/>
        <v>6.4202611568890497E-2</v>
      </c>
      <c r="AC314">
        <f t="shared" si="14"/>
        <v>0</v>
      </c>
      <c r="AD314">
        <v>2024</v>
      </c>
      <c r="AE314">
        <v>11</v>
      </c>
      <c r="AF314" t="s">
        <v>128</v>
      </c>
      <c r="AG314" t="s">
        <v>129</v>
      </c>
    </row>
    <row r="315" spans="1:33">
      <c r="A315" t="s">
        <v>466</v>
      </c>
      <c r="B315">
        <v>45806</v>
      </c>
      <c r="C315">
        <v>45817</v>
      </c>
      <c r="D315" t="s">
        <v>21</v>
      </c>
      <c r="E315">
        <v>100</v>
      </c>
      <c r="F315">
        <v>829.54</v>
      </c>
      <c r="G315">
        <v>0.27</v>
      </c>
      <c r="H315">
        <v>82730.02</v>
      </c>
      <c r="I315" t="s">
        <v>1726</v>
      </c>
      <c r="J315">
        <v>741.03</v>
      </c>
      <c r="K315">
        <v>74103</v>
      </c>
      <c r="L315">
        <v>1502.31</v>
      </c>
      <c r="M315">
        <v>386.48</v>
      </c>
      <c r="N315">
        <v>5670.79</v>
      </c>
      <c r="O315">
        <v>81662.58</v>
      </c>
      <c r="P315">
        <v>8627.02</v>
      </c>
      <c r="Q315">
        <v>1067.44</v>
      </c>
      <c r="R315" t="s">
        <v>65</v>
      </c>
      <c r="S315">
        <v>82730.02</v>
      </c>
      <c r="T315">
        <v>0</v>
      </c>
      <c r="U315" t="s">
        <v>66</v>
      </c>
      <c r="V315" t="s">
        <v>16</v>
      </c>
      <c r="W315" t="s">
        <v>67</v>
      </c>
      <c r="X315" t="s">
        <v>127</v>
      </c>
      <c r="Y315" t="s">
        <v>22</v>
      </c>
      <c r="Z315">
        <v>2.4</v>
      </c>
      <c r="AA315">
        <f t="shared" si="12"/>
        <v>1067.44</v>
      </c>
      <c r="AB315">
        <f t="shared" si="13"/>
        <v>1.2902692396303058E-2</v>
      </c>
      <c r="AC315">
        <f t="shared" si="14"/>
        <v>0</v>
      </c>
      <c r="AD315">
        <v>2025</v>
      </c>
      <c r="AE315">
        <v>5</v>
      </c>
      <c r="AF315" t="s">
        <v>76</v>
      </c>
      <c r="AG315" t="s">
        <v>94</v>
      </c>
    </row>
    <row r="316" spans="1:33">
      <c r="A316" t="s">
        <v>467</v>
      </c>
      <c r="B316">
        <v>45568</v>
      </c>
      <c r="C316">
        <v>45572</v>
      </c>
      <c r="D316" t="s">
        <v>21</v>
      </c>
      <c r="E316">
        <v>500</v>
      </c>
      <c r="F316">
        <v>948.24</v>
      </c>
      <c r="G316">
        <v>1.1200000000000001</v>
      </c>
      <c r="H316">
        <v>468809.86</v>
      </c>
      <c r="I316" t="s">
        <v>1728</v>
      </c>
      <c r="J316">
        <v>665.13</v>
      </c>
      <c r="K316">
        <v>332565</v>
      </c>
      <c r="L316">
        <v>10288.370000000001</v>
      </c>
      <c r="M316">
        <v>2268.37</v>
      </c>
      <c r="N316">
        <v>5418.86</v>
      </c>
      <c r="O316">
        <v>350540.6</v>
      </c>
      <c r="P316">
        <v>136244.85999999999</v>
      </c>
      <c r="Q316">
        <v>118269.26</v>
      </c>
      <c r="R316" t="s">
        <v>65</v>
      </c>
      <c r="S316">
        <v>468809.86</v>
      </c>
      <c r="T316">
        <v>0</v>
      </c>
      <c r="U316" t="s">
        <v>73</v>
      </c>
      <c r="V316" t="s">
        <v>8</v>
      </c>
      <c r="W316" t="s">
        <v>67</v>
      </c>
      <c r="X316" t="s">
        <v>115</v>
      </c>
      <c r="Y316" t="s">
        <v>22</v>
      </c>
      <c r="Z316">
        <v>1.7</v>
      </c>
      <c r="AA316">
        <f t="shared" si="12"/>
        <v>118269.26</v>
      </c>
      <c r="AB316">
        <f t="shared" si="13"/>
        <v>0.25227553874400166</v>
      </c>
      <c r="AC316">
        <f t="shared" si="14"/>
        <v>0</v>
      </c>
      <c r="AD316">
        <v>2024</v>
      </c>
      <c r="AE316">
        <v>10</v>
      </c>
      <c r="AF316" t="s">
        <v>138</v>
      </c>
      <c r="AG316" t="s">
        <v>139</v>
      </c>
    </row>
    <row r="317" spans="1:33">
      <c r="A317" t="s">
        <v>468</v>
      </c>
      <c r="B317">
        <v>45671</v>
      </c>
      <c r="C317">
        <v>45681</v>
      </c>
      <c r="D317" t="s">
        <v>23</v>
      </c>
      <c r="E317">
        <v>150</v>
      </c>
      <c r="F317">
        <v>1242.02</v>
      </c>
      <c r="G317">
        <v>2.13</v>
      </c>
      <c r="H317">
        <v>182334.75</v>
      </c>
      <c r="I317" t="s">
        <v>1728</v>
      </c>
      <c r="J317">
        <v>1099.78</v>
      </c>
      <c r="K317">
        <v>164967</v>
      </c>
      <c r="L317">
        <v>3581.26</v>
      </c>
      <c r="M317">
        <v>707.03</v>
      </c>
      <c r="N317">
        <v>10972.26</v>
      </c>
      <c r="O317">
        <v>180227.55</v>
      </c>
      <c r="P317">
        <v>17367.75</v>
      </c>
      <c r="Q317">
        <v>2107.1999999999998</v>
      </c>
      <c r="R317" t="s">
        <v>134</v>
      </c>
      <c r="S317">
        <v>0</v>
      </c>
      <c r="T317">
        <v>182334.75</v>
      </c>
      <c r="U317" t="s">
        <v>66</v>
      </c>
      <c r="V317" t="s">
        <v>8</v>
      </c>
      <c r="W317" t="s">
        <v>74</v>
      </c>
      <c r="X317" t="s">
        <v>195</v>
      </c>
      <c r="Y317" t="s">
        <v>26</v>
      </c>
      <c r="Z317">
        <v>1.8</v>
      </c>
      <c r="AA317">
        <f t="shared" si="12"/>
        <v>2107.1999999999998</v>
      </c>
      <c r="AB317">
        <f t="shared" si="13"/>
        <v>1.1556765783812465E-2</v>
      </c>
      <c r="AC317">
        <f t="shared" si="14"/>
        <v>0</v>
      </c>
      <c r="AD317">
        <v>2025</v>
      </c>
      <c r="AE317">
        <v>1</v>
      </c>
      <c r="AF317" t="s">
        <v>102</v>
      </c>
      <c r="AG317" t="s">
        <v>118</v>
      </c>
    </row>
    <row r="318" spans="1:33">
      <c r="A318" t="s">
        <v>469</v>
      </c>
      <c r="B318">
        <v>45799</v>
      </c>
      <c r="C318">
        <v>45803</v>
      </c>
      <c r="D318" t="s">
        <v>25</v>
      </c>
      <c r="E318">
        <v>150</v>
      </c>
      <c r="F318">
        <v>937.99</v>
      </c>
      <c r="G318">
        <v>0.65</v>
      </c>
      <c r="H318">
        <v>139783.96</v>
      </c>
      <c r="I318" t="s">
        <v>1727</v>
      </c>
      <c r="J318">
        <v>809.88</v>
      </c>
      <c r="K318">
        <v>121482</v>
      </c>
      <c r="L318">
        <v>2738.84</v>
      </c>
      <c r="M318">
        <v>517.39</v>
      </c>
      <c r="N318">
        <v>9643.11</v>
      </c>
      <c r="O318">
        <v>134381.34</v>
      </c>
      <c r="P318">
        <v>18301.96</v>
      </c>
      <c r="Q318">
        <v>5402.62</v>
      </c>
      <c r="R318" t="s">
        <v>65</v>
      </c>
      <c r="S318">
        <v>139783.96</v>
      </c>
      <c r="T318">
        <v>0</v>
      </c>
      <c r="U318" t="s">
        <v>73</v>
      </c>
      <c r="V318" t="s">
        <v>14</v>
      </c>
      <c r="W318" t="s">
        <v>92</v>
      </c>
      <c r="X318" t="s">
        <v>167</v>
      </c>
      <c r="Y318" t="s">
        <v>31</v>
      </c>
      <c r="Z318">
        <v>1.26</v>
      </c>
      <c r="AA318">
        <f t="shared" si="12"/>
        <v>5402.62</v>
      </c>
      <c r="AB318">
        <f t="shared" si="13"/>
        <v>3.8649784996790761E-2</v>
      </c>
      <c r="AC318">
        <f t="shared" si="14"/>
        <v>0</v>
      </c>
      <c r="AD318">
        <v>2025</v>
      </c>
      <c r="AE318">
        <v>5</v>
      </c>
      <c r="AF318" t="s">
        <v>76</v>
      </c>
      <c r="AG318" t="s">
        <v>94</v>
      </c>
    </row>
    <row r="319" spans="1:33">
      <c r="A319" t="s">
        <v>470</v>
      </c>
      <c r="B319">
        <v>45610</v>
      </c>
      <c r="D319" t="s">
        <v>21</v>
      </c>
      <c r="E319">
        <v>750</v>
      </c>
      <c r="F319">
        <v>939.36</v>
      </c>
      <c r="G319">
        <v>0.52</v>
      </c>
      <c r="H319">
        <v>700856.5</v>
      </c>
      <c r="I319" t="s">
        <v>1729</v>
      </c>
      <c r="J319">
        <v>666.41</v>
      </c>
      <c r="K319">
        <v>499807.5</v>
      </c>
      <c r="L319">
        <v>9428.27</v>
      </c>
      <c r="M319">
        <v>3862.16</v>
      </c>
      <c r="N319">
        <v>9476.1200000000008</v>
      </c>
      <c r="O319">
        <v>522574.05</v>
      </c>
      <c r="P319">
        <v>201049</v>
      </c>
      <c r="Q319">
        <v>178282.45</v>
      </c>
      <c r="R319" t="s">
        <v>65</v>
      </c>
      <c r="S319">
        <v>700856.5</v>
      </c>
      <c r="T319">
        <v>0</v>
      </c>
      <c r="U319" t="s">
        <v>91</v>
      </c>
      <c r="V319" t="s">
        <v>14</v>
      </c>
      <c r="W319" t="s">
        <v>80</v>
      </c>
      <c r="X319" t="s">
        <v>127</v>
      </c>
      <c r="Y319" t="s">
        <v>22</v>
      </c>
      <c r="Z319">
        <v>0.93</v>
      </c>
      <c r="AA319">
        <f t="shared" si="12"/>
        <v>178282.45</v>
      </c>
      <c r="AB319">
        <f t="shared" si="13"/>
        <v>0.25437796467607848</v>
      </c>
      <c r="AC319">
        <f t="shared" si="14"/>
        <v>0</v>
      </c>
      <c r="AD319">
        <v>2024</v>
      </c>
      <c r="AE319">
        <v>11</v>
      </c>
      <c r="AF319" t="s">
        <v>128</v>
      </c>
      <c r="AG319" t="s">
        <v>129</v>
      </c>
    </row>
    <row r="320" spans="1:33">
      <c r="A320" t="s">
        <v>471</v>
      </c>
      <c r="B320">
        <v>45662</v>
      </c>
      <c r="C320">
        <v>45673</v>
      </c>
      <c r="D320" t="s">
        <v>23</v>
      </c>
      <c r="E320">
        <v>500</v>
      </c>
      <c r="F320">
        <v>1246.7</v>
      </c>
      <c r="G320">
        <v>3.51</v>
      </c>
      <c r="H320">
        <v>601470.42000000004</v>
      </c>
      <c r="I320" t="s">
        <v>1726</v>
      </c>
      <c r="J320">
        <v>1119.06</v>
      </c>
      <c r="K320">
        <v>559530</v>
      </c>
      <c r="L320">
        <v>8383.68</v>
      </c>
      <c r="M320">
        <v>2758.37</v>
      </c>
      <c r="N320">
        <v>10628.31</v>
      </c>
      <c r="O320">
        <v>581300.36</v>
      </c>
      <c r="P320">
        <v>41940.42</v>
      </c>
      <c r="Q320">
        <v>20170.060000000001</v>
      </c>
      <c r="R320" t="s">
        <v>134</v>
      </c>
      <c r="S320">
        <v>0</v>
      </c>
      <c r="T320">
        <v>601470.42000000004</v>
      </c>
      <c r="U320" t="s">
        <v>66</v>
      </c>
      <c r="V320" t="s">
        <v>12</v>
      </c>
      <c r="W320" t="s">
        <v>67</v>
      </c>
      <c r="X320" t="s">
        <v>75</v>
      </c>
      <c r="Y320" t="s">
        <v>28</v>
      </c>
      <c r="Z320">
        <v>0.99</v>
      </c>
      <c r="AA320">
        <f t="shared" si="12"/>
        <v>20170.060000000001</v>
      </c>
      <c r="AB320">
        <f t="shared" si="13"/>
        <v>3.3534583462973958E-2</v>
      </c>
      <c r="AC320">
        <f t="shared" si="14"/>
        <v>0</v>
      </c>
      <c r="AD320">
        <v>2025</v>
      </c>
      <c r="AE320">
        <v>1</v>
      </c>
      <c r="AF320" t="s">
        <v>102</v>
      </c>
      <c r="AG320" t="s">
        <v>118</v>
      </c>
    </row>
    <row r="321" spans="1:33">
      <c r="A321" t="s">
        <v>472</v>
      </c>
      <c r="B321">
        <v>45387</v>
      </c>
      <c r="C321">
        <v>45397</v>
      </c>
      <c r="D321" t="s">
        <v>21</v>
      </c>
      <c r="E321">
        <v>200</v>
      </c>
      <c r="F321">
        <v>920.76</v>
      </c>
      <c r="G321">
        <v>0.65</v>
      </c>
      <c r="H321">
        <v>182955.01</v>
      </c>
      <c r="I321" t="s">
        <v>1727</v>
      </c>
      <c r="J321">
        <v>713.69</v>
      </c>
      <c r="K321">
        <v>142738</v>
      </c>
      <c r="L321">
        <v>3680.26</v>
      </c>
      <c r="M321">
        <v>1042.44</v>
      </c>
      <c r="N321">
        <v>6143.52</v>
      </c>
      <c r="O321">
        <v>153604.22</v>
      </c>
      <c r="P321">
        <v>40217.01</v>
      </c>
      <c r="Q321">
        <v>29350.79</v>
      </c>
      <c r="R321" t="s">
        <v>65</v>
      </c>
      <c r="S321">
        <v>182955.01</v>
      </c>
      <c r="T321">
        <v>0</v>
      </c>
      <c r="U321" t="s">
        <v>73</v>
      </c>
      <c r="V321" t="s">
        <v>12</v>
      </c>
      <c r="W321" t="s">
        <v>67</v>
      </c>
      <c r="X321" t="s">
        <v>108</v>
      </c>
      <c r="Y321" t="s">
        <v>22</v>
      </c>
      <c r="Z321">
        <v>0.02</v>
      </c>
      <c r="AA321">
        <f t="shared" si="12"/>
        <v>29350.79</v>
      </c>
      <c r="AB321">
        <f t="shared" si="13"/>
        <v>0.16042627091764253</v>
      </c>
      <c r="AC321">
        <f t="shared" si="14"/>
        <v>0</v>
      </c>
      <c r="AD321">
        <v>2024</v>
      </c>
      <c r="AE321">
        <v>4</v>
      </c>
      <c r="AF321" t="s">
        <v>154</v>
      </c>
      <c r="AG321" t="s">
        <v>157</v>
      </c>
    </row>
    <row r="322" spans="1:33">
      <c r="A322" t="s">
        <v>473</v>
      </c>
      <c r="B322">
        <v>45430</v>
      </c>
      <c r="C322">
        <v>45434</v>
      </c>
      <c r="D322" t="s">
        <v>21</v>
      </c>
      <c r="E322">
        <v>500</v>
      </c>
      <c r="F322">
        <v>920.16</v>
      </c>
      <c r="G322">
        <v>2.68</v>
      </c>
      <c r="H322">
        <v>447749.86</v>
      </c>
      <c r="I322" t="s">
        <v>1726</v>
      </c>
      <c r="J322">
        <v>734.25</v>
      </c>
      <c r="K322">
        <v>367125</v>
      </c>
      <c r="L322">
        <v>7840.21</v>
      </c>
      <c r="M322">
        <v>2657.06</v>
      </c>
      <c r="N322">
        <v>11492.38</v>
      </c>
      <c r="O322">
        <v>389114.65</v>
      </c>
      <c r="P322">
        <v>80624.86</v>
      </c>
      <c r="Q322">
        <v>58635.21</v>
      </c>
      <c r="R322" t="s">
        <v>85</v>
      </c>
      <c r="S322">
        <v>315076.71000000002</v>
      </c>
      <c r="T322">
        <v>132673.15</v>
      </c>
      <c r="U322" t="s">
        <v>66</v>
      </c>
      <c r="V322" t="s">
        <v>6</v>
      </c>
      <c r="W322" t="s">
        <v>74</v>
      </c>
      <c r="X322" t="s">
        <v>123</v>
      </c>
      <c r="Y322" t="s">
        <v>22</v>
      </c>
      <c r="Z322">
        <v>1.1499999999999999</v>
      </c>
      <c r="AA322">
        <f t="shared" ref="AA322:AA385" si="15">ROUND(H322-O322,2)</f>
        <v>58635.21</v>
      </c>
      <c r="AB322">
        <f t="shared" ref="AB322:AB385" si="16">AA322/H322</f>
        <v>0.13095528382744775</v>
      </c>
      <c r="AC322">
        <f t="shared" ref="AC322:AC385" si="17">ROUND(AA322-Q322,2)</f>
        <v>0</v>
      </c>
      <c r="AD322">
        <v>2024</v>
      </c>
      <c r="AE322">
        <v>5</v>
      </c>
      <c r="AF322" t="s">
        <v>76</v>
      </c>
      <c r="AG322" t="s">
        <v>77</v>
      </c>
    </row>
    <row r="323" spans="1:33">
      <c r="A323" t="s">
        <v>474</v>
      </c>
      <c r="B323">
        <v>45622</v>
      </c>
      <c r="C323">
        <v>45622</v>
      </c>
      <c r="D323" t="s">
        <v>21</v>
      </c>
      <c r="E323">
        <v>500</v>
      </c>
      <c r="F323">
        <v>949.77</v>
      </c>
      <c r="G323">
        <v>0.15</v>
      </c>
      <c r="H323">
        <v>474172.67</v>
      </c>
      <c r="I323" t="s">
        <v>1726</v>
      </c>
      <c r="J323">
        <v>678.27</v>
      </c>
      <c r="K323">
        <v>339135</v>
      </c>
      <c r="L323">
        <v>5413.21</v>
      </c>
      <c r="M323">
        <v>1729.98</v>
      </c>
      <c r="N323">
        <v>7034.98</v>
      </c>
      <c r="O323">
        <v>353313.17</v>
      </c>
      <c r="P323">
        <v>135037.67000000001</v>
      </c>
      <c r="Q323">
        <v>120859.5</v>
      </c>
      <c r="R323" t="s">
        <v>85</v>
      </c>
      <c r="S323">
        <v>333844.90000000002</v>
      </c>
      <c r="T323">
        <v>140327.76999999999</v>
      </c>
      <c r="U323" t="s">
        <v>73</v>
      </c>
      <c r="V323" t="s">
        <v>16</v>
      </c>
      <c r="W323" t="s">
        <v>92</v>
      </c>
      <c r="X323" t="s">
        <v>127</v>
      </c>
      <c r="Y323" t="s">
        <v>22</v>
      </c>
      <c r="Z323">
        <v>0.95</v>
      </c>
      <c r="AA323">
        <f t="shared" si="15"/>
        <v>120859.5</v>
      </c>
      <c r="AB323">
        <f t="shared" si="16"/>
        <v>0.25488499790593161</v>
      </c>
      <c r="AC323">
        <f t="shared" si="17"/>
        <v>0</v>
      </c>
      <c r="AD323">
        <v>2024</v>
      </c>
      <c r="AE323">
        <v>11</v>
      </c>
      <c r="AF323" t="s">
        <v>128</v>
      </c>
      <c r="AG323" t="s">
        <v>129</v>
      </c>
    </row>
    <row r="324" spans="1:33">
      <c r="A324" t="s">
        <v>475</v>
      </c>
      <c r="B324">
        <v>45334</v>
      </c>
      <c r="C324">
        <v>45343</v>
      </c>
      <c r="D324" t="s">
        <v>23</v>
      </c>
      <c r="E324">
        <v>500</v>
      </c>
      <c r="F324">
        <v>1272.8900000000001</v>
      </c>
      <c r="G324">
        <v>4.3899999999999997</v>
      </c>
      <c r="H324">
        <v>608505.06000000006</v>
      </c>
      <c r="I324" t="s">
        <v>1727</v>
      </c>
      <c r="J324">
        <v>1122.22</v>
      </c>
      <c r="K324">
        <v>561110</v>
      </c>
      <c r="L324">
        <v>7528.41</v>
      </c>
      <c r="M324">
        <v>1785.48</v>
      </c>
      <c r="N324">
        <v>1600.93</v>
      </c>
      <c r="O324">
        <v>572024.81999999995</v>
      </c>
      <c r="P324">
        <v>47395.06</v>
      </c>
      <c r="Q324">
        <v>36480.239999999998</v>
      </c>
      <c r="R324" t="s">
        <v>65</v>
      </c>
      <c r="S324">
        <v>608505.06000000006</v>
      </c>
      <c r="T324">
        <v>0</v>
      </c>
      <c r="U324" t="s">
        <v>66</v>
      </c>
      <c r="V324" t="s">
        <v>6</v>
      </c>
      <c r="W324" t="s">
        <v>74</v>
      </c>
      <c r="X324" t="s">
        <v>185</v>
      </c>
      <c r="Y324" t="s">
        <v>31</v>
      </c>
      <c r="Z324">
        <v>1</v>
      </c>
      <c r="AA324">
        <f t="shared" si="15"/>
        <v>36480.239999999998</v>
      </c>
      <c r="AB324">
        <f t="shared" si="16"/>
        <v>5.9950594330308436E-2</v>
      </c>
      <c r="AC324">
        <f t="shared" si="17"/>
        <v>0</v>
      </c>
      <c r="AD324">
        <v>2024</v>
      </c>
      <c r="AE324">
        <v>2</v>
      </c>
      <c r="AF324" t="s">
        <v>172</v>
      </c>
      <c r="AG324" t="s">
        <v>173</v>
      </c>
    </row>
    <row r="325" spans="1:33">
      <c r="A325" t="s">
        <v>476</v>
      </c>
      <c r="B325">
        <v>45978</v>
      </c>
      <c r="D325" t="s">
        <v>21</v>
      </c>
      <c r="E325">
        <v>1000</v>
      </c>
      <c r="F325">
        <v>939.32</v>
      </c>
      <c r="G325">
        <v>3.82</v>
      </c>
      <c r="H325">
        <v>0</v>
      </c>
      <c r="I325" t="s">
        <v>1726</v>
      </c>
      <c r="J325">
        <v>723.32</v>
      </c>
      <c r="K325">
        <v>0</v>
      </c>
      <c r="L325">
        <v>0</v>
      </c>
      <c r="M325">
        <v>0</v>
      </c>
      <c r="N325">
        <v>0</v>
      </c>
      <c r="O325">
        <v>0</v>
      </c>
      <c r="P325">
        <v>0</v>
      </c>
      <c r="Q325">
        <v>0</v>
      </c>
      <c r="R325" t="s">
        <v>65</v>
      </c>
      <c r="S325">
        <v>0</v>
      </c>
      <c r="T325">
        <v>0</v>
      </c>
      <c r="U325" t="s">
        <v>117</v>
      </c>
      <c r="V325" t="s">
        <v>6</v>
      </c>
      <c r="W325" t="s">
        <v>74</v>
      </c>
      <c r="X325" t="s">
        <v>208</v>
      </c>
      <c r="Y325" t="s">
        <v>26</v>
      </c>
      <c r="Z325">
        <v>1.23</v>
      </c>
      <c r="AA325">
        <f t="shared" si="15"/>
        <v>0</v>
      </c>
      <c r="AB325" t="e">
        <f t="shared" si="16"/>
        <v>#DIV/0!</v>
      </c>
      <c r="AC325">
        <f t="shared" si="17"/>
        <v>0</v>
      </c>
      <c r="AD325">
        <v>2025</v>
      </c>
      <c r="AE325">
        <v>11</v>
      </c>
      <c r="AF325" t="s">
        <v>128</v>
      </c>
      <c r="AG325" t="s">
        <v>135</v>
      </c>
    </row>
    <row r="326" spans="1:33">
      <c r="A326" t="s">
        <v>477</v>
      </c>
      <c r="B326">
        <v>45530</v>
      </c>
      <c r="C326">
        <v>45532</v>
      </c>
      <c r="D326" t="s">
        <v>25</v>
      </c>
      <c r="E326">
        <v>200</v>
      </c>
      <c r="F326">
        <v>945.29</v>
      </c>
      <c r="G326">
        <v>0.25</v>
      </c>
      <c r="H326">
        <v>188585.36</v>
      </c>
      <c r="I326" t="s">
        <v>1726</v>
      </c>
      <c r="J326">
        <v>750.76</v>
      </c>
      <c r="K326">
        <v>150152</v>
      </c>
      <c r="L326">
        <v>1558.46</v>
      </c>
      <c r="M326">
        <v>366.68</v>
      </c>
      <c r="N326">
        <v>4101.37</v>
      </c>
      <c r="O326">
        <v>156178.51</v>
      </c>
      <c r="P326">
        <v>38433.360000000001</v>
      </c>
      <c r="Q326">
        <v>32406.85</v>
      </c>
      <c r="R326" t="s">
        <v>65</v>
      </c>
      <c r="S326">
        <v>188585.36</v>
      </c>
      <c r="T326">
        <v>0</v>
      </c>
      <c r="U326" t="s">
        <v>66</v>
      </c>
      <c r="V326" t="s">
        <v>8</v>
      </c>
      <c r="W326" t="s">
        <v>74</v>
      </c>
      <c r="X326" t="s">
        <v>195</v>
      </c>
      <c r="Y326" t="s">
        <v>26</v>
      </c>
      <c r="Z326">
        <v>0.63</v>
      </c>
      <c r="AA326">
        <f t="shared" si="15"/>
        <v>32406.85</v>
      </c>
      <c r="AB326">
        <f t="shared" si="16"/>
        <v>0.17184181211097194</v>
      </c>
      <c r="AC326">
        <f t="shared" si="17"/>
        <v>0</v>
      </c>
      <c r="AD326">
        <v>2024</v>
      </c>
      <c r="AE326">
        <v>8</v>
      </c>
      <c r="AF326" t="s">
        <v>82</v>
      </c>
      <c r="AG326" t="s">
        <v>83</v>
      </c>
    </row>
    <row r="327" spans="1:33">
      <c r="A327" t="s">
        <v>478</v>
      </c>
      <c r="B327">
        <v>45789</v>
      </c>
      <c r="C327">
        <v>45794</v>
      </c>
      <c r="D327" t="s">
        <v>21</v>
      </c>
      <c r="E327">
        <v>500</v>
      </c>
      <c r="F327">
        <v>826.8</v>
      </c>
      <c r="G327">
        <v>0.89</v>
      </c>
      <c r="H327">
        <v>409720.74</v>
      </c>
      <c r="I327" t="s">
        <v>1729</v>
      </c>
      <c r="J327">
        <v>684.61</v>
      </c>
      <c r="K327">
        <v>342305</v>
      </c>
      <c r="L327">
        <v>5423.39</v>
      </c>
      <c r="M327">
        <v>2438.66</v>
      </c>
      <c r="N327">
        <v>7614.32</v>
      </c>
      <c r="O327">
        <v>357781.37</v>
      </c>
      <c r="P327">
        <v>67415.740000000005</v>
      </c>
      <c r="Q327">
        <v>51939.37</v>
      </c>
      <c r="R327" t="s">
        <v>65</v>
      </c>
      <c r="S327">
        <v>409720.74</v>
      </c>
      <c r="T327">
        <v>0</v>
      </c>
      <c r="U327" t="s">
        <v>66</v>
      </c>
      <c r="V327" t="s">
        <v>10</v>
      </c>
      <c r="W327" t="s">
        <v>67</v>
      </c>
      <c r="X327" t="s">
        <v>193</v>
      </c>
      <c r="Y327" t="s">
        <v>30</v>
      </c>
      <c r="Z327">
        <v>0.86</v>
      </c>
      <c r="AA327">
        <f t="shared" si="15"/>
        <v>51939.37</v>
      </c>
      <c r="AB327">
        <f t="shared" si="16"/>
        <v>0.12676773453059761</v>
      </c>
      <c r="AC327">
        <f t="shared" si="17"/>
        <v>0</v>
      </c>
      <c r="AD327">
        <v>2025</v>
      </c>
      <c r="AE327">
        <v>5</v>
      </c>
      <c r="AF327" t="s">
        <v>76</v>
      </c>
      <c r="AG327" t="s">
        <v>94</v>
      </c>
    </row>
    <row r="328" spans="1:33">
      <c r="A328" t="s">
        <v>479</v>
      </c>
      <c r="B328">
        <v>45815</v>
      </c>
      <c r="C328">
        <v>45829</v>
      </c>
      <c r="D328" t="s">
        <v>23</v>
      </c>
      <c r="E328">
        <v>200</v>
      </c>
      <c r="F328">
        <v>1303.71</v>
      </c>
      <c r="G328">
        <v>0.95</v>
      </c>
      <c r="H328">
        <v>258264.95</v>
      </c>
      <c r="I328" t="s">
        <v>1727</v>
      </c>
      <c r="J328">
        <v>988.81</v>
      </c>
      <c r="K328">
        <v>197762</v>
      </c>
      <c r="L328">
        <v>2436.54</v>
      </c>
      <c r="M328">
        <v>1197.3699999999999</v>
      </c>
      <c r="N328">
        <v>9646.85</v>
      </c>
      <c r="O328">
        <v>211042.76</v>
      </c>
      <c r="P328">
        <v>60502.95</v>
      </c>
      <c r="Q328">
        <v>47222.19</v>
      </c>
      <c r="R328" t="s">
        <v>134</v>
      </c>
      <c r="S328">
        <v>0</v>
      </c>
      <c r="T328">
        <v>258264.95</v>
      </c>
      <c r="U328" t="s">
        <v>66</v>
      </c>
      <c r="V328" t="s">
        <v>14</v>
      </c>
      <c r="W328" t="s">
        <v>92</v>
      </c>
      <c r="X328" t="s">
        <v>195</v>
      </c>
      <c r="Y328" t="s">
        <v>26</v>
      </c>
      <c r="Z328">
        <v>1.19</v>
      </c>
      <c r="AA328">
        <f t="shared" si="15"/>
        <v>47222.19</v>
      </c>
      <c r="AB328">
        <f t="shared" si="16"/>
        <v>0.182843974763126</v>
      </c>
      <c r="AC328">
        <f t="shared" si="17"/>
        <v>0</v>
      </c>
      <c r="AD328">
        <v>2025</v>
      </c>
      <c r="AE328">
        <v>6</v>
      </c>
      <c r="AF328" t="s">
        <v>111</v>
      </c>
      <c r="AG328" t="s">
        <v>112</v>
      </c>
    </row>
    <row r="329" spans="1:33">
      <c r="A329" t="s">
        <v>480</v>
      </c>
      <c r="B329">
        <v>45910</v>
      </c>
      <c r="C329">
        <v>45923</v>
      </c>
      <c r="D329" t="s">
        <v>21</v>
      </c>
      <c r="E329">
        <v>100</v>
      </c>
      <c r="F329">
        <v>918.52</v>
      </c>
      <c r="G329">
        <v>0.81</v>
      </c>
      <c r="H329">
        <v>91108</v>
      </c>
      <c r="I329" t="s">
        <v>1727</v>
      </c>
      <c r="J329">
        <v>670.76</v>
      </c>
      <c r="K329">
        <v>67076</v>
      </c>
      <c r="L329">
        <v>717.18</v>
      </c>
      <c r="M329">
        <v>419.06</v>
      </c>
      <c r="N329">
        <v>9249.56</v>
      </c>
      <c r="O329">
        <v>77461.8</v>
      </c>
      <c r="P329">
        <v>24032</v>
      </c>
      <c r="Q329">
        <v>13646.2</v>
      </c>
      <c r="R329" t="s">
        <v>65</v>
      </c>
      <c r="S329">
        <v>91108</v>
      </c>
      <c r="T329">
        <v>0</v>
      </c>
      <c r="U329" t="s">
        <v>73</v>
      </c>
      <c r="V329" t="s">
        <v>16</v>
      </c>
      <c r="W329" t="s">
        <v>80</v>
      </c>
      <c r="X329" t="s">
        <v>193</v>
      </c>
      <c r="Y329" t="s">
        <v>30</v>
      </c>
      <c r="Z329">
        <v>1.31</v>
      </c>
      <c r="AA329">
        <f t="shared" si="15"/>
        <v>13646.2</v>
      </c>
      <c r="AB329">
        <f t="shared" si="16"/>
        <v>0.14978048030908372</v>
      </c>
      <c r="AC329">
        <f t="shared" si="17"/>
        <v>0</v>
      </c>
      <c r="AD329">
        <v>2025</v>
      </c>
      <c r="AE329">
        <v>9</v>
      </c>
      <c r="AF329" t="s">
        <v>131</v>
      </c>
      <c r="AG329" t="s">
        <v>132</v>
      </c>
    </row>
    <row r="330" spans="1:33">
      <c r="A330" t="s">
        <v>481</v>
      </c>
      <c r="B330">
        <v>45650</v>
      </c>
      <c r="C330">
        <v>45661</v>
      </c>
      <c r="D330" t="s">
        <v>21</v>
      </c>
      <c r="E330">
        <v>250</v>
      </c>
      <c r="F330">
        <v>891.65</v>
      </c>
      <c r="G330">
        <v>1.65</v>
      </c>
      <c r="H330">
        <v>219234.44</v>
      </c>
      <c r="I330" t="s">
        <v>1727</v>
      </c>
      <c r="J330">
        <v>699.33</v>
      </c>
      <c r="K330">
        <v>174832.5</v>
      </c>
      <c r="L330">
        <v>1340.64</v>
      </c>
      <c r="M330">
        <v>1370.98</v>
      </c>
      <c r="N330">
        <v>5854.41</v>
      </c>
      <c r="O330">
        <v>183398.53</v>
      </c>
      <c r="P330">
        <v>44401.94</v>
      </c>
      <c r="Q330">
        <v>35835.910000000003</v>
      </c>
      <c r="R330" t="s">
        <v>65</v>
      </c>
      <c r="S330">
        <v>219234.44</v>
      </c>
      <c r="T330">
        <v>0</v>
      </c>
      <c r="U330" t="s">
        <v>73</v>
      </c>
      <c r="V330" t="s">
        <v>12</v>
      </c>
      <c r="W330" t="s">
        <v>74</v>
      </c>
      <c r="X330" t="s">
        <v>97</v>
      </c>
      <c r="Y330" t="s">
        <v>24</v>
      </c>
      <c r="Z330">
        <v>1.81</v>
      </c>
      <c r="AA330">
        <f t="shared" si="15"/>
        <v>35835.910000000003</v>
      </c>
      <c r="AB330">
        <f t="shared" si="16"/>
        <v>0.16345930867431233</v>
      </c>
      <c r="AC330">
        <f t="shared" si="17"/>
        <v>0</v>
      </c>
      <c r="AD330">
        <v>2024</v>
      </c>
      <c r="AE330">
        <v>12</v>
      </c>
      <c r="AF330" t="s">
        <v>98</v>
      </c>
      <c r="AG330" t="s">
        <v>99</v>
      </c>
    </row>
    <row r="331" spans="1:33">
      <c r="A331" t="s">
        <v>482</v>
      </c>
      <c r="B331">
        <v>46018</v>
      </c>
      <c r="C331">
        <v>46019</v>
      </c>
      <c r="D331" t="s">
        <v>23</v>
      </c>
      <c r="E331">
        <v>100</v>
      </c>
      <c r="F331">
        <v>1283.72</v>
      </c>
      <c r="G331">
        <v>0.24</v>
      </c>
      <c r="H331">
        <v>128063.91</v>
      </c>
      <c r="I331" t="s">
        <v>1729</v>
      </c>
      <c r="J331">
        <v>1071.04</v>
      </c>
      <c r="K331">
        <v>107104</v>
      </c>
      <c r="L331">
        <v>1686.78</v>
      </c>
      <c r="M331">
        <v>374.39</v>
      </c>
      <c r="N331">
        <v>5774.82</v>
      </c>
      <c r="O331">
        <v>114939.99</v>
      </c>
      <c r="P331">
        <v>20959.91</v>
      </c>
      <c r="Q331">
        <v>13123.92</v>
      </c>
      <c r="R331" t="s">
        <v>65</v>
      </c>
      <c r="S331">
        <v>128063.91</v>
      </c>
      <c r="T331">
        <v>0</v>
      </c>
      <c r="U331" t="s">
        <v>66</v>
      </c>
      <c r="V331" t="s">
        <v>6</v>
      </c>
      <c r="W331" t="s">
        <v>74</v>
      </c>
      <c r="X331" t="s">
        <v>327</v>
      </c>
      <c r="Y331" t="s">
        <v>26</v>
      </c>
      <c r="Z331">
        <v>0.98</v>
      </c>
      <c r="AA331">
        <f t="shared" si="15"/>
        <v>13123.92</v>
      </c>
      <c r="AB331">
        <f t="shared" si="16"/>
        <v>0.10247945732720483</v>
      </c>
      <c r="AC331">
        <f t="shared" si="17"/>
        <v>0</v>
      </c>
      <c r="AD331">
        <v>2025</v>
      </c>
      <c r="AE331">
        <v>12</v>
      </c>
      <c r="AF331" t="s">
        <v>98</v>
      </c>
      <c r="AG331" t="s">
        <v>168</v>
      </c>
    </row>
    <row r="332" spans="1:33">
      <c r="A332" t="s">
        <v>483</v>
      </c>
      <c r="B332">
        <v>45385</v>
      </c>
      <c r="C332">
        <v>45391</v>
      </c>
      <c r="D332" t="s">
        <v>21</v>
      </c>
      <c r="E332">
        <v>50</v>
      </c>
      <c r="F332">
        <v>947.76</v>
      </c>
      <c r="G332">
        <v>1.74</v>
      </c>
      <c r="H332">
        <v>46563.45</v>
      </c>
      <c r="I332" t="s">
        <v>1729</v>
      </c>
      <c r="J332">
        <v>751.51</v>
      </c>
      <c r="K332">
        <v>37575.5</v>
      </c>
      <c r="L332">
        <v>872.6</v>
      </c>
      <c r="M332">
        <v>268.68</v>
      </c>
      <c r="N332">
        <v>10805.9</v>
      </c>
      <c r="O332">
        <v>49522.68</v>
      </c>
      <c r="P332">
        <v>8987.9500000000007</v>
      </c>
      <c r="Q332">
        <v>-2959.23</v>
      </c>
      <c r="R332" t="s">
        <v>65</v>
      </c>
      <c r="S332">
        <v>46563.45</v>
      </c>
      <c r="T332">
        <v>0</v>
      </c>
      <c r="U332" t="s">
        <v>66</v>
      </c>
      <c r="V332" t="s">
        <v>14</v>
      </c>
      <c r="W332" t="s">
        <v>92</v>
      </c>
      <c r="X332" t="s">
        <v>195</v>
      </c>
      <c r="Y332" t="s">
        <v>26</v>
      </c>
      <c r="Z332">
        <v>1.08</v>
      </c>
      <c r="AA332">
        <f t="shared" si="15"/>
        <v>-2959.23</v>
      </c>
      <c r="AB332">
        <f t="shared" si="16"/>
        <v>-6.3552636241515609E-2</v>
      </c>
      <c r="AC332">
        <f t="shared" si="17"/>
        <v>0</v>
      </c>
      <c r="AD332">
        <v>2024</v>
      </c>
      <c r="AE332">
        <v>4</v>
      </c>
      <c r="AF332" t="s">
        <v>154</v>
      </c>
      <c r="AG332" t="s">
        <v>157</v>
      </c>
    </row>
    <row r="333" spans="1:33">
      <c r="A333" t="s">
        <v>484</v>
      </c>
      <c r="B333">
        <v>45341</v>
      </c>
      <c r="C333">
        <v>45347</v>
      </c>
      <c r="D333" t="s">
        <v>25</v>
      </c>
      <c r="E333">
        <v>150</v>
      </c>
      <c r="F333">
        <v>913.34</v>
      </c>
      <c r="G333">
        <v>0.31</v>
      </c>
      <c r="H333">
        <v>136576.29999999999</v>
      </c>
      <c r="I333" t="s">
        <v>1729</v>
      </c>
      <c r="J333">
        <v>791.5</v>
      </c>
      <c r="K333">
        <v>118725</v>
      </c>
      <c r="L333">
        <v>1255.47</v>
      </c>
      <c r="M333">
        <v>263.29000000000002</v>
      </c>
      <c r="N333">
        <v>212.64</v>
      </c>
      <c r="O333">
        <v>120456.4</v>
      </c>
      <c r="P333">
        <v>17851.3</v>
      </c>
      <c r="Q333">
        <v>16119.9</v>
      </c>
      <c r="R333" t="s">
        <v>65</v>
      </c>
      <c r="S333">
        <v>136576.29999999999</v>
      </c>
      <c r="T333">
        <v>0</v>
      </c>
      <c r="U333" t="s">
        <v>66</v>
      </c>
      <c r="V333" t="s">
        <v>6</v>
      </c>
      <c r="W333" t="s">
        <v>74</v>
      </c>
      <c r="X333" t="s">
        <v>371</v>
      </c>
      <c r="Y333" t="s">
        <v>26</v>
      </c>
      <c r="Z333">
        <v>0.4</v>
      </c>
      <c r="AA333">
        <f t="shared" si="15"/>
        <v>16119.9</v>
      </c>
      <c r="AB333">
        <f t="shared" si="16"/>
        <v>0.11802853057228817</v>
      </c>
      <c r="AC333">
        <f t="shared" si="17"/>
        <v>0</v>
      </c>
      <c r="AD333">
        <v>2024</v>
      </c>
      <c r="AE333">
        <v>2</v>
      </c>
      <c r="AF333" t="s">
        <v>172</v>
      </c>
      <c r="AG333" t="s">
        <v>173</v>
      </c>
    </row>
    <row r="334" spans="1:33">
      <c r="A334" t="s">
        <v>485</v>
      </c>
      <c r="B334">
        <v>46001</v>
      </c>
      <c r="C334">
        <v>46009</v>
      </c>
      <c r="D334" t="s">
        <v>23</v>
      </c>
      <c r="E334">
        <v>300</v>
      </c>
      <c r="F334">
        <v>1295.95</v>
      </c>
      <c r="G334">
        <v>1.29</v>
      </c>
      <c r="H334">
        <v>383769.67</v>
      </c>
      <c r="I334" t="s">
        <v>1728</v>
      </c>
      <c r="J334">
        <v>1035.3499999999999</v>
      </c>
      <c r="K334">
        <v>310605</v>
      </c>
      <c r="L334">
        <v>5512.57</v>
      </c>
      <c r="M334">
        <v>1096.6300000000001</v>
      </c>
      <c r="N334">
        <v>2875.9</v>
      </c>
      <c r="O334">
        <v>320090.09999999998</v>
      </c>
      <c r="P334">
        <v>73164.67</v>
      </c>
      <c r="Q334">
        <v>63679.57</v>
      </c>
      <c r="R334" t="s">
        <v>134</v>
      </c>
      <c r="S334">
        <v>0</v>
      </c>
      <c r="T334">
        <v>383769.67</v>
      </c>
      <c r="U334" t="s">
        <v>66</v>
      </c>
      <c r="V334" t="s">
        <v>6</v>
      </c>
      <c r="W334" t="s">
        <v>92</v>
      </c>
      <c r="X334" t="s">
        <v>125</v>
      </c>
      <c r="Y334" t="s">
        <v>24</v>
      </c>
      <c r="Z334">
        <v>1.28</v>
      </c>
      <c r="AA334">
        <f t="shared" si="15"/>
        <v>63679.57</v>
      </c>
      <c r="AB334">
        <f t="shared" si="16"/>
        <v>0.16593174233909627</v>
      </c>
      <c r="AC334">
        <f t="shared" si="17"/>
        <v>0</v>
      </c>
      <c r="AD334">
        <v>2025</v>
      </c>
      <c r="AE334">
        <v>12</v>
      </c>
      <c r="AF334" t="s">
        <v>98</v>
      </c>
      <c r="AG334" t="s">
        <v>168</v>
      </c>
    </row>
    <row r="335" spans="1:33">
      <c r="A335" t="s">
        <v>486</v>
      </c>
      <c r="B335">
        <v>45494</v>
      </c>
      <c r="C335">
        <v>45501</v>
      </c>
      <c r="D335" t="s">
        <v>21</v>
      </c>
      <c r="E335">
        <v>50</v>
      </c>
      <c r="F335">
        <v>796.81</v>
      </c>
      <c r="G335">
        <v>1.84</v>
      </c>
      <c r="H335">
        <v>39107.43</v>
      </c>
      <c r="I335" t="s">
        <v>1727</v>
      </c>
      <c r="J335">
        <v>734.47</v>
      </c>
      <c r="K335">
        <v>36723.5</v>
      </c>
      <c r="L335">
        <v>974.56</v>
      </c>
      <c r="M335">
        <v>150.83000000000001</v>
      </c>
      <c r="N335">
        <v>11572.97</v>
      </c>
      <c r="O335">
        <v>49421.86</v>
      </c>
      <c r="P335">
        <v>2383.9299999999998</v>
      </c>
      <c r="Q335">
        <v>-10314.43</v>
      </c>
      <c r="R335" t="s">
        <v>65</v>
      </c>
      <c r="S335">
        <v>39107.43</v>
      </c>
      <c r="T335">
        <v>0</v>
      </c>
      <c r="U335" t="s">
        <v>73</v>
      </c>
      <c r="V335" t="s">
        <v>10</v>
      </c>
      <c r="W335" t="s">
        <v>74</v>
      </c>
      <c r="X335" t="s">
        <v>205</v>
      </c>
      <c r="Y335" t="s">
        <v>24</v>
      </c>
      <c r="Z335">
        <v>0.72</v>
      </c>
      <c r="AA335">
        <f t="shared" si="15"/>
        <v>-10314.43</v>
      </c>
      <c r="AB335">
        <f t="shared" si="16"/>
        <v>-0.26374604518885542</v>
      </c>
      <c r="AC335">
        <f t="shared" si="17"/>
        <v>0</v>
      </c>
      <c r="AD335">
        <v>2024</v>
      </c>
      <c r="AE335">
        <v>7</v>
      </c>
      <c r="AF335" t="s">
        <v>69</v>
      </c>
      <c r="AG335" t="s">
        <v>70</v>
      </c>
    </row>
    <row r="336" spans="1:33">
      <c r="A336" t="s">
        <v>487</v>
      </c>
      <c r="B336">
        <v>45504</v>
      </c>
      <c r="C336">
        <v>45514</v>
      </c>
      <c r="D336" t="s">
        <v>25</v>
      </c>
      <c r="E336">
        <v>200</v>
      </c>
      <c r="F336">
        <v>912.46</v>
      </c>
      <c r="G336">
        <v>0.5</v>
      </c>
      <c r="H336">
        <v>181579.54</v>
      </c>
      <c r="I336" t="s">
        <v>1726</v>
      </c>
      <c r="J336">
        <v>820.24</v>
      </c>
      <c r="K336">
        <v>164048</v>
      </c>
      <c r="L336">
        <v>4119.18</v>
      </c>
      <c r="M336">
        <v>1125.08</v>
      </c>
      <c r="N336">
        <v>10776.09</v>
      </c>
      <c r="O336">
        <v>180068.35</v>
      </c>
      <c r="P336">
        <v>17531.54</v>
      </c>
      <c r="Q336">
        <v>1511.19</v>
      </c>
      <c r="R336" t="s">
        <v>65</v>
      </c>
      <c r="S336">
        <v>181579.54</v>
      </c>
      <c r="T336">
        <v>0</v>
      </c>
      <c r="U336" t="s">
        <v>66</v>
      </c>
      <c r="V336" t="s">
        <v>8</v>
      </c>
      <c r="W336" t="s">
        <v>74</v>
      </c>
      <c r="X336" t="s">
        <v>101</v>
      </c>
      <c r="Y336" t="s">
        <v>22</v>
      </c>
      <c r="Z336">
        <v>0.28999999999999998</v>
      </c>
      <c r="AA336">
        <f t="shared" si="15"/>
        <v>1511.19</v>
      </c>
      <c r="AB336">
        <f t="shared" si="16"/>
        <v>8.3224684895666107E-3</v>
      </c>
      <c r="AC336">
        <f t="shared" si="17"/>
        <v>0</v>
      </c>
      <c r="AD336">
        <v>2024</v>
      </c>
      <c r="AE336">
        <v>7</v>
      </c>
      <c r="AF336" t="s">
        <v>69</v>
      </c>
      <c r="AG336" t="s">
        <v>70</v>
      </c>
    </row>
    <row r="337" spans="1:33">
      <c r="A337" t="s">
        <v>488</v>
      </c>
      <c r="B337">
        <v>45746</v>
      </c>
      <c r="C337">
        <v>45748</v>
      </c>
      <c r="D337" t="s">
        <v>23</v>
      </c>
      <c r="E337">
        <v>300</v>
      </c>
      <c r="F337">
        <v>1248.3699999999999</v>
      </c>
      <c r="G337">
        <v>1.18</v>
      </c>
      <c r="H337">
        <v>370091.77</v>
      </c>
      <c r="I337" t="s">
        <v>1728</v>
      </c>
      <c r="J337">
        <v>992.41</v>
      </c>
      <c r="K337">
        <v>297723</v>
      </c>
      <c r="L337">
        <v>6722.63</v>
      </c>
      <c r="M337">
        <v>1454.22</v>
      </c>
      <c r="N337">
        <v>2610.85</v>
      </c>
      <c r="O337">
        <v>308510.7</v>
      </c>
      <c r="P337">
        <v>72368.77</v>
      </c>
      <c r="Q337">
        <v>61581.07</v>
      </c>
      <c r="R337" t="s">
        <v>65</v>
      </c>
      <c r="S337">
        <v>370091.77</v>
      </c>
      <c r="T337">
        <v>0</v>
      </c>
      <c r="U337" t="s">
        <v>66</v>
      </c>
      <c r="V337" t="s">
        <v>6</v>
      </c>
      <c r="W337" t="s">
        <v>67</v>
      </c>
      <c r="X337" t="s">
        <v>81</v>
      </c>
      <c r="Y337" t="s">
        <v>24</v>
      </c>
      <c r="Z337">
        <v>0.83</v>
      </c>
      <c r="AA337">
        <f t="shared" si="15"/>
        <v>61581.07</v>
      </c>
      <c r="AB337">
        <f t="shared" si="16"/>
        <v>0.16639405410177047</v>
      </c>
      <c r="AC337">
        <f t="shared" si="17"/>
        <v>0</v>
      </c>
      <c r="AD337">
        <v>2025</v>
      </c>
      <c r="AE337">
        <v>3</v>
      </c>
      <c r="AF337" t="s">
        <v>105</v>
      </c>
      <c r="AG337" t="s">
        <v>106</v>
      </c>
    </row>
    <row r="338" spans="1:33">
      <c r="A338" t="s">
        <v>489</v>
      </c>
      <c r="B338">
        <v>45756</v>
      </c>
      <c r="C338">
        <v>45758</v>
      </c>
      <c r="D338" t="s">
        <v>23</v>
      </c>
      <c r="E338">
        <v>50</v>
      </c>
      <c r="F338">
        <v>1357.7</v>
      </c>
      <c r="G338">
        <v>0.64</v>
      </c>
      <c r="H338">
        <v>67450.539999999994</v>
      </c>
      <c r="I338" t="s">
        <v>1728</v>
      </c>
      <c r="J338">
        <v>972.53</v>
      </c>
      <c r="K338">
        <v>48626.5</v>
      </c>
      <c r="L338">
        <v>942.17</v>
      </c>
      <c r="M338">
        <v>282.12</v>
      </c>
      <c r="N338">
        <v>9930.11</v>
      </c>
      <c r="O338">
        <v>59780.9</v>
      </c>
      <c r="P338">
        <v>18824.04</v>
      </c>
      <c r="Q338">
        <v>7669.64</v>
      </c>
      <c r="R338" t="s">
        <v>65</v>
      </c>
      <c r="S338">
        <v>67450.539999999994</v>
      </c>
      <c r="T338">
        <v>0</v>
      </c>
      <c r="U338" t="s">
        <v>66</v>
      </c>
      <c r="V338" t="s">
        <v>12</v>
      </c>
      <c r="W338" t="s">
        <v>92</v>
      </c>
      <c r="X338" t="s">
        <v>195</v>
      </c>
      <c r="Y338" t="s">
        <v>26</v>
      </c>
      <c r="Z338">
        <v>1.97</v>
      </c>
      <c r="AA338">
        <f t="shared" si="15"/>
        <v>7669.64</v>
      </c>
      <c r="AB338">
        <f t="shared" si="16"/>
        <v>0.11370761449797141</v>
      </c>
      <c r="AC338">
        <f t="shared" si="17"/>
        <v>0</v>
      </c>
      <c r="AD338">
        <v>2025</v>
      </c>
      <c r="AE338">
        <v>4</v>
      </c>
      <c r="AF338" t="s">
        <v>154</v>
      </c>
      <c r="AG338" t="s">
        <v>155</v>
      </c>
    </row>
    <row r="339" spans="1:33">
      <c r="A339" t="s">
        <v>490</v>
      </c>
      <c r="B339">
        <v>45436</v>
      </c>
      <c r="C339">
        <v>45446</v>
      </c>
      <c r="D339" t="s">
        <v>21</v>
      </c>
      <c r="E339">
        <v>250</v>
      </c>
      <c r="F339">
        <v>906.84</v>
      </c>
      <c r="G339">
        <v>2</v>
      </c>
      <c r="H339">
        <v>222175.8</v>
      </c>
      <c r="I339" t="s">
        <v>1727</v>
      </c>
      <c r="J339">
        <v>649.53</v>
      </c>
      <c r="K339">
        <v>162382.5</v>
      </c>
      <c r="L339">
        <v>4792.8</v>
      </c>
      <c r="M339">
        <v>1327.88</v>
      </c>
      <c r="N339">
        <v>7041.34</v>
      </c>
      <c r="O339">
        <v>175544.52</v>
      </c>
      <c r="P339">
        <v>59793.3</v>
      </c>
      <c r="Q339">
        <v>46631.28</v>
      </c>
      <c r="R339" t="s">
        <v>65</v>
      </c>
      <c r="S339">
        <v>222175.8</v>
      </c>
      <c r="T339">
        <v>0</v>
      </c>
      <c r="U339" t="s">
        <v>66</v>
      </c>
      <c r="V339" t="s">
        <v>6</v>
      </c>
      <c r="W339" t="s">
        <v>74</v>
      </c>
      <c r="X339" t="s">
        <v>101</v>
      </c>
      <c r="Y339" t="s">
        <v>22</v>
      </c>
      <c r="Z339">
        <v>0.57999999999999996</v>
      </c>
      <c r="AA339">
        <f t="shared" si="15"/>
        <v>46631.28</v>
      </c>
      <c r="AB339">
        <f t="shared" si="16"/>
        <v>0.20988460489396235</v>
      </c>
      <c r="AC339">
        <f t="shared" si="17"/>
        <v>0</v>
      </c>
      <c r="AD339">
        <v>2024</v>
      </c>
      <c r="AE339">
        <v>5</v>
      </c>
      <c r="AF339" t="s">
        <v>76</v>
      </c>
      <c r="AG339" t="s">
        <v>77</v>
      </c>
    </row>
    <row r="340" spans="1:33">
      <c r="A340" t="s">
        <v>491</v>
      </c>
      <c r="B340">
        <v>45477</v>
      </c>
      <c r="C340">
        <v>45479</v>
      </c>
      <c r="D340" t="s">
        <v>21</v>
      </c>
      <c r="E340">
        <v>1200</v>
      </c>
      <c r="F340">
        <v>891.98</v>
      </c>
      <c r="G340">
        <v>4.22</v>
      </c>
      <c r="H340">
        <v>1025206.13</v>
      </c>
      <c r="I340" t="s">
        <v>1728</v>
      </c>
      <c r="J340">
        <v>671.58</v>
      </c>
      <c r="K340">
        <v>805896</v>
      </c>
      <c r="L340">
        <v>7056.03</v>
      </c>
      <c r="M340">
        <v>5269.7</v>
      </c>
      <c r="N340">
        <v>9877.67</v>
      </c>
      <c r="O340">
        <v>828099.4</v>
      </c>
      <c r="P340">
        <v>219310.13</v>
      </c>
      <c r="Q340">
        <v>197106.73</v>
      </c>
      <c r="R340" t="s">
        <v>65</v>
      </c>
      <c r="S340">
        <v>1025206.13</v>
      </c>
      <c r="T340">
        <v>0</v>
      </c>
      <c r="U340" t="s">
        <v>66</v>
      </c>
      <c r="V340" t="s">
        <v>6</v>
      </c>
      <c r="W340" t="s">
        <v>80</v>
      </c>
      <c r="X340" t="s">
        <v>101</v>
      </c>
      <c r="Y340" t="s">
        <v>22</v>
      </c>
      <c r="Z340">
        <v>0.81</v>
      </c>
      <c r="AA340">
        <f t="shared" si="15"/>
        <v>197106.73</v>
      </c>
      <c r="AB340">
        <f t="shared" si="16"/>
        <v>0.19226058470797477</v>
      </c>
      <c r="AC340">
        <f t="shared" si="17"/>
        <v>0</v>
      </c>
      <c r="AD340">
        <v>2024</v>
      </c>
      <c r="AE340">
        <v>7</v>
      </c>
      <c r="AF340" t="s">
        <v>69</v>
      </c>
      <c r="AG340" t="s">
        <v>70</v>
      </c>
    </row>
    <row r="341" spans="1:33">
      <c r="A341" t="s">
        <v>492</v>
      </c>
      <c r="B341">
        <v>45852</v>
      </c>
      <c r="C341">
        <v>45864</v>
      </c>
      <c r="D341" t="s">
        <v>25</v>
      </c>
      <c r="E341">
        <v>100</v>
      </c>
      <c r="F341">
        <v>956.11</v>
      </c>
      <c r="G341">
        <v>1.08</v>
      </c>
      <c r="H341">
        <v>94578.4</v>
      </c>
      <c r="I341" t="s">
        <v>1729</v>
      </c>
      <c r="J341">
        <v>761.81</v>
      </c>
      <c r="K341">
        <v>76181</v>
      </c>
      <c r="L341">
        <v>1538.95</v>
      </c>
      <c r="M341">
        <v>251.72</v>
      </c>
      <c r="N341">
        <v>2115.52</v>
      </c>
      <c r="O341">
        <v>80087.19</v>
      </c>
      <c r="P341">
        <v>18397.400000000001</v>
      </c>
      <c r="Q341">
        <v>14491.21</v>
      </c>
      <c r="R341" t="s">
        <v>85</v>
      </c>
      <c r="S341">
        <v>36735.69</v>
      </c>
      <c r="T341">
        <v>57842.71</v>
      </c>
      <c r="U341" t="s">
        <v>66</v>
      </c>
      <c r="V341" t="s">
        <v>8</v>
      </c>
      <c r="W341" t="s">
        <v>92</v>
      </c>
      <c r="X341" t="s">
        <v>147</v>
      </c>
      <c r="Y341" t="s">
        <v>28</v>
      </c>
      <c r="Z341">
        <v>1.99</v>
      </c>
      <c r="AA341">
        <f t="shared" si="15"/>
        <v>14491.21</v>
      </c>
      <c r="AB341">
        <f t="shared" si="16"/>
        <v>0.15321902252522776</v>
      </c>
      <c r="AC341">
        <f t="shared" si="17"/>
        <v>0</v>
      </c>
      <c r="AD341">
        <v>2025</v>
      </c>
      <c r="AE341">
        <v>7</v>
      </c>
      <c r="AF341" t="s">
        <v>69</v>
      </c>
      <c r="AG341" t="s">
        <v>151</v>
      </c>
    </row>
    <row r="342" spans="1:33">
      <c r="A342" t="s">
        <v>493</v>
      </c>
      <c r="B342">
        <v>45513</v>
      </c>
      <c r="D342" t="s">
        <v>21</v>
      </c>
      <c r="E342">
        <v>50</v>
      </c>
      <c r="F342">
        <v>894.24</v>
      </c>
      <c r="G342">
        <v>1.86</v>
      </c>
      <c r="H342">
        <v>43880.36</v>
      </c>
      <c r="I342" t="s">
        <v>1729</v>
      </c>
      <c r="J342">
        <v>670.88</v>
      </c>
      <c r="K342">
        <v>33544</v>
      </c>
      <c r="L342">
        <v>437.03</v>
      </c>
      <c r="M342">
        <v>261.39999999999998</v>
      </c>
      <c r="N342">
        <v>7768.11</v>
      </c>
      <c r="O342">
        <v>42010.54</v>
      </c>
      <c r="P342">
        <v>10336.36</v>
      </c>
      <c r="Q342">
        <v>1869.82</v>
      </c>
      <c r="R342" t="s">
        <v>65</v>
      </c>
      <c r="S342">
        <v>43880.36</v>
      </c>
      <c r="T342">
        <v>0</v>
      </c>
      <c r="U342" t="s">
        <v>91</v>
      </c>
      <c r="V342" t="s">
        <v>6</v>
      </c>
      <c r="W342" t="s">
        <v>67</v>
      </c>
      <c r="X342" t="s">
        <v>193</v>
      </c>
      <c r="Y342" t="s">
        <v>30</v>
      </c>
      <c r="Z342">
        <v>1.64</v>
      </c>
      <c r="AA342">
        <f t="shared" si="15"/>
        <v>1869.82</v>
      </c>
      <c r="AB342">
        <f t="shared" si="16"/>
        <v>4.2611774379243926E-2</v>
      </c>
      <c r="AC342">
        <f t="shared" si="17"/>
        <v>0</v>
      </c>
      <c r="AD342">
        <v>2024</v>
      </c>
      <c r="AE342">
        <v>8</v>
      </c>
      <c r="AF342" t="s">
        <v>82</v>
      </c>
      <c r="AG342" t="s">
        <v>83</v>
      </c>
    </row>
    <row r="343" spans="1:33">
      <c r="A343" t="s">
        <v>494</v>
      </c>
      <c r="B343">
        <v>45337</v>
      </c>
      <c r="C343">
        <v>45347</v>
      </c>
      <c r="D343" t="s">
        <v>25</v>
      </c>
      <c r="E343">
        <v>100</v>
      </c>
      <c r="F343">
        <v>929.44</v>
      </c>
      <c r="G343">
        <v>1.51</v>
      </c>
      <c r="H343">
        <v>91540.55</v>
      </c>
      <c r="I343" t="s">
        <v>1726</v>
      </c>
      <c r="J343">
        <v>747.86</v>
      </c>
      <c r="K343">
        <v>74786</v>
      </c>
      <c r="L343">
        <v>1876.19</v>
      </c>
      <c r="M343">
        <v>461.58</v>
      </c>
      <c r="N343">
        <v>1034.22</v>
      </c>
      <c r="O343">
        <v>78157.990000000005</v>
      </c>
      <c r="P343">
        <v>16754.55</v>
      </c>
      <c r="Q343">
        <v>13382.56</v>
      </c>
      <c r="R343" t="s">
        <v>134</v>
      </c>
      <c r="S343">
        <v>0</v>
      </c>
      <c r="T343">
        <v>91540.55</v>
      </c>
      <c r="U343" t="s">
        <v>66</v>
      </c>
      <c r="V343" t="s">
        <v>8</v>
      </c>
      <c r="W343" t="s">
        <v>80</v>
      </c>
      <c r="X343" t="s">
        <v>108</v>
      </c>
      <c r="Y343" t="s">
        <v>22</v>
      </c>
      <c r="Z343">
        <v>0.26</v>
      </c>
      <c r="AA343">
        <f t="shared" si="15"/>
        <v>13382.56</v>
      </c>
      <c r="AB343">
        <f t="shared" si="16"/>
        <v>0.14619269820860809</v>
      </c>
      <c r="AC343">
        <f t="shared" si="17"/>
        <v>0</v>
      </c>
      <c r="AD343">
        <v>2024</v>
      </c>
      <c r="AE343">
        <v>2</v>
      </c>
      <c r="AF343" t="s">
        <v>172</v>
      </c>
      <c r="AG343" t="s">
        <v>173</v>
      </c>
    </row>
    <row r="344" spans="1:33">
      <c r="A344" t="s">
        <v>495</v>
      </c>
      <c r="B344">
        <v>45420</v>
      </c>
      <c r="C344">
        <v>45431</v>
      </c>
      <c r="D344" t="s">
        <v>23</v>
      </c>
      <c r="E344">
        <v>1000</v>
      </c>
      <c r="F344">
        <v>1337.45</v>
      </c>
      <c r="G344">
        <v>2.48</v>
      </c>
      <c r="H344">
        <v>1304281.24</v>
      </c>
      <c r="I344" t="s">
        <v>1726</v>
      </c>
      <c r="J344">
        <v>1004.39</v>
      </c>
      <c r="K344">
        <v>1004390</v>
      </c>
      <c r="L344">
        <v>17994.27</v>
      </c>
      <c r="M344">
        <v>3488.36</v>
      </c>
      <c r="N344">
        <v>10545.43</v>
      </c>
      <c r="O344">
        <v>1036418.06</v>
      </c>
      <c r="P344">
        <v>299891.24</v>
      </c>
      <c r="Q344">
        <v>267863.18</v>
      </c>
      <c r="R344" t="s">
        <v>85</v>
      </c>
      <c r="S344">
        <v>502223.41</v>
      </c>
      <c r="T344">
        <v>802057.83</v>
      </c>
      <c r="U344" t="s">
        <v>66</v>
      </c>
      <c r="V344" t="s">
        <v>6</v>
      </c>
      <c r="W344" t="s">
        <v>74</v>
      </c>
      <c r="X344" t="s">
        <v>275</v>
      </c>
      <c r="Y344" t="s">
        <v>31</v>
      </c>
      <c r="Z344">
        <v>1.74</v>
      </c>
      <c r="AA344">
        <f t="shared" si="15"/>
        <v>267863.18</v>
      </c>
      <c r="AB344">
        <f t="shared" si="16"/>
        <v>0.20537225545005922</v>
      </c>
      <c r="AC344">
        <f t="shared" si="17"/>
        <v>0</v>
      </c>
      <c r="AD344">
        <v>2024</v>
      </c>
      <c r="AE344">
        <v>5</v>
      </c>
      <c r="AF344" t="s">
        <v>76</v>
      </c>
      <c r="AG344" t="s">
        <v>77</v>
      </c>
    </row>
    <row r="345" spans="1:33">
      <c r="A345" t="s">
        <v>496</v>
      </c>
      <c r="B345">
        <v>45539</v>
      </c>
      <c r="D345" t="s">
        <v>21</v>
      </c>
      <c r="E345">
        <v>500</v>
      </c>
      <c r="F345">
        <v>935.41</v>
      </c>
      <c r="G345">
        <v>2.42</v>
      </c>
      <c r="H345">
        <v>456386.54</v>
      </c>
      <c r="I345" t="s">
        <v>1726</v>
      </c>
      <c r="J345">
        <v>677.82</v>
      </c>
      <c r="K345">
        <v>338910</v>
      </c>
      <c r="L345">
        <v>3448.79</v>
      </c>
      <c r="M345">
        <v>1264.76</v>
      </c>
      <c r="N345">
        <v>3267.86</v>
      </c>
      <c r="O345">
        <v>346891.41</v>
      </c>
      <c r="P345">
        <v>117476.54</v>
      </c>
      <c r="Q345">
        <v>109495.13</v>
      </c>
      <c r="R345" t="s">
        <v>65</v>
      </c>
      <c r="S345">
        <v>456386.54</v>
      </c>
      <c r="T345">
        <v>0</v>
      </c>
      <c r="U345" t="s">
        <v>91</v>
      </c>
      <c r="V345" t="s">
        <v>10</v>
      </c>
      <c r="W345" t="s">
        <v>67</v>
      </c>
      <c r="X345" t="s">
        <v>68</v>
      </c>
      <c r="Y345" t="s">
        <v>31</v>
      </c>
      <c r="Z345">
        <v>0.98</v>
      </c>
      <c r="AA345">
        <f t="shared" si="15"/>
        <v>109495.13</v>
      </c>
      <c r="AB345">
        <f t="shared" si="16"/>
        <v>0.23991752692794141</v>
      </c>
      <c r="AC345">
        <f t="shared" si="17"/>
        <v>0</v>
      </c>
      <c r="AD345">
        <v>2024</v>
      </c>
      <c r="AE345">
        <v>9</v>
      </c>
      <c r="AF345" t="s">
        <v>131</v>
      </c>
      <c r="AG345" t="s">
        <v>188</v>
      </c>
    </row>
    <row r="346" spans="1:33">
      <c r="A346" t="s">
        <v>497</v>
      </c>
      <c r="B346">
        <v>45477</v>
      </c>
      <c r="C346">
        <v>45478</v>
      </c>
      <c r="D346" t="s">
        <v>21</v>
      </c>
      <c r="E346">
        <v>300</v>
      </c>
      <c r="F346">
        <v>878.66</v>
      </c>
      <c r="G346">
        <v>1.99</v>
      </c>
      <c r="H346">
        <v>258352.4</v>
      </c>
      <c r="I346" t="s">
        <v>1726</v>
      </c>
      <c r="J346">
        <v>736.99</v>
      </c>
      <c r="K346">
        <v>221097</v>
      </c>
      <c r="L346">
        <v>2397.3200000000002</v>
      </c>
      <c r="M346">
        <v>1168.47</v>
      </c>
      <c r="N346">
        <v>1919.54</v>
      </c>
      <c r="O346">
        <v>226582.33</v>
      </c>
      <c r="P346">
        <v>37255.4</v>
      </c>
      <c r="Q346">
        <v>31770.07</v>
      </c>
      <c r="R346" t="s">
        <v>85</v>
      </c>
      <c r="S346">
        <v>125509.11</v>
      </c>
      <c r="T346">
        <v>132843.29</v>
      </c>
      <c r="U346" t="s">
        <v>66</v>
      </c>
      <c r="V346" t="s">
        <v>6</v>
      </c>
      <c r="W346" t="s">
        <v>67</v>
      </c>
      <c r="X346" t="s">
        <v>86</v>
      </c>
      <c r="Y346" t="s">
        <v>30</v>
      </c>
      <c r="Z346">
        <v>1.94</v>
      </c>
      <c r="AA346">
        <f t="shared" si="15"/>
        <v>31770.07</v>
      </c>
      <c r="AB346">
        <f t="shared" si="16"/>
        <v>0.12297184001387253</v>
      </c>
      <c r="AC346">
        <f t="shared" si="17"/>
        <v>0</v>
      </c>
      <c r="AD346">
        <v>2024</v>
      </c>
      <c r="AE346">
        <v>7</v>
      </c>
      <c r="AF346" t="s">
        <v>69</v>
      </c>
      <c r="AG346" t="s">
        <v>70</v>
      </c>
    </row>
    <row r="347" spans="1:33">
      <c r="A347" t="s">
        <v>498</v>
      </c>
      <c r="B347">
        <v>45443</v>
      </c>
      <c r="D347" t="s">
        <v>21</v>
      </c>
      <c r="E347">
        <v>300</v>
      </c>
      <c r="F347">
        <v>869.65</v>
      </c>
      <c r="G347">
        <v>1.2</v>
      </c>
      <c r="H347">
        <v>257764.26</v>
      </c>
      <c r="I347" t="s">
        <v>1726</v>
      </c>
      <c r="J347">
        <v>739</v>
      </c>
      <c r="K347">
        <v>221700</v>
      </c>
      <c r="L347">
        <v>1522.81</v>
      </c>
      <c r="M347">
        <v>953.4</v>
      </c>
      <c r="N347">
        <v>9233.2099999999991</v>
      </c>
      <c r="O347">
        <v>233409.42</v>
      </c>
      <c r="P347">
        <v>36064.26</v>
      </c>
      <c r="Q347">
        <v>24354.84</v>
      </c>
      <c r="R347" t="s">
        <v>65</v>
      </c>
      <c r="S347">
        <v>257764.26</v>
      </c>
      <c r="T347">
        <v>0</v>
      </c>
      <c r="U347" t="s">
        <v>91</v>
      </c>
      <c r="V347" t="s">
        <v>8</v>
      </c>
      <c r="W347" t="s">
        <v>80</v>
      </c>
      <c r="X347" t="s">
        <v>145</v>
      </c>
      <c r="Y347" t="s">
        <v>30</v>
      </c>
      <c r="Z347">
        <v>2.4900000000000002</v>
      </c>
      <c r="AA347">
        <f t="shared" si="15"/>
        <v>24354.84</v>
      </c>
      <c r="AB347">
        <f t="shared" si="16"/>
        <v>9.448493751616302E-2</v>
      </c>
      <c r="AC347">
        <f t="shared" si="17"/>
        <v>0</v>
      </c>
      <c r="AD347">
        <v>2024</v>
      </c>
      <c r="AE347">
        <v>5</v>
      </c>
      <c r="AF347" t="s">
        <v>76</v>
      </c>
      <c r="AG347" t="s">
        <v>77</v>
      </c>
    </row>
    <row r="348" spans="1:33">
      <c r="A348" t="s">
        <v>499</v>
      </c>
      <c r="B348">
        <v>45991</v>
      </c>
      <c r="C348">
        <v>45991</v>
      </c>
      <c r="D348" t="s">
        <v>21</v>
      </c>
      <c r="E348">
        <v>200</v>
      </c>
      <c r="F348">
        <v>876.02</v>
      </c>
      <c r="G348">
        <v>0.77</v>
      </c>
      <c r="H348">
        <v>173854.93</v>
      </c>
      <c r="I348" t="s">
        <v>1727</v>
      </c>
      <c r="J348">
        <v>706.06</v>
      </c>
      <c r="K348">
        <v>141212</v>
      </c>
      <c r="L348">
        <v>1758.43</v>
      </c>
      <c r="M348">
        <v>603.64</v>
      </c>
      <c r="N348">
        <v>9000.39</v>
      </c>
      <c r="O348">
        <v>152574.46</v>
      </c>
      <c r="P348">
        <v>32642.93</v>
      </c>
      <c r="Q348">
        <v>21280.47</v>
      </c>
      <c r="R348" t="s">
        <v>85</v>
      </c>
      <c r="S348">
        <v>98633.35</v>
      </c>
      <c r="T348">
        <v>75221.58</v>
      </c>
      <c r="U348" t="s">
        <v>66</v>
      </c>
      <c r="V348" t="s">
        <v>6</v>
      </c>
      <c r="W348" t="s">
        <v>67</v>
      </c>
      <c r="X348" t="s">
        <v>86</v>
      </c>
      <c r="Y348" t="s">
        <v>30</v>
      </c>
      <c r="Z348">
        <v>0.11</v>
      </c>
      <c r="AA348">
        <f t="shared" si="15"/>
        <v>21280.47</v>
      </c>
      <c r="AB348">
        <f t="shared" si="16"/>
        <v>0.12240360397027569</v>
      </c>
      <c r="AC348">
        <f t="shared" si="17"/>
        <v>0</v>
      </c>
      <c r="AD348">
        <v>2025</v>
      </c>
      <c r="AE348">
        <v>11</v>
      </c>
      <c r="AF348" t="s">
        <v>128</v>
      </c>
      <c r="AG348" t="s">
        <v>135</v>
      </c>
    </row>
    <row r="349" spans="1:33">
      <c r="A349" t="s">
        <v>500</v>
      </c>
      <c r="B349">
        <v>45465</v>
      </c>
      <c r="C349">
        <v>45470</v>
      </c>
      <c r="D349" t="s">
        <v>21</v>
      </c>
      <c r="E349">
        <v>300</v>
      </c>
      <c r="F349">
        <v>826.64</v>
      </c>
      <c r="G349">
        <v>1.1599999999999999</v>
      </c>
      <c r="H349">
        <v>245115.29</v>
      </c>
      <c r="I349" t="s">
        <v>1728</v>
      </c>
      <c r="J349">
        <v>720.5</v>
      </c>
      <c r="K349">
        <v>216150</v>
      </c>
      <c r="L349">
        <v>2126.79</v>
      </c>
      <c r="M349">
        <v>1425.79</v>
      </c>
      <c r="N349">
        <v>3181.3</v>
      </c>
      <c r="O349">
        <v>222883.88</v>
      </c>
      <c r="P349">
        <v>28965.29</v>
      </c>
      <c r="Q349">
        <v>22231.41</v>
      </c>
      <c r="R349" t="s">
        <v>85</v>
      </c>
      <c r="S349">
        <v>149091.16</v>
      </c>
      <c r="T349">
        <v>96024.13</v>
      </c>
      <c r="U349" t="s">
        <v>66</v>
      </c>
      <c r="V349" t="s">
        <v>8</v>
      </c>
      <c r="W349" t="s">
        <v>141</v>
      </c>
      <c r="X349" t="s">
        <v>89</v>
      </c>
      <c r="Y349" t="s">
        <v>28</v>
      </c>
      <c r="Z349">
        <v>2.33</v>
      </c>
      <c r="AA349">
        <f t="shared" si="15"/>
        <v>22231.41</v>
      </c>
      <c r="AB349">
        <f t="shared" si="16"/>
        <v>9.0697769200770786E-2</v>
      </c>
      <c r="AC349">
        <f t="shared" si="17"/>
        <v>0</v>
      </c>
      <c r="AD349">
        <v>2024</v>
      </c>
      <c r="AE349">
        <v>6</v>
      </c>
      <c r="AF349" t="s">
        <v>111</v>
      </c>
      <c r="AG349" t="s">
        <v>148</v>
      </c>
    </row>
    <row r="350" spans="1:33">
      <c r="A350" t="s">
        <v>501</v>
      </c>
      <c r="B350">
        <v>45852</v>
      </c>
      <c r="C350">
        <v>45858</v>
      </c>
      <c r="D350" t="s">
        <v>25</v>
      </c>
      <c r="E350">
        <v>500</v>
      </c>
      <c r="F350">
        <v>925.37</v>
      </c>
      <c r="G350">
        <v>2.5</v>
      </c>
      <c r="H350">
        <v>451117.88</v>
      </c>
      <c r="I350" t="s">
        <v>1726</v>
      </c>
      <c r="J350">
        <v>723.29</v>
      </c>
      <c r="K350">
        <v>361645</v>
      </c>
      <c r="L350">
        <v>9462.91</v>
      </c>
      <c r="M350">
        <v>2801.66</v>
      </c>
      <c r="N350">
        <v>11671.43</v>
      </c>
      <c r="O350">
        <v>385581</v>
      </c>
      <c r="P350">
        <v>89472.88</v>
      </c>
      <c r="Q350">
        <v>65536.88</v>
      </c>
      <c r="R350" t="s">
        <v>65</v>
      </c>
      <c r="S350">
        <v>451117.88</v>
      </c>
      <c r="T350">
        <v>0</v>
      </c>
      <c r="U350" t="s">
        <v>66</v>
      </c>
      <c r="V350" t="s">
        <v>14</v>
      </c>
      <c r="W350" t="s">
        <v>67</v>
      </c>
      <c r="X350" t="s">
        <v>205</v>
      </c>
      <c r="Y350" t="s">
        <v>24</v>
      </c>
      <c r="Z350">
        <v>1.38</v>
      </c>
      <c r="AA350">
        <f t="shared" si="15"/>
        <v>65536.88</v>
      </c>
      <c r="AB350">
        <f t="shared" si="16"/>
        <v>0.14527661816463583</v>
      </c>
      <c r="AC350">
        <f t="shared" si="17"/>
        <v>0</v>
      </c>
      <c r="AD350">
        <v>2025</v>
      </c>
      <c r="AE350">
        <v>7</v>
      </c>
      <c r="AF350" t="s">
        <v>69</v>
      </c>
      <c r="AG350" t="s">
        <v>151</v>
      </c>
    </row>
    <row r="351" spans="1:33">
      <c r="A351" t="s">
        <v>502</v>
      </c>
      <c r="B351">
        <v>45450</v>
      </c>
      <c r="C351">
        <v>45460</v>
      </c>
      <c r="D351" t="s">
        <v>23</v>
      </c>
      <c r="E351">
        <v>150</v>
      </c>
      <c r="F351">
        <v>1306.71</v>
      </c>
      <c r="G351">
        <v>1.8</v>
      </c>
      <c r="H351">
        <v>192478.38</v>
      </c>
      <c r="I351" t="s">
        <v>1726</v>
      </c>
      <c r="J351">
        <v>1053.06</v>
      </c>
      <c r="K351">
        <v>157959</v>
      </c>
      <c r="L351">
        <v>1090.8699999999999</v>
      </c>
      <c r="M351">
        <v>600.87</v>
      </c>
      <c r="N351">
        <v>5049.25</v>
      </c>
      <c r="O351">
        <v>164699.99</v>
      </c>
      <c r="P351">
        <v>34519.379999999997</v>
      </c>
      <c r="Q351">
        <v>27778.39</v>
      </c>
      <c r="R351" t="s">
        <v>65</v>
      </c>
      <c r="S351">
        <v>192478.38</v>
      </c>
      <c r="T351">
        <v>0</v>
      </c>
      <c r="U351" t="s">
        <v>66</v>
      </c>
      <c r="V351" t="s">
        <v>14</v>
      </c>
      <c r="W351" t="s">
        <v>74</v>
      </c>
      <c r="X351" t="s">
        <v>110</v>
      </c>
      <c r="Y351" t="s">
        <v>28</v>
      </c>
      <c r="Z351">
        <v>0.79</v>
      </c>
      <c r="AA351">
        <f t="shared" si="15"/>
        <v>27778.39</v>
      </c>
      <c r="AB351">
        <f t="shared" si="16"/>
        <v>0.14431953344578233</v>
      </c>
      <c r="AC351">
        <f t="shared" si="17"/>
        <v>0</v>
      </c>
      <c r="AD351">
        <v>2024</v>
      </c>
      <c r="AE351">
        <v>6</v>
      </c>
      <c r="AF351" t="s">
        <v>111</v>
      </c>
      <c r="AG351" t="s">
        <v>148</v>
      </c>
    </row>
    <row r="352" spans="1:33">
      <c r="A352" t="s">
        <v>503</v>
      </c>
      <c r="B352">
        <v>45350</v>
      </c>
      <c r="C352">
        <v>45357</v>
      </c>
      <c r="D352" t="s">
        <v>21</v>
      </c>
      <c r="E352">
        <v>200</v>
      </c>
      <c r="F352">
        <v>826.53</v>
      </c>
      <c r="G352">
        <v>0.86</v>
      </c>
      <c r="H352">
        <v>163884.37</v>
      </c>
      <c r="I352" t="s">
        <v>1726</v>
      </c>
      <c r="J352">
        <v>734.91</v>
      </c>
      <c r="K352">
        <v>146982</v>
      </c>
      <c r="L352">
        <v>2411.4899999999998</v>
      </c>
      <c r="M352">
        <v>506.39</v>
      </c>
      <c r="N352">
        <v>11189.88</v>
      </c>
      <c r="O352">
        <v>161089.76</v>
      </c>
      <c r="P352">
        <v>16902.37</v>
      </c>
      <c r="Q352">
        <v>2794.61</v>
      </c>
      <c r="R352" t="s">
        <v>134</v>
      </c>
      <c r="S352">
        <v>0</v>
      </c>
      <c r="T352">
        <v>163884.37</v>
      </c>
      <c r="U352" t="s">
        <v>73</v>
      </c>
      <c r="V352" t="s">
        <v>6</v>
      </c>
      <c r="W352" t="s">
        <v>67</v>
      </c>
      <c r="X352" t="s">
        <v>182</v>
      </c>
      <c r="Y352" t="s">
        <v>26</v>
      </c>
      <c r="Z352">
        <v>2.41</v>
      </c>
      <c r="AA352">
        <f t="shared" si="15"/>
        <v>2794.61</v>
      </c>
      <c r="AB352">
        <f t="shared" si="16"/>
        <v>1.7052327808930165E-2</v>
      </c>
      <c r="AC352">
        <f t="shared" si="17"/>
        <v>0</v>
      </c>
      <c r="AD352">
        <v>2024</v>
      </c>
      <c r="AE352">
        <v>2</v>
      </c>
      <c r="AF352" t="s">
        <v>172</v>
      </c>
      <c r="AG352" t="s">
        <v>173</v>
      </c>
    </row>
    <row r="353" spans="1:33">
      <c r="A353" t="s">
        <v>504</v>
      </c>
      <c r="B353">
        <v>45309</v>
      </c>
      <c r="C353">
        <v>45314</v>
      </c>
      <c r="D353" t="s">
        <v>21</v>
      </c>
      <c r="E353">
        <v>1000</v>
      </c>
      <c r="F353">
        <v>845.55</v>
      </c>
      <c r="G353">
        <v>0.59</v>
      </c>
      <c r="H353">
        <v>840561.26</v>
      </c>
      <c r="I353" t="s">
        <v>1728</v>
      </c>
      <c r="J353">
        <v>650.58000000000004</v>
      </c>
      <c r="K353">
        <v>650580</v>
      </c>
      <c r="L353">
        <v>9881.74</v>
      </c>
      <c r="M353">
        <v>3158.93</v>
      </c>
      <c r="N353">
        <v>7847.6</v>
      </c>
      <c r="O353">
        <v>671468.27</v>
      </c>
      <c r="P353">
        <v>189981.26</v>
      </c>
      <c r="Q353">
        <v>169092.99</v>
      </c>
      <c r="R353" t="s">
        <v>85</v>
      </c>
      <c r="S353">
        <v>394054.34</v>
      </c>
      <c r="T353">
        <v>446506.92</v>
      </c>
      <c r="U353" t="s">
        <v>66</v>
      </c>
      <c r="V353" t="s">
        <v>6</v>
      </c>
      <c r="W353" t="s">
        <v>92</v>
      </c>
      <c r="X353" t="s">
        <v>193</v>
      </c>
      <c r="Y353" t="s">
        <v>30</v>
      </c>
      <c r="Z353">
        <v>1.5</v>
      </c>
      <c r="AA353">
        <f t="shared" si="15"/>
        <v>169092.99</v>
      </c>
      <c r="AB353">
        <f t="shared" si="16"/>
        <v>0.20116676564418398</v>
      </c>
      <c r="AC353">
        <f t="shared" si="17"/>
        <v>0</v>
      </c>
      <c r="AD353">
        <v>2024</v>
      </c>
      <c r="AE353">
        <v>1</v>
      </c>
      <c r="AF353" t="s">
        <v>102</v>
      </c>
      <c r="AG353" t="s">
        <v>103</v>
      </c>
    </row>
    <row r="354" spans="1:33">
      <c r="A354" t="s">
        <v>505</v>
      </c>
      <c r="B354">
        <v>45402</v>
      </c>
      <c r="C354">
        <v>45410</v>
      </c>
      <c r="D354" t="s">
        <v>27</v>
      </c>
      <c r="E354">
        <v>200</v>
      </c>
      <c r="F354">
        <v>739.42</v>
      </c>
      <c r="G354">
        <v>2.29</v>
      </c>
      <c r="H354">
        <v>144497.46</v>
      </c>
      <c r="I354" t="s">
        <v>1726</v>
      </c>
      <c r="J354">
        <v>557.11</v>
      </c>
      <c r="K354">
        <v>111422</v>
      </c>
      <c r="L354">
        <v>4467.2700000000004</v>
      </c>
      <c r="M354">
        <v>627.02</v>
      </c>
      <c r="N354">
        <v>7035.35</v>
      </c>
      <c r="O354">
        <v>123551.64</v>
      </c>
      <c r="P354">
        <v>33075.46</v>
      </c>
      <c r="Q354">
        <v>20945.82</v>
      </c>
      <c r="R354" t="s">
        <v>65</v>
      </c>
      <c r="S354">
        <v>144497.46</v>
      </c>
      <c r="T354">
        <v>0</v>
      </c>
      <c r="U354" t="s">
        <v>66</v>
      </c>
      <c r="V354" t="s">
        <v>12</v>
      </c>
      <c r="W354" t="s">
        <v>141</v>
      </c>
      <c r="X354" t="s">
        <v>145</v>
      </c>
      <c r="Y354" t="s">
        <v>30</v>
      </c>
      <c r="Z354">
        <v>0.97</v>
      </c>
      <c r="AA354">
        <f t="shared" si="15"/>
        <v>20945.82</v>
      </c>
      <c r="AB354">
        <f t="shared" si="16"/>
        <v>0.14495631964741804</v>
      </c>
      <c r="AC354">
        <f t="shared" si="17"/>
        <v>0</v>
      </c>
      <c r="AD354">
        <v>2024</v>
      </c>
      <c r="AE354">
        <v>4</v>
      </c>
      <c r="AF354" t="s">
        <v>154</v>
      </c>
      <c r="AG354" t="s">
        <v>157</v>
      </c>
    </row>
    <row r="355" spans="1:33">
      <c r="A355" t="s">
        <v>506</v>
      </c>
      <c r="B355">
        <v>45972</v>
      </c>
      <c r="C355">
        <v>45979</v>
      </c>
      <c r="D355" t="s">
        <v>25</v>
      </c>
      <c r="E355">
        <v>300</v>
      </c>
      <c r="F355">
        <v>1049.97</v>
      </c>
      <c r="G355">
        <v>1.1299999999999999</v>
      </c>
      <c r="H355">
        <v>311431.59999999998</v>
      </c>
      <c r="I355" t="s">
        <v>1726</v>
      </c>
      <c r="J355">
        <v>811.81</v>
      </c>
      <c r="K355">
        <v>243543</v>
      </c>
      <c r="L355">
        <v>6036.86</v>
      </c>
      <c r="M355">
        <v>450.29</v>
      </c>
      <c r="N355">
        <v>3610.27</v>
      </c>
      <c r="O355">
        <v>253640.42</v>
      </c>
      <c r="P355">
        <v>67888.600000000006</v>
      </c>
      <c r="Q355">
        <v>57791.18</v>
      </c>
      <c r="R355" t="s">
        <v>65</v>
      </c>
      <c r="S355">
        <v>311431.59999999998</v>
      </c>
      <c r="T355">
        <v>0</v>
      </c>
      <c r="U355" t="s">
        <v>66</v>
      </c>
      <c r="V355" t="s">
        <v>6</v>
      </c>
      <c r="W355" t="s">
        <v>67</v>
      </c>
      <c r="X355" t="s">
        <v>375</v>
      </c>
      <c r="Y355" t="s">
        <v>30</v>
      </c>
      <c r="Z355">
        <v>2.44</v>
      </c>
      <c r="AA355">
        <f t="shared" si="15"/>
        <v>57791.18</v>
      </c>
      <c r="AB355">
        <f t="shared" si="16"/>
        <v>0.18556620458553341</v>
      </c>
      <c r="AC355">
        <f t="shared" si="17"/>
        <v>0</v>
      </c>
      <c r="AD355">
        <v>2025</v>
      </c>
      <c r="AE355">
        <v>11</v>
      </c>
      <c r="AF355" t="s">
        <v>128</v>
      </c>
      <c r="AG355" t="s">
        <v>135</v>
      </c>
    </row>
    <row r="356" spans="1:33">
      <c r="A356" t="s">
        <v>507</v>
      </c>
      <c r="B356">
        <v>45745</v>
      </c>
      <c r="C356">
        <v>45749</v>
      </c>
      <c r="D356" t="s">
        <v>23</v>
      </c>
      <c r="E356">
        <v>250</v>
      </c>
      <c r="F356">
        <v>1393.2</v>
      </c>
      <c r="G356">
        <v>1.1200000000000001</v>
      </c>
      <c r="H356">
        <v>344399.04</v>
      </c>
      <c r="I356" t="s">
        <v>1727</v>
      </c>
      <c r="J356">
        <v>1055.52</v>
      </c>
      <c r="K356">
        <v>263880</v>
      </c>
      <c r="L356">
        <v>5230.03</v>
      </c>
      <c r="M356">
        <v>770.27</v>
      </c>
      <c r="N356">
        <v>403.82</v>
      </c>
      <c r="O356">
        <v>270284.12</v>
      </c>
      <c r="P356">
        <v>80519.039999999994</v>
      </c>
      <c r="Q356">
        <v>74114.92</v>
      </c>
      <c r="R356" t="s">
        <v>65</v>
      </c>
      <c r="S356">
        <v>344399.04</v>
      </c>
      <c r="T356">
        <v>0</v>
      </c>
      <c r="U356" t="s">
        <v>66</v>
      </c>
      <c r="V356" t="s">
        <v>16</v>
      </c>
      <c r="W356" t="s">
        <v>67</v>
      </c>
      <c r="X356" t="s">
        <v>89</v>
      </c>
      <c r="Y356" t="s">
        <v>28</v>
      </c>
      <c r="Z356">
        <v>1.0900000000000001</v>
      </c>
      <c r="AA356">
        <f t="shared" si="15"/>
        <v>74114.92</v>
      </c>
      <c r="AB356">
        <f t="shared" si="16"/>
        <v>0.21520071600664162</v>
      </c>
      <c r="AC356">
        <f t="shared" si="17"/>
        <v>0</v>
      </c>
      <c r="AD356">
        <v>2025</v>
      </c>
      <c r="AE356">
        <v>3</v>
      </c>
      <c r="AF356" t="s">
        <v>105</v>
      </c>
      <c r="AG356" t="s">
        <v>106</v>
      </c>
    </row>
    <row r="357" spans="1:33">
      <c r="A357" t="s">
        <v>508</v>
      </c>
      <c r="B357">
        <v>45784</v>
      </c>
      <c r="C357">
        <v>45787</v>
      </c>
      <c r="D357" t="s">
        <v>25</v>
      </c>
      <c r="E357">
        <v>200</v>
      </c>
      <c r="F357">
        <v>948.52</v>
      </c>
      <c r="G357">
        <v>1.5</v>
      </c>
      <c r="H357">
        <v>186858.44</v>
      </c>
      <c r="I357" t="s">
        <v>1726</v>
      </c>
      <c r="J357">
        <v>723.58</v>
      </c>
      <c r="K357">
        <v>144716</v>
      </c>
      <c r="L357">
        <v>1425.33</v>
      </c>
      <c r="M357">
        <v>900.41</v>
      </c>
      <c r="N357">
        <v>4756.99</v>
      </c>
      <c r="O357">
        <v>151798.73000000001</v>
      </c>
      <c r="P357">
        <v>42142.44</v>
      </c>
      <c r="Q357">
        <v>35059.71</v>
      </c>
      <c r="R357" t="s">
        <v>65</v>
      </c>
      <c r="S357">
        <v>186858.44</v>
      </c>
      <c r="T357">
        <v>0</v>
      </c>
      <c r="U357" t="s">
        <v>66</v>
      </c>
      <c r="V357" t="s">
        <v>6</v>
      </c>
      <c r="W357" t="s">
        <v>141</v>
      </c>
      <c r="X357" t="s">
        <v>164</v>
      </c>
      <c r="Y357" t="s">
        <v>24</v>
      </c>
      <c r="Z357">
        <v>0.84</v>
      </c>
      <c r="AA357">
        <f t="shared" si="15"/>
        <v>35059.71</v>
      </c>
      <c r="AB357">
        <f t="shared" si="16"/>
        <v>0.18762711494326934</v>
      </c>
      <c r="AC357">
        <f t="shared" si="17"/>
        <v>0</v>
      </c>
      <c r="AD357">
        <v>2025</v>
      </c>
      <c r="AE357">
        <v>5</v>
      </c>
      <c r="AF357" t="s">
        <v>76</v>
      </c>
      <c r="AG357" t="s">
        <v>94</v>
      </c>
    </row>
    <row r="358" spans="1:33">
      <c r="A358" t="s">
        <v>509</v>
      </c>
      <c r="B358">
        <v>45820</v>
      </c>
      <c r="C358">
        <v>45833</v>
      </c>
      <c r="D358" t="s">
        <v>21</v>
      </c>
      <c r="E358">
        <v>300</v>
      </c>
      <c r="F358">
        <v>825.34</v>
      </c>
      <c r="G358">
        <v>0.22</v>
      </c>
      <c r="H358">
        <v>247057.28</v>
      </c>
      <c r="I358" t="s">
        <v>1726</v>
      </c>
      <c r="J358">
        <v>732.14</v>
      </c>
      <c r="K358">
        <v>219642</v>
      </c>
      <c r="L358">
        <v>5669.59</v>
      </c>
      <c r="M358">
        <v>1072.8499999999999</v>
      </c>
      <c r="N358">
        <v>6198.58</v>
      </c>
      <c r="O358">
        <v>232583.02</v>
      </c>
      <c r="P358">
        <v>27415.279999999999</v>
      </c>
      <c r="Q358">
        <v>14474.26</v>
      </c>
      <c r="R358" t="s">
        <v>65</v>
      </c>
      <c r="S358">
        <v>247057.28</v>
      </c>
      <c r="T358">
        <v>0</v>
      </c>
      <c r="U358" t="s">
        <v>66</v>
      </c>
      <c r="V358" t="s">
        <v>6</v>
      </c>
      <c r="W358" t="s">
        <v>67</v>
      </c>
      <c r="X358" t="s">
        <v>145</v>
      </c>
      <c r="Y358" t="s">
        <v>30</v>
      </c>
      <c r="Z358">
        <v>2.06</v>
      </c>
      <c r="AA358">
        <f t="shared" si="15"/>
        <v>14474.26</v>
      </c>
      <c r="AB358">
        <f t="shared" si="16"/>
        <v>5.8586656503301582E-2</v>
      </c>
      <c r="AC358">
        <f t="shared" si="17"/>
        <v>0</v>
      </c>
      <c r="AD358">
        <v>2025</v>
      </c>
      <c r="AE358">
        <v>6</v>
      </c>
      <c r="AF358" t="s">
        <v>111</v>
      </c>
      <c r="AG358" t="s">
        <v>112</v>
      </c>
    </row>
    <row r="359" spans="1:33">
      <c r="A359" t="s">
        <v>510</v>
      </c>
      <c r="B359">
        <v>45484</v>
      </c>
      <c r="C359">
        <v>45489</v>
      </c>
      <c r="D359" t="s">
        <v>21</v>
      </c>
      <c r="E359">
        <v>1000</v>
      </c>
      <c r="F359">
        <v>827.97</v>
      </c>
      <c r="G359">
        <v>1.1100000000000001</v>
      </c>
      <c r="H359">
        <v>818779.53</v>
      </c>
      <c r="I359" t="s">
        <v>1726</v>
      </c>
      <c r="J359">
        <v>737.58</v>
      </c>
      <c r="K359">
        <v>737580</v>
      </c>
      <c r="L359">
        <v>11901.84</v>
      </c>
      <c r="M359">
        <v>4722.7700000000004</v>
      </c>
      <c r="N359">
        <v>2096.09</v>
      </c>
      <c r="O359">
        <v>756300.7</v>
      </c>
      <c r="P359">
        <v>81199.53</v>
      </c>
      <c r="Q359">
        <v>62478.83</v>
      </c>
      <c r="R359" t="s">
        <v>65</v>
      </c>
      <c r="S359">
        <v>818779.53</v>
      </c>
      <c r="T359">
        <v>0</v>
      </c>
      <c r="U359" t="s">
        <v>66</v>
      </c>
      <c r="V359" t="s">
        <v>12</v>
      </c>
      <c r="W359" t="s">
        <v>74</v>
      </c>
      <c r="X359" t="s">
        <v>145</v>
      </c>
      <c r="Y359" t="s">
        <v>30</v>
      </c>
      <c r="Z359">
        <v>1.38</v>
      </c>
      <c r="AA359">
        <f t="shared" si="15"/>
        <v>62478.83</v>
      </c>
      <c r="AB359">
        <f t="shared" si="16"/>
        <v>7.6307269186370597E-2</v>
      </c>
      <c r="AC359">
        <f t="shared" si="17"/>
        <v>0</v>
      </c>
      <c r="AD359">
        <v>2024</v>
      </c>
      <c r="AE359">
        <v>7</v>
      </c>
      <c r="AF359" t="s">
        <v>69</v>
      </c>
      <c r="AG359" t="s">
        <v>70</v>
      </c>
    </row>
    <row r="360" spans="1:33">
      <c r="A360" t="s">
        <v>511</v>
      </c>
      <c r="B360">
        <v>45341</v>
      </c>
      <c r="C360">
        <v>45342</v>
      </c>
      <c r="D360" t="s">
        <v>21</v>
      </c>
      <c r="E360">
        <v>200</v>
      </c>
      <c r="F360">
        <v>876.79</v>
      </c>
      <c r="G360">
        <v>2.2400000000000002</v>
      </c>
      <c r="H360">
        <v>171429.98</v>
      </c>
      <c r="I360" t="s">
        <v>1727</v>
      </c>
      <c r="J360">
        <v>677.8</v>
      </c>
      <c r="K360">
        <v>135560</v>
      </c>
      <c r="L360">
        <v>3488.9</v>
      </c>
      <c r="M360">
        <v>914.67</v>
      </c>
      <c r="N360">
        <v>4032.06</v>
      </c>
      <c r="O360">
        <v>143995.63</v>
      </c>
      <c r="P360">
        <v>35869.980000000003</v>
      </c>
      <c r="Q360">
        <v>27434.35</v>
      </c>
      <c r="R360" t="s">
        <v>85</v>
      </c>
      <c r="S360">
        <v>81566.559999999998</v>
      </c>
      <c r="T360">
        <v>89863.42</v>
      </c>
      <c r="U360" t="s">
        <v>66</v>
      </c>
      <c r="V360" t="s">
        <v>6</v>
      </c>
      <c r="W360" t="s">
        <v>67</v>
      </c>
      <c r="X360" t="s">
        <v>205</v>
      </c>
      <c r="Y360" t="s">
        <v>24</v>
      </c>
      <c r="Z360">
        <v>0.23</v>
      </c>
      <c r="AA360">
        <f t="shared" si="15"/>
        <v>27434.35</v>
      </c>
      <c r="AB360">
        <f t="shared" si="16"/>
        <v>0.16003239340050088</v>
      </c>
      <c r="AC360">
        <f t="shared" si="17"/>
        <v>0</v>
      </c>
      <c r="AD360">
        <v>2024</v>
      </c>
      <c r="AE360">
        <v>2</v>
      </c>
      <c r="AF360" t="s">
        <v>172</v>
      </c>
      <c r="AG360" t="s">
        <v>173</v>
      </c>
    </row>
    <row r="361" spans="1:33">
      <c r="A361" t="s">
        <v>512</v>
      </c>
      <c r="B361">
        <v>45329</v>
      </c>
      <c r="C361">
        <v>45342</v>
      </c>
      <c r="D361" t="s">
        <v>23</v>
      </c>
      <c r="E361">
        <v>50</v>
      </c>
      <c r="F361">
        <v>1199.52</v>
      </c>
      <c r="G361">
        <v>0.7</v>
      </c>
      <c r="H361">
        <v>59556.17</v>
      </c>
      <c r="I361" t="s">
        <v>1726</v>
      </c>
      <c r="J361">
        <v>1049.07</v>
      </c>
      <c r="K361">
        <v>52453.5</v>
      </c>
      <c r="L361">
        <v>719.51</v>
      </c>
      <c r="M361">
        <v>213.23</v>
      </c>
      <c r="N361">
        <v>8656.06</v>
      </c>
      <c r="O361">
        <v>62042.3</v>
      </c>
      <c r="P361">
        <v>7102.67</v>
      </c>
      <c r="Q361">
        <v>-2486.13</v>
      </c>
      <c r="R361" t="s">
        <v>65</v>
      </c>
      <c r="S361">
        <v>59556.17</v>
      </c>
      <c r="T361">
        <v>0</v>
      </c>
      <c r="U361" t="s">
        <v>66</v>
      </c>
      <c r="V361" t="s">
        <v>8</v>
      </c>
      <c r="W361" t="s">
        <v>67</v>
      </c>
      <c r="X361" t="s">
        <v>108</v>
      </c>
      <c r="Y361" t="s">
        <v>22</v>
      </c>
      <c r="Z361">
        <v>1.93</v>
      </c>
      <c r="AA361">
        <f t="shared" si="15"/>
        <v>-2486.13</v>
      </c>
      <c r="AB361">
        <f t="shared" si="16"/>
        <v>-4.1744289466565769E-2</v>
      </c>
      <c r="AC361">
        <f t="shared" si="17"/>
        <v>0</v>
      </c>
      <c r="AD361">
        <v>2024</v>
      </c>
      <c r="AE361">
        <v>2</v>
      </c>
      <c r="AF361" t="s">
        <v>172</v>
      </c>
      <c r="AG361" t="s">
        <v>173</v>
      </c>
    </row>
    <row r="362" spans="1:33">
      <c r="A362" t="s">
        <v>513</v>
      </c>
      <c r="B362">
        <v>45870</v>
      </c>
      <c r="C362">
        <v>45876</v>
      </c>
      <c r="D362" t="s">
        <v>29</v>
      </c>
      <c r="E362">
        <v>50</v>
      </c>
      <c r="F362">
        <v>2978.51</v>
      </c>
      <c r="G362">
        <v>0.21</v>
      </c>
      <c r="H362">
        <v>148612.76</v>
      </c>
      <c r="I362" t="s">
        <v>1729</v>
      </c>
      <c r="J362">
        <v>2411.4899999999998</v>
      </c>
      <c r="K362">
        <v>120574.5</v>
      </c>
      <c r="L362">
        <v>1191.23</v>
      </c>
      <c r="M362">
        <v>121.96</v>
      </c>
      <c r="N362">
        <v>1077.45</v>
      </c>
      <c r="O362">
        <v>122965.14</v>
      </c>
      <c r="P362">
        <v>28038.26</v>
      </c>
      <c r="Q362">
        <v>25647.62</v>
      </c>
      <c r="R362" t="s">
        <v>65</v>
      </c>
      <c r="S362">
        <v>148612.76</v>
      </c>
      <c r="T362">
        <v>0</v>
      </c>
      <c r="U362" t="s">
        <v>73</v>
      </c>
      <c r="V362" t="s">
        <v>6</v>
      </c>
      <c r="W362" t="s">
        <v>74</v>
      </c>
      <c r="X362" t="s">
        <v>285</v>
      </c>
      <c r="Y362" t="s">
        <v>28</v>
      </c>
      <c r="Z362">
        <v>2.48</v>
      </c>
      <c r="AA362">
        <f t="shared" si="15"/>
        <v>25647.62</v>
      </c>
      <c r="AB362">
        <f t="shared" si="16"/>
        <v>0.17258020105406829</v>
      </c>
      <c r="AC362">
        <f t="shared" si="17"/>
        <v>0</v>
      </c>
      <c r="AD362">
        <v>2025</v>
      </c>
      <c r="AE362">
        <v>8</v>
      </c>
      <c r="AF362" t="s">
        <v>82</v>
      </c>
      <c r="AG362" t="s">
        <v>87</v>
      </c>
    </row>
    <row r="363" spans="1:33">
      <c r="A363" t="s">
        <v>514</v>
      </c>
      <c r="B363">
        <v>45450</v>
      </c>
      <c r="C363">
        <v>45455</v>
      </c>
      <c r="D363" t="s">
        <v>21</v>
      </c>
      <c r="E363">
        <v>150</v>
      </c>
      <c r="F363">
        <v>914.99</v>
      </c>
      <c r="G363">
        <v>0.68</v>
      </c>
      <c r="H363">
        <v>136315.21</v>
      </c>
      <c r="I363" t="s">
        <v>1728</v>
      </c>
      <c r="J363">
        <v>715.1</v>
      </c>
      <c r="K363">
        <v>107265</v>
      </c>
      <c r="L363">
        <v>2782.32</v>
      </c>
      <c r="M363">
        <v>530.13</v>
      </c>
      <c r="N363">
        <v>11162.26</v>
      </c>
      <c r="O363">
        <v>121739.71</v>
      </c>
      <c r="P363">
        <v>29050.21</v>
      </c>
      <c r="Q363">
        <v>14575.5</v>
      </c>
      <c r="R363" t="s">
        <v>65</v>
      </c>
      <c r="S363">
        <v>136315.21</v>
      </c>
      <c r="T363">
        <v>0</v>
      </c>
      <c r="U363" t="s">
        <v>66</v>
      </c>
      <c r="V363" t="s">
        <v>16</v>
      </c>
      <c r="W363" t="s">
        <v>74</v>
      </c>
      <c r="X363" t="s">
        <v>125</v>
      </c>
      <c r="Y363" t="s">
        <v>24</v>
      </c>
      <c r="Z363">
        <v>1.86</v>
      </c>
      <c r="AA363">
        <f t="shared" si="15"/>
        <v>14575.5</v>
      </c>
      <c r="AB363">
        <f t="shared" si="16"/>
        <v>0.10692497190885743</v>
      </c>
      <c r="AC363">
        <f t="shared" si="17"/>
        <v>0</v>
      </c>
      <c r="AD363">
        <v>2024</v>
      </c>
      <c r="AE363">
        <v>6</v>
      </c>
      <c r="AF363" t="s">
        <v>111</v>
      </c>
      <c r="AG363" t="s">
        <v>148</v>
      </c>
    </row>
    <row r="364" spans="1:33">
      <c r="A364" t="s">
        <v>515</v>
      </c>
      <c r="B364">
        <v>45891</v>
      </c>
      <c r="D364" t="s">
        <v>23</v>
      </c>
      <c r="E364">
        <v>1000</v>
      </c>
      <c r="F364">
        <v>1288.22</v>
      </c>
      <c r="G364">
        <v>2.09</v>
      </c>
      <c r="H364">
        <v>0</v>
      </c>
      <c r="I364" t="s">
        <v>1726</v>
      </c>
      <c r="J364">
        <v>1021.87</v>
      </c>
      <c r="K364">
        <v>0</v>
      </c>
      <c r="L364">
        <v>0</v>
      </c>
      <c r="M364">
        <v>0</v>
      </c>
      <c r="N364">
        <v>0</v>
      </c>
      <c r="O364">
        <v>0</v>
      </c>
      <c r="P364">
        <v>0</v>
      </c>
      <c r="Q364">
        <v>0</v>
      </c>
      <c r="R364" t="s">
        <v>65</v>
      </c>
      <c r="S364">
        <v>0</v>
      </c>
      <c r="T364">
        <v>0</v>
      </c>
      <c r="U364" t="s">
        <v>117</v>
      </c>
      <c r="V364" t="s">
        <v>12</v>
      </c>
      <c r="W364" t="s">
        <v>74</v>
      </c>
      <c r="X364" t="s">
        <v>89</v>
      </c>
      <c r="Y364" t="s">
        <v>28</v>
      </c>
      <c r="Z364">
        <v>1.78</v>
      </c>
      <c r="AA364">
        <f t="shared" si="15"/>
        <v>0</v>
      </c>
      <c r="AB364" t="e">
        <f t="shared" si="16"/>
        <v>#DIV/0!</v>
      </c>
      <c r="AC364">
        <f t="shared" si="17"/>
        <v>0</v>
      </c>
      <c r="AD364">
        <v>2025</v>
      </c>
      <c r="AE364">
        <v>8</v>
      </c>
      <c r="AF364" t="s">
        <v>82</v>
      </c>
      <c r="AG364" t="s">
        <v>87</v>
      </c>
    </row>
    <row r="365" spans="1:33">
      <c r="A365" t="s">
        <v>516</v>
      </c>
      <c r="B365">
        <v>45308</v>
      </c>
      <c r="C365">
        <v>45321</v>
      </c>
      <c r="D365" t="s">
        <v>21</v>
      </c>
      <c r="E365">
        <v>1000</v>
      </c>
      <c r="F365">
        <v>838.9</v>
      </c>
      <c r="G365">
        <v>0.14000000000000001</v>
      </c>
      <c r="H365">
        <v>837725.54</v>
      </c>
      <c r="I365" t="s">
        <v>1728</v>
      </c>
      <c r="J365">
        <v>737.71</v>
      </c>
      <c r="K365">
        <v>737710</v>
      </c>
      <c r="L365">
        <v>11561.77</v>
      </c>
      <c r="M365">
        <v>1649.87</v>
      </c>
      <c r="N365">
        <v>1046.06</v>
      </c>
      <c r="O365">
        <v>751967.7</v>
      </c>
      <c r="P365">
        <v>100015.54</v>
      </c>
      <c r="Q365">
        <v>85757.84</v>
      </c>
      <c r="R365" t="s">
        <v>65</v>
      </c>
      <c r="S365">
        <v>837725.54</v>
      </c>
      <c r="T365">
        <v>0</v>
      </c>
      <c r="U365" t="s">
        <v>66</v>
      </c>
      <c r="V365" t="s">
        <v>12</v>
      </c>
      <c r="W365" t="s">
        <v>80</v>
      </c>
      <c r="X365" t="s">
        <v>86</v>
      </c>
      <c r="Y365" t="s">
        <v>30</v>
      </c>
      <c r="Z365">
        <v>0.06</v>
      </c>
      <c r="AA365">
        <f t="shared" si="15"/>
        <v>85757.84</v>
      </c>
      <c r="AB365">
        <f t="shared" si="16"/>
        <v>0.10236985254144214</v>
      </c>
      <c r="AC365">
        <f t="shared" si="17"/>
        <v>0</v>
      </c>
      <c r="AD365">
        <v>2024</v>
      </c>
      <c r="AE365">
        <v>1</v>
      </c>
      <c r="AF365" t="s">
        <v>102</v>
      </c>
      <c r="AG365" t="s">
        <v>103</v>
      </c>
    </row>
    <row r="366" spans="1:33">
      <c r="A366" t="s">
        <v>517</v>
      </c>
      <c r="B366">
        <v>45547</v>
      </c>
      <c r="D366" t="s">
        <v>21</v>
      </c>
      <c r="E366">
        <v>200</v>
      </c>
      <c r="F366">
        <v>870.57</v>
      </c>
      <c r="G366">
        <v>2.48</v>
      </c>
      <c r="H366">
        <v>169795.97</v>
      </c>
      <c r="I366" t="s">
        <v>1727</v>
      </c>
      <c r="J366">
        <v>667.75</v>
      </c>
      <c r="K366">
        <v>133550</v>
      </c>
      <c r="L366">
        <v>1593.45</v>
      </c>
      <c r="M366">
        <v>1128.1400000000001</v>
      </c>
      <c r="N366">
        <v>2954.62</v>
      </c>
      <c r="O366">
        <v>139226.21</v>
      </c>
      <c r="P366">
        <v>36245.97</v>
      </c>
      <c r="Q366">
        <v>30569.759999999998</v>
      </c>
      <c r="R366" t="s">
        <v>85</v>
      </c>
      <c r="S366">
        <v>80769.009999999995</v>
      </c>
      <c r="T366">
        <v>89026.96</v>
      </c>
      <c r="U366" t="s">
        <v>91</v>
      </c>
      <c r="V366" t="s">
        <v>8</v>
      </c>
      <c r="W366" t="s">
        <v>74</v>
      </c>
      <c r="X366" t="s">
        <v>101</v>
      </c>
      <c r="Y366" t="s">
        <v>22</v>
      </c>
      <c r="Z366">
        <v>0.72</v>
      </c>
      <c r="AA366">
        <f t="shared" si="15"/>
        <v>30569.759999999998</v>
      </c>
      <c r="AB366">
        <f t="shared" si="16"/>
        <v>0.1800381952528084</v>
      </c>
      <c r="AC366">
        <f t="shared" si="17"/>
        <v>0</v>
      </c>
      <c r="AD366">
        <v>2024</v>
      </c>
      <c r="AE366">
        <v>9</v>
      </c>
      <c r="AF366" t="s">
        <v>131</v>
      </c>
      <c r="AG366" t="s">
        <v>188</v>
      </c>
    </row>
    <row r="367" spans="1:33">
      <c r="A367" t="s">
        <v>518</v>
      </c>
      <c r="B367">
        <v>45800</v>
      </c>
      <c r="C367">
        <v>45813</v>
      </c>
      <c r="D367" t="s">
        <v>25</v>
      </c>
      <c r="E367">
        <v>100</v>
      </c>
      <c r="F367">
        <v>933.87</v>
      </c>
      <c r="G367">
        <v>1.28</v>
      </c>
      <c r="H367">
        <v>92191.65</v>
      </c>
      <c r="I367" t="s">
        <v>1729</v>
      </c>
      <c r="J367">
        <v>749.71</v>
      </c>
      <c r="K367">
        <v>74971</v>
      </c>
      <c r="L367">
        <v>1324.12</v>
      </c>
      <c r="M367">
        <v>318.43</v>
      </c>
      <c r="N367">
        <v>6073.42</v>
      </c>
      <c r="O367">
        <v>82686.97</v>
      </c>
      <c r="P367">
        <v>17220.650000000001</v>
      </c>
      <c r="Q367">
        <v>9504.68</v>
      </c>
      <c r="R367" t="s">
        <v>85</v>
      </c>
      <c r="S367">
        <v>34134.519999999997</v>
      </c>
      <c r="T367">
        <v>58057.13</v>
      </c>
      <c r="U367" t="s">
        <v>66</v>
      </c>
      <c r="V367" t="s">
        <v>12</v>
      </c>
      <c r="W367" t="s">
        <v>80</v>
      </c>
      <c r="X367" t="s">
        <v>167</v>
      </c>
      <c r="Y367" t="s">
        <v>31</v>
      </c>
      <c r="Z367">
        <v>1.93</v>
      </c>
      <c r="AA367">
        <f t="shared" si="15"/>
        <v>9504.68</v>
      </c>
      <c r="AB367">
        <f t="shared" si="16"/>
        <v>0.10309697244815556</v>
      </c>
      <c r="AC367">
        <f t="shared" si="17"/>
        <v>0</v>
      </c>
      <c r="AD367">
        <v>2025</v>
      </c>
      <c r="AE367">
        <v>5</v>
      </c>
      <c r="AF367" t="s">
        <v>76</v>
      </c>
      <c r="AG367" t="s">
        <v>94</v>
      </c>
    </row>
    <row r="368" spans="1:33">
      <c r="A368" t="s">
        <v>519</v>
      </c>
      <c r="B368">
        <v>45776</v>
      </c>
      <c r="C368">
        <v>45787</v>
      </c>
      <c r="D368" t="s">
        <v>21</v>
      </c>
      <c r="E368">
        <v>250</v>
      </c>
      <c r="F368">
        <v>850.43</v>
      </c>
      <c r="G368">
        <v>1.95</v>
      </c>
      <c r="H368">
        <v>208461.65</v>
      </c>
      <c r="I368" t="s">
        <v>1727</v>
      </c>
      <c r="J368">
        <v>723.2</v>
      </c>
      <c r="K368">
        <v>180800</v>
      </c>
      <c r="L368">
        <v>2041.32</v>
      </c>
      <c r="M368">
        <v>879.79</v>
      </c>
      <c r="N368">
        <v>10150.700000000001</v>
      </c>
      <c r="O368">
        <v>193871.81</v>
      </c>
      <c r="P368">
        <v>27661.65</v>
      </c>
      <c r="Q368">
        <v>14589.84</v>
      </c>
      <c r="R368" t="s">
        <v>65</v>
      </c>
      <c r="S368">
        <v>208461.65</v>
      </c>
      <c r="T368">
        <v>0</v>
      </c>
      <c r="U368" t="s">
        <v>66</v>
      </c>
      <c r="V368" t="s">
        <v>12</v>
      </c>
      <c r="W368" t="s">
        <v>141</v>
      </c>
      <c r="X368" t="s">
        <v>193</v>
      </c>
      <c r="Y368" t="s">
        <v>30</v>
      </c>
      <c r="Z368">
        <v>1.08</v>
      </c>
      <c r="AA368">
        <f t="shared" si="15"/>
        <v>14589.84</v>
      </c>
      <c r="AB368">
        <f t="shared" si="16"/>
        <v>6.9988124914102903E-2</v>
      </c>
      <c r="AC368">
        <f t="shared" si="17"/>
        <v>0</v>
      </c>
      <c r="AD368">
        <v>2025</v>
      </c>
      <c r="AE368">
        <v>4</v>
      </c>
      <c r="AF368" t="s">
        <v>154</v>
      </c>
      <c r="AG368" t="s">
        <v>155</v>
      </c>
    </row>
    <row r="369" spans="1:33">
      <c r="A369" t="s">
        <v>520</v>
      </c>
      <c r="B369">
        <v>45957</v>
      </c>
      <c r="C369">
        <v>45968</v>
      </c>
      <c r="D369" t="s">
        <v>25</v>
      </c>
      <c r="E369">
        <v>300</v>
      </c>
      <c r="F369">
        <v>1062.03</v>
      </c>
      <c r="G369">
        <v>1.99</v>
      </c>
      <c r="H369">
        <v>312268.68</v>
      </c>
      <c r="I369" t="s">
        <v>1726</v>
      </c>
      <c r="J369">
        <v>749.41</v>
      </c>
      <c r="K369">
        <v>224823</v>
      </c>
      <c r="L369">
        <v>3037.55</v>
      </c>
      <c r="M369">
        <v>1055.92</v>
      </c>
      <c r="N369">
        <v>9409.42</v>
      </c>
      <c r="O369">
        <v>238325.89</v>
      </c>
      <c r="P369">
        <v>87445.68</v>
      </c>
      <c r="Q369">
        <v>73942.789999999994</v>
      </c>
      <c r="R369" t="s">
        <v>65</v>
      </c>
      <c r="S369">
        <v>312268.68</v>
      </c>
      <c r="T369">
        <v>0</v>
      </c>
      <c r="U369" t="s">
        <v>73</v>
      </c>
      <c r="V369" t="s">
        <v>10</v>
      </c>
      <c r="W369" t="s">
        <v>74</v>
      </c>
      <c r="X369" t="s">
        <v>101</v>
      </c>
      <c r="Y369" t="s">
        <v>22</v>
      </c>
      <c r="Z369">
        <v>0.61</v>
      </c>
      <c r="AA369">
        <f t="shared" si="15"/>
        <v>73942.789999999994</v>
      </c>
      <c r="AB369">
        <f t="shared" si="16"/>
        <v>0.2367922072748378</v>
      </c>
      <c r="AC369">
        <f t="shared" si="17"/>
        <v>0</v>
      </c>
      <c r="AD369">
        <v>2025</v>
      </c>
      <c r="AE369">
        <v>10</v>
      </c>
      <c r="AF369" t="s">
        <v>138</v>
      </c>
      <c r="AG369" t="s">
        <v>160</v>
      </c>
    </row>
    <row r="370" spans="1:33">
      <c r="A370" t="s">
        <v>521</v>
      </c>
      <c r="B370">
        <v>45838</v>
      </c>
      <c r="C370">
        <v>45848</v>
      </c>
      <c r="D370" t="s">
        <v>21</v>
      </c>
      <c r="E370">
        <v>300</v>
      </c>
      <c r="F370">
        <v>809.81</v>
      </c>
      <c r="G370">
        <v>0.28000000000000003</v>
      </c>
      <c r="H370">
        <v>242262.76</v>
      </c>
      <c r="I370" t="s">
        <v>1726</v>
      </c>
      <c r="J370">
        <v>654.37</v>
      </c>
      <c r="K370">
        <v>196311</v>
      </c>
      <c r="L370">
        <v>5750.27</v>
      </c>
      <c r="M370">
        <v>1167.07</v>
      </c>
      <c r="N370">
        <v>10363.84</v>
      </c>
      <c r="O370">
        <v>213592.18</v>
      </c>
      <c r="P370">
        <v>45951.76</v>
      </c>
      <c r="Q370">
        <v>28670.58</v>
      </c>
      <c r="R370" t="s">
        <v>65</v>
      </c>
      <c r="S370">
        <v>242262.76</v>
      </c>
      <c r="T370">
        <v>0</v>
      </c>
      <c r="U370" t="s">
        <v>73</v>
      </c>
      <c r="V370" t="s">
        <v>6</v>
      </c>
      <c r="W370" t="s">
        <v>141</v>
      </c>
      <c r="X370" t="s">
        <v>224</v>
      </c>
      <c r="Y370" t="s">
        <v>31</v>
      </c>
      <c r="Z370">
        <v>0.79</v>
      </c>
      <c r="AA370">
        <f t="shared" si="15"/>
        <v>28670.58</v>
      </c>
      <c r="AB370">
        <f t="shared" si="16"/>
        <v>0.11834497386226427</v>
      </c>
      <c r="AC370">
        <f t="shared" si="17"/>
        <v>0</v>
      </c>
      <c r="AD370">
        <v>2025</v>
      </c>
      <c r="AE370">
        <v>6</v>
      </c>
      <c r="AF370" t="s">
        <v>111</v>
      </c>
      <c r="AG370" t="s">
        <v>112</v>
      </c>
    </row>
    <row r="371" spans="1:33">
      <c r="A371" t="s">
        <v>522</v>
      </c>
      <c r="B371">
        <v>45363</v>
      </c>
      <c r="C371">
        <v>45370</v>
      </c>
      <c r="D371" t="s">
        <v>23</v>
      </c>
      <c r="E371">
        <v>50</v>
      </c>
      <c r="F371">
        <v>1315.5</v>
      </c>
      <c r="G371">
        <v>0.12</v>
      </c>
      <c r="H371">
        <v>65696.070000000007</v>
      </c>
      <c r="I371" t="s">
        <v>1726</v>
      </c>
      <c r="J371">
        <v>1032.95</v>
      </c>
      <c r="K371">
        <v>51647.5</v>
      </c>
      <c r="L371">
        <v>392.28</v>
      </c>
      <c r="M371">
        <v>122.41</v>
      </c>
      <c r="N371">
        <v>4301.45</v>
      </c>
      <c r="O371">
        <v>56463.64</v>
      </c>
      <c r="P371">
        <v>14048.57</v>
      </c>
      <c r="Q371">
        <v>9232.43</v>
      </c>
      <c r="R371" t="s">
        <v>65</v>
      </c>
      <c r="S371">
        <v>65696.070000000007</v>
      </c>
      <c r="T371">
        <v>0</v>
      </c>
      <c r="U371" t="s">
        <v>66</v>
      </c>
      <c r="V371" t="s">
        <v>8</v>
      </c>
      <c r="W371" t="s">
        <v>80</v>
      </c>
      <c r="X371" t="s">
        <v>123</v>
      </c>
      <c r="Y371" t="s">
        <v>22</v>
      </c>
      <c r="Z371">
        <v>1.76</v>
      </c>
      <c r="AA371">
        <f t="shared" si="15"/>
        <v>9232.43</v>
      </c>
      <c r="AB371">
        <f t="shared" si="16"/>
        <v>0.14053245498551131</v>
      </c>
      <c r="AC371">
        <f t="shared" si="17"/>
        <v>0</v>
      </c>
      <c r="AD371">
        <v>2024</v>
      </c>
      <c r="AE371">
        <v>3</v>
      </c>
      <c r="AF371" t="s">
        <v>105</v>
      </c>
      <c r="AG371" t="s">
        <v>120</v>
      </c>
    </row>
    <row r="372" spans="1:33">
      <c r="A372" t="s">
        <v>523</v>
      </c>
      <c r="B372">
        <v>45395</v>
      </c>
      <c r="C372">
        <v>45395</v>
      </c>
      <c r="D372" t="s">
        <v>23</v>
      </c>
      <c r="E372">
        <v>500</v>
      </c>
      <c r="F372">
        <v>1396.92</v>
      </c>
      <c r="G372">
        <v>0.82</v>
      </c>
      <c r="H372">
        <v>692732.63</v>
      </c>
      <c r="I372" t="s">
        <v>1728</v>
      </c>
      <c r="J372">
        <v>1080.98</v>
      </c>
      <c r="K372">
        <v>540490</v>
      </c>
      <c r="L372">
        <v>8974.89</v>
      </c>
      <c r="M372">
        <v>808.6</v>
      </c>
      <c r="N372">
        <v>4677.67</v>
      </c>
      <c r="O372">
        <v>554951.16</v>
      </c>
      <c r="P372">
        <v>152242.63</v>
      </c>
      <c r="Q372">
        <v>137781.47</v>
      </c>
      <c r="R372" t="s">
        <v>65</v>
      </c>
      <c r="S372">
        <v>692732.63</v>
      </c>
      <c r="T372">
        <v>0</v>
      </c>
      <c r="U372" t="s">
        <v>66</v>
      </c>
      <c r="V372" t="s">
        <v>8</v>
      </c>
      <c r="W372" t="s">
        <v>67</v>
      </c>
      <c r="X372" t="s">
        <v>125</v>
      </c>
      <c r="Y372" t="s">
        <v>24</v>
      </c>
      <c r="Z372">
        <v>2.33</v>
      </c>
      <c r="AA372">
        <f t="shared" si="15"/>
        <v>137781.47</v>
      </c>
      <c r="AB372">
        <f t="shared" si="16"/>
        <v>0.19889559699245002</v>
      </c>
      <c r="AC372">
        <f t="shared" si="17"/>
        <v>0</v>
      </c>
      <c r="AD372">
        <v>2024</v>
      </c>
      <c r="AE372">
        <v>4</v>
      </c>
      <c r="AF372" t="s">
        <v>154</v>
      </c>
      <c r="AG372" t="s">
        <v>157</v>
      </c>
    </row>
    <row r="373" spans="1:33">
      <c r="A373" t="s">
        <v>524</v>
      </c>
      <c r="B373">
        <v>45345</v>
      </c>
      <c r="C373">
        <v>45359</v>
      </c>
      <c r="D373" t="s">
        <v>21</v>
      </c>
      <c r="E373">
        <v>250</v>
      </c>
      <c r="F373">
        <v>859.66</v>
      </c>
      <c r="G373">
        <v>1.9</v>
      </c>
      <c r="H373">
        <v>210831.62</v>
      </c>
      <c r="I373" t="s">
        <v>1729</v>
      </c>
      <c r="J373">
        <v>681.77</v>
      </c>
      <c r="K373">
        <v>170442.5</v>
      </c>
      <c r="L373">
        <v>2811.33</v>
      </c>
      <c r="M373">
        <v>932.24</v>
      </c>
      <c r="N373">
        <v>774.15</v>
      </c>
      <c r="O373">
        <v>174960.22</v>
      </c>
      <c r="P373">
        <v>40389.120000000003</v>
      </c>
      <c r="Q373">
        <v>35871.4</v>
      </c>
      <c r="R373" t="s">
        <v>65</v>
      </c>
      <c r="S373">
        <v>210831.62</v>
      </c>
      <c r="T373">
        <v>0</v>
      </c>
      <c r="U373" t="s">
        <v>66</v>
      </c>
      <c r="V373" t="s">
        <v>8</v>
      </c>
      <c r="W373" t="s">
        <v>67</v>
      </c>
      <c r="X373" t="s">
        <v>108</v>
      </c>
      <c r="Y373" t="s">
        <v>22</v>
      </c>
      <c r="Z373">
        <v>1.28</v>
      </c>
      <c r="AA373">
        <f t="shared" si="15"/>
        <v>35871.4</v>
      </c>
      <c r="AB373">
        <f t="shared" si="16"/>
        <v>0.17014241032725547</v>
      </c>
      <c r="AC373">
        <f t="shared" si="17"/>
        <v>0</v>
      </c>
      <c r="AD373">
        <v>2024</v>
      </c>
      <c r="AE373">
        <v>2</v>
      </c>
      <c r="AF373" t="s">
        <v>172</v>
      </c>
      <c r="AG373" t="s">
        <v>173</v>
      </c>
    </row>
    <row r="374" spans="1:33">
      <c r="A374" t="s">
        <v>525</v>
      </c>
      <c r="B374">
        <v>45969</v>
      </c>
      <c r="C374">
        <v>45974</v>
      </c>
      <c r="D374" t="s">
        <v>21</v>
      </c>
      <c r="E374">
        <v>200</v>
      </c>
      <c r="F374">
        <v>903.84</v>
      </c>
      <c r="G374">
        <v>1.17</v>
      </c>
      <c r="H374">
        <v>178653.01</v>
      </c>
      <c r="I374" t="s">
        <v>1729</v>
      </c>
      <c r="J374">
        <v>731.56</v>
      </c>
      <c r="K374">
        <v>146312</v>
      </c>
      <c r="L374">
        <v>1326.34</v>
      </c>
      <c r="M374">
        <v>786.01</v>
      </c>
      <c r="N374">
        <v>3955.17</v>
      </c>
      <c r="O374">
        <v>152379.51999999999</v>
      </c>
      <c r="P374">
        <v>32341.01</v>
      </c>
      <c r="Q374">
        <v>26273.49</v>
      </c>
      <c r="R374" t="s">
        <v>65</v>
      </c>
      <c r="S374">
        <v>178653.01</v>
      </c>
      <c r="T374">
        <v>0</v>
      </c>
      <c r="U374" t="s">
        <v>66</v>
      </c>
      <c r="V374" t="s">
        <v>10</v>
      </c>
      <c r="W374" t="s">
        <v>74</v>
      </c>
      <c r="X374" t="s">
        <v>176</v>
      </c>
      <c r="Y374" t="s">
        <v>22</v>
      </c>
      <c r="Z374">
        <v>0.48</v>
      </c>
      <c r="AA374">
        <f t="shared" si="15"/>
        <v>26273.49</v>
      </c>
      <c r="AB374">
        <f t="shared" si="16"/>
        <v>0.1470643567662252</v>
      </c>
      <c r="AC374">
        <f t="shared" si="17"/>
        <v>0</v>
      </c>
      <c r="AD374">
        <v>2025</v>
      </c>
      <c r="AE374">
        <v>11</v>
      </c>
      <c r="AF374" t="s">
        <v>128</v>
      </c>
      <c r="AG374" t="s">
        <v>135</v>
      </c>
    </row>
    <row r="375" spans="1:33">
      <c r="A375" t="s">
        <v>526</v>
      </c>
      <c r="B375">
        <v>45590</v>
      </c>
      <c r="D375" t="s">
        <v>21</v>
      </c>
      <c r="E375">
        <v>300</v>
      </c>
      <c r="F375">
        <v>937.68</v>
      </c>
      <c r="G375">
        <v>0.85</v>
      </c>
      <c r="H375">
        <v>278912.92</v>
      </c>
      <c r="I375" t="s">
        <v>1727</v>
      </c>
      <c r="J375">
        <v>648.66</v>
      </c>
      <c r="K375">
        <v>194598</v>
      </c>
      <c r="L375">
        <v>4211.79</v>
      </c>
      <c r="M375">
        <v>1781.7</v>
      </c>
      <c r="N375">
        <v>10678.71</v>
      </c>
      <c r="O375">
        <v>211270.2</v>
      </c>
      <c r="P375">
        <v>84314.92</v>
      </c>
      <c r="Q375">
        <v>67642.720000000001</v>
      </c>
      <c r="R375" t="s">
        <v>65</v>
      </c>
      <c r="S375">
        <v>278912.92</v>
      </c>
      <c r="T375">
        <v>0</v>
      </c>
      <c r="U375" t="s">
        <v>91</v>
      </c>
      <c r="V375" t="s">
        <v>10</v>
      </c>
      <c r="W375" t="s">
        <v>74</v>
      </c>
      <c r="X375" t="s">
        <v>193</v>
      </c>
      <c r="Y375" t="s">
        <v>30</v>
      </c>
      <c r="Z375">
        <v>1.49</v>
      </c>
      <c r="AA375">
        <f t="shared" si="15"/>
        <v>67642.720000000001</v>
      </c>
      <c r="AB375">
        <f t="shared" si="16"/>
        <v>0.24252271999446998</v>
      </c>
      <c r="AC375">
        <f t="shared" si="17"/>
        <v>0</v>
      </c>
      <c r="AD375">
        <v>2024</v>
      </c>
      <c r="AE375">
        <v>10</v>
      </c>
      <c r="AF375" t="s">
        <v>138</v>
      </c>
      <c r="AG375" t="s">
        <v>139</v>
      </c>
    </row>
    <row r="376" spans="1:33">
      <c r="A376" t="s">
        <v>527</v>
      </c>
      <c r="B376">
        <v>45357</v>
      </c>
      <c r="C376">
        <v>45362</v>
      </c>
      <c r="D376" t="s">
        <v>23</v>
      </c>
      <c r="E376">
        <v>500</v>
      </c>
      <c r="F376">
        <v>1371.72</v>
      </c>
      <c r="G376">
        <v>3.95</v>
      </c>
      <c r="H376">
        <v>658768.53</v>
      </c>
      <c r="I376" t="s">
        <v>1727</v>
      </c>
      <c r="J376">
        <v>985.71</v>
      </c>
      <c r="K376">
        <v>492855</v>
      </c>
      <c r="L376">
        <v>6773.31</v>
      </c>
      <c r="M376">
        <v>2024.62</v>
      </c>
      <c r="N376">
        <v>5151.54</v>
      </c>
      <c r="O376">
        <v>506804.47</v>
      </c>
      <c r="P376">
        <v>165913.53</v>
      </c>
      <c r="Q376">
        <v>151964.06</v>
      </c>
      <c r="R376" t="s">
        <v>85</v>
      </c>
      <c r="S376">
        <v>502081.66</v>
      </c>
      <c r="T376">
        <v>156686.87</v>
      </c>
      <c r="U376" t="s">
        <v>66</v>
      </c>
      <c r="V376" t="s">
        <v>6</v>
      </c>
      <c r="W376" t="s">
        <v>74</v>
      </c>
      <c r="X376" t="s">
        <v>230</v>
      </c>
      <c r="Y376" t="s">
        <v>31</v>
      </c>
      <c r="Z376">
        <v>0.21</v>
      </c>
      <c r="AA376">
        <f t="shared" si="15"/>
        <v>151964.06</v>
      </c>
      <c r="AB376">
        <f t="shared" si="16"/>
        <v>0.23067899129911382</v>
      </c>
      <c r="AC376">
        <f t="shared" si="17"/>
        <v>0</v>
      </c>
      <c r="AD376">
        <v>2024</v>
      </c>
      <c r="AE376">
        <v>3</v>
      </c>
      <c r="AF376" t="s">
        <v>105</v>
      </c>
      <c r="AG376" t="s">
        <v>120</v>
      </c>
    </row>
    <row r="377" spans="1:33">
      <c r="A377" t="s">
        <v>528</v>
      </c>
      <c r="B377">
        <v>45682</v>
      </c>
      <c r="C377">
        <v>45685</v>
      </c>
      <c r="D377" t="s">
        <v>27</v>
      </c>
      <c r="E377">
        <v>200</v>
      </c>
      <c r="F377">
        <v>741.6</v>
      </c>
      <c r="G377">
        <v>0.14000000000000001</v>
      </c>
      <c r="H377">
        <v>148112.35</v>
      </c>
      <c r="I377" t="s">
        <v>1729</v>
      </c>
      <c r="J377">
        <v>585.95000000000005</v>
      </c>
      <c r="K377">
        <v>117190</v>
      </c>
      <c r="L377">
        <v>2190.63</v>
      </c>
      <c r="M377">
        <v>604.54</v>
      </c>
      <c r="N377">
        <v>9197.23</v>
      </c>
      <c r="O377">
        <v>129182.39999999999</v>
      </c>
      <c r="P377">
        <v>30922.35</v>
      </c>
      <c r="Q377">
        <v>18929.95</v>
      </c>
      <c r="R377" t="s">
        <v>65</v>
      </c>
      <c r="S377">
        <v>148112.35</v>
      </c>
      <c r="T377">
        <v>0</v>
      </c>
      <c r="U377" t="s">
        <v>66</v>
      </c>
      <c r="V377" t="s">
        <v>6</v>
      </c>
      <c r="W377" t="s">
        <v>74</v>
      </c>
      <c r="X377" t="s">
        <v>125</v>
      </c>
      <c r="Y377" t="s">
        <v>24</v>
      </c>
      <c r="Z377">
        <v>2.29</v>
      </c>
      <c r="AA377">
        <f t="shared" si="15"/>
        <v>18929.95</v>
      </c>
      <c r="AB377">
        <f t="shared" si="16"/>
        <v>0.12780804571664686</v>
      </c>
      <c r="AC377">
        <f t="shared" si="17"/>
        <v>0</v>
      </c>
      <c r="AD377">
        <v>2025</v>
      </c>
      <c r="AE377">
        <v>1</v>
      </c>
      <c r="AF377" t="s">
        <v>102</v>
      </c>
      <c r="AG377" t="s">
        <v>118</v>
      </c>
    </row>
    <row r="378" spans="1:33">
      <c r="A378" t="s">
        <v>529</v>
      </c>
      <c r="B378">
        <v>45596</v>
      </c>
      <c r="C378">
        <v>45597</v>
      </c>
      <c r="D378" t="s">
        <v>21</v>
      </c>
      <c r="E378">
        <v>200</v>
      </c>
      <c r="F378">
        <v>878.64</v>
      </c>
      <c r="G378">
        <v>0.35</v>
      </c>
      <c r="H378">
        <v>175112.95</v>
      </c>
      <c r="I378" t="s">
        <v>1727</v>
      </c>
      <c r="J378">
        <v>694.21</v>
      </c>
      <c r="K378">
        <v>138842</v>
      </c>
      <c r="L378">
        <v>1257.72</v>
      </c>
      <c r="M378">
        <v>1079.3</v>
      </c>
      <c r="N378">
        <v>1500.07</v>
      </c>
      <c r="O378">
        <v>142679.09</v>
      </c>
      <c r="P378">
        <v>36270.949999999997</v>
      </c>
      <c r="Q378">
        <v>32433.86</v>
      </c>
      <c r="R378" t="s">
        <v>65</v>
      </c>
      <c r="S378">
        <v>175112.95</v>
      </c>
      <c r="T378">
        <v>0</v>
      </c>
      <c r="U378" t="s">
        <v>73</v>
      </c>
      <c r="V378" t="s">
        <v>6</v>
      </c>
      <c r="W378" t="s">
        <v>80</v>
      </c>
      <c r="X378" t="s">
        <v>93</v>
      </c>
      <c r="Y378" t="s">
        <v>26</v>
      </c>
      <c r="Z378">
        <v>1.87</v>
      </c>
      <c r="AA378">
        <f t="shared" si="15"/>
        <v>32433.86</v>
      </c>
      <c r="AB378">
        <f t="shared" si="16"/>
        <v>0.18521679864338988</v>
      </c>
      <c r="AC378">
        <f t="shared" si="17"/>
        <v>0</v>
      </c>
      <c r="AD378">
        <v>2024</v>
      </c>
      <c r="AE378">
        <v>10</v>
      </c>
      <c r="AF378" t="s">
        <v>138</v>
      </c>
      <c r="AG378" t="s">
        <v>139</v>
      </c>
    </row>
    <row r="379" spans="1:33">
      <c r="A379" t="s">
        <v>530</v>
      </c>
      <c r="B379">
        <v>45580</v>
      </c>
      <c r="C379">
        <v>45585</v>
      </c>
      <c r="D379" t="s">
        <v>27</v>
      </c>
      <c r="E379">
        <v>50</v>
      </c>
      <c r="F379">
        <v>711.9</v>
      </c>
      <c r="G379">
        <v>2.14</v>
      </c>
      <c r="H379">
        <v>34833.269999999997</v>
      </c>
      <c r="I379" t="s">
        <v>1727</v>
      </c>
      <c r="J379">
        <v>532.27</v>
      </c>
      <c r="K379">
        <v>26613.5</v>
      </c>
      <c r="L379">
        <v>448.97</v>
      </c>
      <c r="M379">
        <v>278.18</v>
      </c>
      <c r="N379">
        <v>338.14</v>
      </c>
      <c r="O379">
        <v>27678.79</v>
      </c>
      <c r="P379">
        <v>8219.77</v>
      </c>
      <c r="Q379">
        <v>7154.48</v>
      </c>
      <c r="R379" t="s">
        <v>65</v>
      </c>
      <c r="S379">
        <v>34833.269999999997</v>
      </c>
      <c r="T379">
        <v>0</v>
      </c>
      <c r="U379" t="s">
        <v>73</v>
      </c>
      <c r="V379" t="s">
        <v>12</v>
      </c>
      <c r="W379" t="s">
        <v>80</v>
      </c>
      <c r="X379" t="s">
        <v>176</v>
      </c>
      <c r="Y379" t="s">
        <v>22</v>
      </c>
      <c r="Z379">
        <v>0.18</v>
      </c>
      <c r="AA379">
        <f t="shared" si="15"/>
        <v>7154.48</v>
      </c>
      <c r="AB379">
        <f t="shared" si="16"/>
        <v>0.20539214377518963</v>
      </c>
      <c r="AC379">
        <f t="shared" si="17"/>
        <v>0</v>
      </c>
      <c r="AD379">
        <v>2024</v>
      </c>
      <c r="AE379">
        <v>10</v>
      </c>
      <c r="AF379" t="s">
        <v>138</v>
      </c>
      <c r="AG379" t="s">
        <v>139</v>
      </c>
    </row>
    <row r="380" spans="1:33">
      <c r="A380" t="s">
        <v>531</v>
      </c>
      <c r="B380">
        <v>45873</v>
      </c>
      <c r="C380">
        <v>45876</v>
      </c>
      <c r="D380" t="s">
        <v>25</v>
      </c>
      <c r="E380">
        <v>500</v>
      </c>
      <c r="F380">
        <v>1004.94</v>
      </c>
      <c r="G380">
        <v>3.66</v>
      </c>
      <c r="H380">
        <v>484079.6</v>
      </c>
      <c r="I380" t="s">
        <v>1726</v>
      </c>
      <c r="J380">
        <v>746.38</v>
      </c>
      <c r="K380">
        <v>373190</v>
      </c>
      <c r="L380">
        <v>2635.74</v>
      </c>
      <c r="M380">
        <v>909.79</v>
      </c>
      <c r="N380">
        <v>1545.06</v>
      </c>
      <c r="O380">
        <v>378280.59</v>
      </c>
      <c r="P380">
        <v>110889.60000000001</v>
      </c>
      <c r="Q380">
        <v>105799.01</v>
      </c>
      <c r="R380" t="s">
        <v>134</v>
      </c>
      <c r="S380">
        <v>0</v>
      </c>
      <c r="T380">
        <v>484079.6</v>
      </c>
      <c r="U380" t="s">
        <v>73</v>
      </c>
      <c r="V380" t="s">
        <v>8</v>
      </c>
      <c r="W380" t="s">
        <v>74</v>
      </c>
      <c r="X380" t="s">
        <v>375</v>
      </c>
      <c r="Y380" t="s">
        <v>30</v>
      </c>
      <c r="Z380">
        <v>2.06</v>
      </c>
      <c r="AA380">
        <f t="shared" si="15"/>
        <v>105799.01</v>
      </c>
      <c r="AB380">
        <f t="shared" si="16"/>
        <v>0.21855705136097453</v>
      </c>
      <c r="AC380">
        <f t="shared" si="17"/>
        <v>0</v>
      </c>
      <c r="AD380">
        <v>2025</v>
      </c>
      <c r="AE380">
        <v>8</v>
      </c>
      <c r="AF380" t="s">
        <v>82</v>
      </c>
      <c r="AG380" t="s">
        <v>87</v>
      </c>
    </row>
    <row r="381" spans="1:33">
      <c r="A381" t="s">
        <v>532</v>
      </c>
      <c r="B381">
        <v>45427</v>
      </c>
      <c r="C381">
        <v>45440</v>
      </c>
      <c r="D381" t="s">
        <v>21</v>
      </c>
      <c r="E381">
        <v>50</v>
      </c>
      <c r="F381">
        <v>828.88</v>
      </c>
      <c r="G381">
        <v>0.32</v>
      </c>
      <c r="H381">
        <v>41311.379999999997</v>
      </c>
      <c r="I381" t="s">
        <v>1727</v>
      </c>
      <c r="J381">
        <v>741.87</v>
      </c>
      <c r="K381">
        <v>37093.5</v>
      </c>
      <c r="L381">
        <v>1196</v>
      </c>
      <c r="M381">
        <v>86.86</v>
      </c>
      <c r="N381">
        <v>6847.69</v>
      </c>
      <c r="O381">
        <v>45224.05</v>
      </c>
      <c r="P381">
        <v>4217.88</v>
      </c>
      <c r="Q381">
        <v>-3912.67</v>
      </c>
      <c r="R381" t="s">
        <v>65</v>
      </c>
      <c r="S381">
        <v>41311.379999999997</v>
      </c>
      <c r="T381">
        <v>0</v>
      </c>
      <c r="U381" t="s">
        <v>66</v>
      </c>
      <c r="V381" t="s">
        <v>6</v>
      </c>
      <c r="W381" t="s">
        <v>80</v>
      </c>
      <c r="X381" t="s">
        <v>327</v>
      </c>
      <c r="Y381" t="s">
        <v>26</v>
      </c>
      <c r="Z381">
        <v>0.69</v>
      </c>
      <c r="AA381">
        <f t="shared" si="15"/>
        <v>-3912.67</v>
      </c>
      <c r="AB381">
        <f t="shared" si="16"/>
        <v>-9.4711675088075015E-2</v>
      </c>
      <c r="AC381">
        <f t="shared" si="17"/>
        <v>0</v>
      </c>
      <c r="AD381">
        <v>2024</v>
      </c>
      <c r="AE381">
        <v>5</v>
      </c>
      <c r="AF381" t="s">
        <v>76</v>
      </c>
      <c r="AG381" t="s">
        <v>77</v>
      </c>
    </row>
    <row r="382" spans="1:33">
      <c r="A382" t="s">
        <v>533</v>
      </c>
      <c r="B382">
        <v>45896</v>
      </c>
      <c r="C382">
        <v>45896</v>
      </c>
      <c r="D382" t="s">
        <v>21</v>
      </c>
      <c r="E382">
        <v>500</v>
      </c>
      <c r="F382">
        <v>836.22</v>
      </c>
      <c r="G382">
        <v>0.21</v>
      </c>
      <c r="H382">
        <v>417231.97</v>
      </c>
      <c r="I382" t="s">
        <v>1726</v>
      </c>
      <c r="J382">
        <v>683.19</v>
      </c>
      <c r="K382">
        <v>341595</v>
      </c>
      <c r="L382">
        <v>6829.15</v>
      </c>
      <c r="M382">
        <v>1564.42</v>
      </c>
      <c r="N382">
        <v>7512.12</v>
      </c>
      <c r="O382">
        <v>357500.69</v>
      </c>
      <c r="P382">
        <v>75636.97</v>
      </c>
      <c r="Q382">
        <v>59731.28</v>
      </c>
      <c r="R382" t="s">
        <v>65</v>
      </c>
      <c r="S382">
        <v>417231.97</v>
      </c>
      <c r="T382">
        <v>0</v>
      </c>
      <c r="U382" t="s">
        <v>66</v>
      </c>
      <c r="V382" t="s">
        <v>6</v>
      </c>
      <c r="W382" t="s">
        <v>67</v>
      </c>
      <c r="X382" t="s">
        <v>115</v>
      </c>
      <c r="Y382" t="s">
        <v>22</v>
      </c>
      <c r="Z382">
        <v>1.91</v>
      </c>
      <c r="AA382">
        <f t="shared" si="15"/>
        <v>59731.28</v>
      </c>
      <c r="AB382">
        <f t="shared" si="16"/>
        <v>0.14316084167759244</v>
      </c>
      <c r="AC382">
        <f t="shared" si="17"/>
        <v>0</v>
      </c>
      <c r="AD382">
        <v>2025</v>
      </c>
      <c r="AE382">
        <v>8</v>
      </c>
      <c r="AF382" t="s">
        <v>82</v>
      </c>
      <c r="AG382" t="s">
        <v>87</v>
      </c>
    </row>
    <row r="383" spans="1:33">
      <c r="A383" t="s">
        <v>534</v>
      </c>
      <c r="B383">
        <v>45669</v>
      </c>
      <c r="C383">
        <v>45671</v>
      </c>
      <c r="D383" t="s">
        <v>29</v>
      </c>
      <c r="E383">
        <v>100</v>
      </c>
      <c r="F383">
        <v>2686.45</v>
      </c>
      <c r="G383">
        <v>1.41</v>
      </c>
      <c r="H383">
        <v>264857.11</v>
      </c>
      <c r="I383" t="s">
        <v>1727</v>
      </c>
      <c r="J383">
        <v>2181.58</v>
      </c>
      <c r="K383">
        <v>218158</v>
      </c>
      <c r="L383">
        <v>2061.73</v>
      </c>
      <c r="M383">
        <v>431.78</v>
      </c>
      <c r="N383">
        <v>10608.76</v>
      </c>
      <c r="O383">
        <v>231260.27</v>
      </c>
      <c r="P383">
        <v>46699.11</v>
      </c>
      <c r="Q383">
        <v>33596.839999999997</v>
      </c>
      <c r="R383" t="s">
        <v>65</v>
      </c>
      <c r="S383">
        <v>264857.11</v>
      </c>
      <c r="T383">
        <v>0</v>
      </c>
      <c r="U383" t="s">
        <v>66</v>
      </c>
      <c r="V383" t="s">
        <v>6</v>
      </c>
      <c r="W383" t="s">
        <v>67</v>
      </c>
      <c r="X383" t="s">
        <v>208</v>
      </c>
      <c r="Y383" t="s">
        <v>26</v>
      </c>
      <c r="Z383">
        <v>2.0699999999999998</v>
      </c>
      <c r="AA383">
        <f t="shared" si="15"/>
        <v>33596.839999999997</v>
      </c>
      <c r="AB383">
        <f t="shared" si="16"/>
        <v>0.12684892620024435</v>
      </c>
      <c r="AC383">
        <f t="shared" si="17"/>
        <v>0</v>
      </c>
      <c r="AD383">
        <v>2025</v>
      </c>
      <c r="AE383">
        <v>1</v>
      </c>
      <c r="AF383" t="s">
        <v>102</v>
      </c>
      <c r="AG383" t="s">
        <v>118</v>
      </c>
    </row>
    <row r="384" spans="1:33">
      <c r="A384" t="s">
        <v>535</v>
      </c>
      <c r="B384">
        <v>45823</v>
      </c>
      <c r="C384">
        <v>45829</v>
      </c>
      <c r="D384" t="s">
        <v>21</v>
      </c>
      <c r="E384">
        <v>750</v>
      </c>
      <c r="F384">
        <v>874.61</v>
      </c>
      <c r="G384">
        <v>1.34</v>
      </c>
      <c r="H384">
        <v>647167.67000000004</v>
      </c>
      <c r="I384" t="s">
        <v>1728</v>
      </c>
      <c r="J384">
        <v>705.3</v>
      </c>
      <c r="K384">
        <v>528975</v>
      </c>
      <c r="L384">
        <v>5509.55</v>
      </c>
      <c r="M384">
        <v>3245.06</v>
      </c>
      <c r="N384">
        <v>5715.33</v>
      </c>
      <c r="O384">
        <v>543444.93999999994</v>
      </c>
      <c r="P384">
        <v>118192.67</v>
      </c>
      <c r="Q384">
        <v>103722.73</v>
      </c>
      <c r="R384" t="s">
        <v>65</v>
      </c>
      <c r="S384">
        <v>647167.67000000004</v>
      </c>
      <c r="T384">
        <v>0</v>
      </c>
      <c r="U384" t="s">
        <v>66</v>
      </c>
      <c r="V384" t="s">
        <v>12</v>
      </c>
      <c r="W384" t="s">
        <v>67</v>
      </c>
      <c r="X384" t="s">
        <v>371</v>
      </c>
      <c r="Y384" t="s">
        <v>26</v>
      </c>
      <c r="Z384">
        <v>0.79</v>
      </c>
      <c r="AA384">
        <f t="shared" si="15"/>
        <v>103722.73</v>
      </c>
      <c r="AB384">
        <f t="shared" si="16"/>
        <v>0.16027180405968053</v>
      </c>
      <c r="AC384">
        <f t="shared" si="17"/>
        <v>0</v>
      </c>
      <c r="AD384">
        <v>2025</v>
      </c>
      <c r="AE384">
        <v>6</v>
      </c>
      <c r="AF384" t="s">
        <v>111</v>
      </c>
      <c r="AG384" t="s">
        <v>112</v>
      </c>
    </row>
    <row r="385" spans="1:33">
      <c r="A385" t="s">
        <v>536</v>
      </c>
      <c r="B385">
        <v>45977</v>
      </c>
      <c r="D385" t="s">
        <v>21</v>
      </c>
      <c r="E385">
        <v>200</v>
      </c>
      <c r="F385">
        <v>883</v>
      </c>
      <c r="G385">
        <v>0.12</v>
      </c>
      <c r="H385">
        <v>0</v>
      </c>
      <c r="I385" t="s">
        <v>1729</v>
      </c>
      <c r="J385">
        <v>675.63</v>
      </c>
      <c r="K385">
        <v>0</v>
      </c>
      <c r="L385">
        <v>0</v>
      </c>
      <c r="M385">
        <v>0</v>
      </c>
      <c r="N385">
        <v>0</v>
      </c>
      <c r="O385">
        <v>0</v>
      </c>
      <c r="P385">
        <v>0</v>
      </c>
      <c r="Q385">
        <v>0</v>
      </c>
      <c r="R385" t="s">
        <v>65</v>
      </c>
      <c r="S385">
        <v>0</v>
      </c>
      <c r="T385">
        <v>0</v>
      </c>
      <c r="U385" t="s">
        <v>117</v>
      </c>
      <c r="V385" t="s">
        <v>6</v>
      </c>
      <c r="W385" t="s">
        <v>74</v>
      </c>
      <c r="X385" t="s">
        <v>123</v>
      </c>
      <c r="Y385" t="s">
        <v>22</v>
      </c>
      <c r="Z385">
        <v>1.1200000000000001</v>
      </c>
      <c r="AA385">
        <f t="shared" si="15"/>
        <v>0</v>
      </c>
      <c r="AB385" t="e">
        <f t="shared" si="16"/>
        <v>#DIV/0!</v>
      </c>
      <c r="AC385">
        <f t="shared" si="17"/>
        <v>0</v>
      </c>
      <c r="AD385">
        <v>2025</v>
      </c>
      <c r="AE385">
        <v>11</v>
      </c>
      <c r="AF385" t="s">
        <v>128</v>
      </c>
      <c r="AG385" t="s">
        <v>135</v>
      </c>
    </row>
    <row r="386" spans="1:33">
      <c r="A386" t="s">
        <v>537</v>
      </c>
      <c r="B386">
        <v>45560</v>
      </c>
      <c r="C386">
        <v>45563</v>
      </c>
      <c r="D386" t="s">
        <v>21</v>
      </c>
      <c r="E386">
        <v>300</v>
      </c>
      <c r="F386">
        <v>833.88</v>
      </c>
      <c r="G386">
        <v>2.25</v>
      </c>
      <c r="H386">
        <v>244535.31</v>
      </c>
      <c r="I386" t="s">
        <v>1728</v>
      </c>
      <c r="J386">
        <v>652.54</v>
      </c>
      <c r="K386">
        <v>195762</v>
      </c>
      <c r="L386">
        <v>4403.97</v>
      </c>
      <c r="M386">
        <v>1182.68</v>
      </c>
      <c r="N386">
        <v>959.51</v>
      </c>
      <c r="O386">
        <v>202308.16</v>
      </c>
      <c r="P386">
        <v>48773.31</v>
      </c>
      <c r="Q386">
        <v>42227.15</v>
      </c>
      <c r="R386" t="s">
        <v>65</v>
      </c>
      <c r="S386">
        <v>244535.31</v>
      </c>
      <c r="T386">
        <v>0</v>
      </c>
      <c r="U386" t="s">
        <v>73</v>
      </c>
      <c r="V386" t="s">
        <v>6</v>
      </c>
      <c r="W386" t="s">
        <v>74</v>
      </c>
      <c r="X386" t="s">
        <v>75</v>
      </c>
      <c r="Y386" t="s">
        <v>28</v>
      </c>
      <c r="Z386">
        <v>0.67</v>
      </c>
      <c r="AA386">
        <f t="shared" ref="AA386:AA449" si="18">ROUND(H386-O386,2)</f>
        <v>42227.15</v>
      </c>
      <c r="AB386">
        <f t="shared" ref="AB386:AB449" si="19">AA386/H386</f>
        <v>0.17268324153268499</v>
      </c>
      <c r="AC386">
        <f t="shared" ref="AC386:AC449" si="20">ROUND(AA386-Q386,2)</f>
        <v>0</v>
      </c>
      <c r="AD386">
        <v>2024</v>
      </c>
      <c r="AE386">
        <v>9</v>
      </c>
      <c r="AF386" t="s">
        <v>131</v>
      </c>
      <c r="AG386" t="s">
        <v>188</v>
      </c>
    </row>
    <row r="387" spans="1:33">
      <c r="A387" t="s">
        <v>538</v>
      </c>
      <c r="B387">
        <v>45450</v>
      </c>
      <c r="C387">
        <v>45452</v>
      </c>
      <c r="D387" t="s">
        <v>21</v>
      </c>
      <c r="E387">
        <v>150</v>
      </c>
      <c r="F387">
        <v>840.58</v>
      </c>
      <c r="G387">
        <v>0.41</v>
      </c>
      <c r="H387">
        <v>125570.04</v>
      </c>
      <c r="I387" t="s">
        <v>1728</v>
      </c>
      <c r="J387">
        <v>670.82</v>
      </c>
      <c r="K387">
        <v>100623</v>
      </c>
      <c r="L387">
        <v>3393.43</v>
      </c>
      <c r="M387">
        <v>787.52</v>
      </c>
      <c r="N387">
        <v>7443.13</v>
      </c>
      <c r="O387">
        <v>112247.08</v>
      </c>
      <c r="P387">
        <v>24947.040000000001</v>
      </c>
      <c r="Q387">
        <v>13322.96</v>
      </c>
      <c r="R387" t="s">
        <v>65</v>
      </c>
      <c r="S387">
        <v>125570.04</v>
      </c>
      <c r="T387">
        <v>0</v>
      </c>
      <c r="U387" t="s">
        <v>66</v>
      </c>
      <c r="V387" t="s">
        <v>14</v>
      </c>
      <c r="W387" t="s">
        <v>67</v>
      </c>
      <c r="X387" t="s">
        <v>185</v>
      </c>
      <c r="Y387" t="s">
        <v>31</v>
      </c>
      <c r="Z387">
        <v>2.1</v>
      </c>
      <c r="AA387">
        <f t="shared" si="18"/>
        <v>13322.96</v>
      </c>
      <c r="AB387">
        <f t="shared" si="19"/>
        <v>0.10609983081951714</v>
      </c>
      <c r="AC387">
        <f t="shared" si="20"/>
        <v>0</v>
      </c>
      <c r="AD387">
        <v>2024</v>
      </c>
      <c r="AE387">
        <v>6</v>
      </c>
      <c r="AF387" t="s">
        <v>111</v>
      </c>
      <c r="AG387" t="s">
        <v>148</v>
      </c>
    </row>
    <row r="388" spans="1:33">
      <c r="A388" t="s">
        <v>539</v>
      </c>
      <c r="B388">
        <v>45292</v>
      </c>
      <c r="C388">
        <v>45296</v>
      </c>
      <c r="D388" t="s">
        <v>21</v>
      </c>
      <c r="E388">
        <v>500</v>
      </c>
      <c r="F388">
        <v>860.34</v>
      </c>
      <c r="G388">
        <v>3.27</v>
      </c>
      <c r="H388">
        <v>416103.44</v>
      </c>
      <c r="I388" t="s">
        <v>1728</v>
      </c>
      <c r="J388">
        <v>662.95</v>
      </c>
      <c r="K388">
        <v>331475</v>
      </c>
      <c r="L388">
        <v>4167.12</v>
      </c>
      <c r="M388">
        <v>1954.81</v>
      </c>
      <c r="N388">
        <v>1153.4000000000001</v>
      </c>
      <c r="O388">
        <v>338750.33</v>
      </c>
      <c r="P388">
        <v>84628.44</v>
      </c>
      <c r="Q388">
        <v>77353.11</v>
      </c>
      <c r="R388" t="s">
        <v>65</v>
      </c>
      <c r="S388">
        <v>416103.44</v>
      </c>
      <c r="T388">
        <v>0</v>
      </c>
      <c r="U388" t="s">
        <v>73</v>
      </c>
      <c r="V388" t="s">
        <v>8</v>
      </c>
      <c r="W388" t="s">
        <v>141</v>
      </c>
      <c r="X388" t="s">
        <v>176</v>
      </c>
      <c r="Y388" t="s">
        <v>22</v>
      </c>
      <c r="Z388">
        <v>0.1</v>
      </c>
      <c r="AA388">
        <f t="shared" si="18"/>
        <v>77353.11</v>
      </c>
      <c r="AB388">
        <f t="shared" si="19"/>
        <v>0.18589875152197732</v>
      </c>
      <c r="AC388">
        <f t="shared" si="20"/>
        <v>0</v>
      </c>
      <c r="AD388">
        <v>2024</v>
      </c>
      <c r="AE388">
        <v>1</v>
      </c>
      <c r="AF388" t="s">
        <v>102</v>
      </c>
      <c r="AG388" t="s">
        <v>103</v>
      </c>
    </row>
    <row r="389" spans="1:33">
      <c r="A389" t="s">
        <v>540</v>
      </c>
      <c r="B389">
        <v>45622</v>
      </c>
      <c r="C389">
        <v>45623</v>
      </c>
      <c r="D389" t="s">
        <v>21</v>
      </c>
      <c r="E389">
        <v>300</v>
      </c>
      <c r="F389">
        <v>852.25</v>
      </c>
      <c r="G389">
        <v>2.4</v>
      </c>
      <c r="H389">
        <v>249538.8</v>
      </c>
      <c r="I389" t="s">
        <v>1727</v>
      </c>
      <c r="J389">
        <v>689.35</v>
      </c>
      <c r="K389">
        <v>206805</v>
      </c>
      <c r="L389">
        <v>4808.08</v>
      </c>
      <c r="M389">
        <v>1036.03</v>
      </c>
      <c r="N389">
        <v>679.21</v>
      </c>
      <c r="O389">
        <v>213328.32</v>
      </c>
      <c r="P389">
        <v>42733.8</v>
      </c>
      <c r="Q389">
        <v>36210.480000000003</v>
      </c>
      <c r="R389" t="s">
        <v>85</v>
      </c>
      <c r="S389">
        <v>90813.21</v>
      </c>
      <c r="T389">
        <v>158725.59</v>
      </c>
      <c r="U389" t="s">
        <v>73</v>
      </c>
      <c r="V389" t="s">
        <v>10</v>
      </c>
      <c r="W389" t="s">
        <v>74</v>
      </c>
      <c r="X389" t="s">
        <v>176</v>
      </c>
      <c r="Y389" t="s">
        <v>22</v>
      </c>
      <c r="Z389">
        <v>1.91</v>
      </c>
      <c r="AA389">
        <f t="shared" si="18"/>
        <v>36210.480000000003</v>
      </c>
      <c r="AB389">
        <f t="shared" si="19"/>
        <v>0.14510961822369911</v>
      </c>
      <c r="AC389">
        <f t="shared" si="20"/>
        <v>0</v>
      </c>
      <c r="AD389">
        <v>2024</v>
      </c>
      <c r="AE389">
        <v>11</v>
      </c>
      <c r="AF389" t="s">
        <v>128</v>
      </c>
      <c r="AG389" t="s">
        <v>129</v>
      </c>
    </row>
    <row r="390" spans="1:33">
      <c r="A390" t="s">
        <v>541</v>
      </c>
      <c r="B390">
        <v>45944</v>
      </c>
      <c r="C390">
        <v>45953</v>
      </c>
      <c r="D390" t="s">
        <v>29</v>
      </c>
      <c r="E390">
        <v>500</v>
      </c>
      <c r="F390">
        <v>2866.8</v>
      </c>
      <c r="G390">
        <v>2.27</v>
      </c>
      <c r="H390">
        <v>1400861.82</v>
      </c>
      <c r="I390" t="s">
        <v>1727</v>
      </c>
      <c r="J390">
        <v>2147.09</v>
      </c>
      <c r="K390">
        <v>1073545</v>
      </c>
      <c r="L390">
        <v>4941.4399999999996</v>
      </c>
      <c r="M390">
        <v>1927.55</v>
      </c>
      <c r="N390">
        <v>7843.94</v>
      </c>
      <c r="O390">
        <v>1088257.93</v>
      </c>
      <c r="P390">
        <v>327316.82</v>
      </c>
      <c r="Q390">
        <v>312603.89</v>
      </c>
      <c r="R390" t="s">
        <v>65</v>
      </c>
      <c r="S390">
        <v>1400861.82</v>
      </c>
      <c r="T390">
        <v>0</v>
      </c>
      <c r="U390" t="s">
        <v>66</v>
      </c>
      <c r="V390" t="s">
        <v>14</v>
      </c>
      <c r="W390" t="s">
        <v>67</v>
      </c>
      <c r="X390" t="s">
        <v>89</v>
      </c>
      <c r="Y390" t="s">
        <v>28</v>
      </c>
      <c r="Z390">
        <v>1.98</v>
      </c>
      <c r="AA390">
        <f t="shared" si="18"/>
        <v>312603.89</v>
      </c>
      <c r="AB390">
        <f t="shared" si="19"/>
        <v>0.22315112421295058</v>
      </c>
      <c r="AC390">
        <f t="shared" si="20"/>
        <v>0</v>
      </c>
      <c r="AD390">
        <v>2025</v>
      </c>
      <c r="AE390">
        <v>10</v>
      </c>
      <c r="AF390" t="s">
        <v>138</v>
      </c>
      <c r="AG390" t="s">
        <v>160</v>
      </c>
    </row>
    <row r="391" spans="1:33">
      <c r="A391" t="s">
        <v>542</v>
      </c>
      <c r="B391">
        <v>45775</v>
      </c>
      <c r="C391">
        <v>45789</v>
      </c>
      <c r="D391" t="s">
        <v>27</v>
      </c>
      <c r="E391">
        <v>200</v>
      </c>
      <c r="F391">
        <v>697.8</v>
      </c>
      <c r="G391">
        <v>2.2400000000000002</v>
      </c>
      <c r="H391">
        <v>136433.85999999999</v>
      </c>
      <c r="I391" t="s">
        <v>1729</v>
      </c>
      <c r="J391">
        <v>552.98</v>
      </c>
      <c r="K391">
        <v>110596</v>
      </c>
      <c r="L391">
        <v>2086.88</v>
      </c>
      <c r="M391">
        <v>422.88</v>
      </c>
      <c r="N391">
        <v>2243.2800000000002</v>
      </c>
      <c r="O391">
        <v>115349.04</v>
      </c>
      <c r="P391">
        <v>25837.86</v>
      </c>
      <c r="Q391">
        <v>21084.82</v>
      </c>
      <c r="R391" t="s">
        <v>65</v>
      </c>
      <c r="S391">
        <v>136433.85999999999</v>
      </c>
      <c r="T391">
        <v>0</v>
      </c>
      <c r="U391" t="s">
        <v>66</v>
      </c>
      <c r="V391" t="s">
        <v>6</v>
      </c>
      <c r="W391" t="s">
        <v>80</v>
      </c>
      <c r="X391" t="s">
        <v>176</v>
      </c>
      <c r="Y391" t="s">
        <v>22</v>
      </c>
      <c r="Z391">
        <v>0.32</v>
      </c>
      <c r="AA391">
        <f t="shared" si="18"/>
        <v>21084.82</v>
      </c>
      <c r="AB391">
        <f t="shared" si="19"/>
        <v>0.15454242810399121</v>
      </c>
      <c r="AC391">
        <f t="shared" si="20"/>
        <v>0</v>
      </c>
      <c r="AD391">
        <v>2025</v>
      </c>
      <c r="AE391">
        <v>4</v>
      </c>
      <c r="AF391" t="s">
        <v>154</v>
      </c>
      <c r="AG391" t="s">
        <v>155</v>
      </c>
    </row>
    <row r="392" spans="1:33">
      <c r="A392" t="s">
        <v>543</v>
      </c>
      <c r="B392">
        <v>45705</v>
      </c>
      <c r="C392">
        <v>45714</v>
      </c>
      <c r="D392" t="s">
        <v>21</v>
      </c>
      <c r="E392">
        <v>100</v>
      </c>
      <c r="F392">
        <v>838.66</v>
      </c>
      <c r="G392">
        <v>0.93</v>
      </c>
      <c r="H392">
        <v>83086.05</v>
      </c>
      <c r="I392" t="s">
        <v>1726</v>
      </c>
      <c r="J392">
        <v>704.69</v>
      </c>
      <c r="K392">
        <v>70469</v>
      </c>
      <c r="L392">
        <v>1347.72</v>
      </c>
      <c r="M392">
        <v>548.49</v>
      </c>
      <c r="N392">
        <v>9685.5499999999993</v>
      </c>
      <c r="O392">
        <v>82050.759999999995</v>
      </c>
      <c r="P392">
        <v>12617.05</v>
      </c>
      <c r="Q392">
        <v>1035.29</v>
      </c>
      <c r="R392" t="s">
        <v>85</v>
      </c>
      <c r="S392">
        <v>45070.54</v>
      </c>
      <c r="T392">
        <v>38015.51</v>
      </c>
      <c r="U392" t="s">
        <v>66</v>
      </c>
      <c r="V392" t="s">
        <v>6</v>
      </c>
      <c r="W392" t="s">
        <v>74</v>
      </c>
      <c r="X392" t="s">
        <v>115</v>
      </c>
      <c r="Y392" t="s">
        <v>22</v>
      </c>
      <c r="Z392">
        <v>0.65</v>
      </c>
      <c r="AA392">
        <f t="shared" si="18"/>
        <v>1035.29</v>
      </c>
      <c r="AB392">
        <f t="shared" si="19"/>
        <v>1.2460455154625835E-2</v>
      </c>
      <c r="AC392">
        <f t="shared" si="20"/>
        <v>0</v>
      </c>
      <c r="AD392">
        <v>2025</v>
      </c>
      <c r="AE392">
        <v>2</v>
      </c>
      <c r="AF392" t="s">
        <v>172</v>
      </c>
      <c r="AG392" t="s">
        <v>244</v>
      </c>
    </row>
    <row r="393" spans="1:33">
      <c r="A393" t="s">
        <v>544</v>
      </c>
      <c r="B393">
        <v>45448</v>
      </c>
      <c r="C393">
        <v>45449</v>
      </c>
      <c r="D393" t="s">
        <v>21</v>
      </c>
      <c r="E393">
        <v>500</v>
      </c>
      <c r="F393">
        <v>851.65</v>
      </c>
      <c r="G393">
        <v>3.12</v>
      </c>
      <c r="H393">
        <v>412539.26</v>
      </c>
      <c r="I393" t="s">
        <v>1726</v>
      </c>
      <c r="J393">
        <v>737.44</v>
      </c>
      <c r="K393">
        <v>368720</v>
      </c>
      <c r="L393">
        <v>6162.19</v>
      </c>
      <c r="M393">
        <v>1405.29</v>
      </c>
      <c r="N393">
        <v>2617.1799999999998</v>
      </c>
      <c r="O393">
        <v>378904.66</v>
      </c>
      <c r="P393">
        <v>43819.26</v>
      </c>
      <c r="Q393">
        <v>33634.6</v>
      </c>
      <c r="R393" t="s">
        <v>65</v>
      </c>
      <c r="S393">
        <v>412539.26</v>
      </c>
      <c r="T393">
        <v>0</v>
      </c>
      <c r="U393" t="s">
        <v>66</v>
      </c>
      <c r="V393" t="s">
        <v>8</v>
      </c>
      <c r="W393" t="s">
        <v>141</v>
      </c>
      <c r="X393" t="s">
        <v>195</v>
      </c>
      <c r="Y393" t="s">
        <v>26</v>
      </c>
      <c r="Z393">
        <v>2.38</v>
      </c>
      <c r="AA393">
        <f t="shared" si="18"/>
        <v>33634.6</v>
      </c>
      <c r="AB393">
        <f t="shared" si="19"/>
        <v>8.1530664499664826E-2</v>
      </c>
      <c r="AC393">
        <f t="shared" si="20"/>
        <v>0</v>
      </c>
      <c r="AD393">
        <v>2024</v>
      </c>
      <c r="AE393">
        <v>6</v>
      </c>
      <c r="AF393" t="s">
        <v>111</v>
      </c>
      <c r="AG393" t="s">
        <v>148</v>
      </c>
    </row>
    <row r="394" spans="1:33">
      <c r="A394" t="s">
        <v>545</v>
      </c>
      <c r="B394">
        <v>45656</v>
      </c>
      <c r="C394">
        <v>45656</v>
      </c>
      <c r="D394" t="s">
        <v>21</v>
      </c>
      <c r="E394">
        <v>500</v>
      </c>
      <c r="F394">
        <v>873.42</v>
      </c>
      <c r="G394">
        <v>3.4</v>
      </c>
      <c r="H394">
        <v>421861.86</v>
      </c>
      <c r="I394" t="s">
        <v>1729</v>
      </c>
      <c r="J394">
        <v>678.26</v>
      </c>
      <c r="K394">
        <v>339130</v>
      </c>
      <c r="L394">
        <v>5380.79</v>
      </c>
      <c r="M394">
        <v>1615.89</v>
      </c>
      <c r="N394">
        <v>1475.98</v>
      </c>
      <c r="O394">
        <v>347602.66</v>
      </c>
      <c r="P394">
        <v>82731.86</v>
      </c>
      <c r="Q394">
        <v>74259.199999999997</v>
      </c>
      <c r="R394" t="s">
        <v>85</v>
      </c>
      <c r="S394">
        <v>288582.59000000003</v>
      </c>
      <c r="T394">
        <v>133279.26999999999</v>
      </c>
      <c r="U394" t="s">
        <v>66</v>
      </c>
      <c r="V394" t="s">
        <v>14</v>
      </c>
      <c r="W394" t="s">
        <v>74</v>
      </c>
      <c r="X394" t="s">
        <v>162</v>
      </c>
      <c r="Y394" t="s">
        <v>26</v>
      </c>
      <c r="Z394">
        <v>1.5</v>
      </c>
      <c r="AA394">
        <f t="shared" si="18"/>
        <v>74259.199999999997</v>
      </c>
      <c r="AB394">
        <f t="shared" si="19"/>
        <v>0.17602729007073548</v>
      </c>
      <c r="AC394">
        <f t="shared" si="20"/>
        <v>0</v>
      </c>
      <c r="AD394">
        <v>2024</v>
      </c>
      <c r="AE394">
        <v>12</v>
      </c>
      <c r="AF394" t="s">
        <v>98</v>
      </c>
      <c r="AG394" t="s">
        <v>99</v>
      </c>
    </row>
    <row r="395" spans="1:33">
      <c r="A395" t="s">
        <v>546</v>
      </c>
      <c r="B395">
        <v>45602</v>
      </c>
      <c r="C395">
        <v>45612</v>
      </c>
      <c r="D395" t="s">
        <v>21</v>
      </c>
      <c r="E395">
        <v>300</v>
      </c>
      <c r="F395">
        <v>896.46</v>
      </c>
      <c r="G395">
        <v>1.33</v>
      </c>
      <c r="H395">
        <v>265361.12</v>
      </c>
      <c r="I395" t="s">
        <v>1728</v>
      </c>
      <c r="J395">
        <v>716.16</v>
      </c>
      <c r="K395">
        <v>214848</v>
      </c>
      <c r="L395">
        <v>5734.35</v>
      </c>
      <c r="M395">
        <v>1153.6500000000001</v>
      </c>
      <c r="N395">
        <v>458.18</v>
      </c>
      <c r="O395">
        <v>222194.18</v>
      </c>
      <c r="P395">
        <v>50513.120000000003</v>
      </c>
      <c r="Q395">
        <v>43166.94</v>
      </c>
      <c r="R395" t="s">
        <v>65</v>
      </c>
      <c r="S395">
        <v>265361.12</v>
      </c>
      <c r="T395">
        <v>0</v>
      </c>
      <c r="U395" t="s">
        <v>66</v>
      </c>
      <c r="V395" t="s">
        <v>8</v>
      </c>
      <c r="W395" t="s">
        <v>67</v>
      </c>
      <c r="X395" t="s">
        <v>115</v>
      </c>
      <c r="Y395" t="s">
        <v>22</v>
      </c>
      <c r="Z395">
        <v>1.58</v>
      </c>
      <c r="AA395">
        <f t="shared" si="18"/>
        <v>43166.94</v>
      </c>
      <c r="AB395">
        <f t="shared" si="19"/>
        <v>0.16267243671567261</v>
      </c>
      <c r="AC395">
        <f t="shared" si="20"/>
        <v>0</v>
      </c>
      <c r="AD395">
        <v>2024</v>
      </c>
      <c r="AE395">
        <v>11</v>
      </c>
      <c r="AF395" t="s">
        <v>128</v>
      </c>
      <c r="AG395" t="s">
        <v>129</v>
      </c>
    </row>
    <row r="396" spans="1:33">
      <c r="A396" t="s">
        <v>547</v>
      </c>
      <c r="B396">
        <v>46001</v>
      </c>
      <c r="C396">
        <v>46011</v>
      </c>
      <c r="D396" t="s">
        <v>23</v>
      </c>
      <c r="E396">
        <v>50</v>
      </c>
      <c r="F396">
        <v>1449.75</v>
      </c>
      <c r="G396">
        <v>0.87</v>
      </c>
      <c r="H396">
        <v>71856.86</v>
      </c>
      <c r="I396" t="s">
        <v>1728</v>
      </c>
      <c r="J396">
        <v>1031.99</v>
      </c>
      <c r="K396">
        <v>51599.5</v>
      </c>
      <c r="L396">
        <v>297.61</v>
      </c>
      <c r="M396">
        <v>226.26</v>
      </c>
      <c r="N396">
        <v>3765.72</v>
      </c>
      <c r="O396">
        <v>55889.09</v>
      </c>
      <c r="P396">
        <v>20257.36</v>
      </c>
      <c r="Q396">
        <v>15967.77</v>
      </c>
      <c r="R396" t="s">
        <v>65</v>
      </c>
      <c r="S396">
        <v>71856.86</v>
      </c>
      <c r="T396">
        <v>0</v>
      </c>
      <c r="U396" t="s">
        <v>73</v>
      </c>
      <c r="V396" t="s">
        <v>16</v>
      </c>
      <c r="W396" t="s">
        <v>74</v>
      </c>
      <c r="X396" t="s">
        <v>81</v>
      </c>
      <c r="Y396" t="s">
        <v>24</v>
      </c>
      <c r="Z396">
        <v>1.42</v>
      </c>
      <c r="AA396">
        <f t="shared" si="18"/>
        <v>15967.77</v>
      </c>
      <c r="AB396">
        <f t="shared" si="19"/>
        <v>0.22221636180595702</v>
      </c>
      <c r="AC396">
        <f t="shared" si="20"/>
        <v>0</v>
      </c>
      <c r="AD396">
        <v>2025</v>
      </c>
      <c r="AE396">
        <v>12</v>
      </c>
      <c r="AF396" t="s">
        <v>98</v>
      </c>
      <c r="AG396" t="s">
        <v>168</v>
      </c>
    </row>
    <row r="397" spans="1:33">
      <c r="A397" t="s">
        <v>548</v>
      </c>
      <c r="B397">
        <v>46010</v>
      </c>
      <c r="C397">
        <v>46014</v>
      </c>
      <c r="D397" t="s">
        <v>21</v>
      </c>
      <c r="E397">
        <v>500</v>
      </c>
      <c r="F397">
        <v>904.53</v>
      </c>
      <c r="G397">
        <v>4.72</v>
      </c>
      <c r="H397">
        <v>430918.09</v>
      </c>
      <c r="I397" t="s">
        <v>1726</v>
      </c>
      <c r="J397">
        <v>656.63</v>
      </c>
      <c r="K397">
        <v>328315</v>
      </c>
      <c r="L397">
        <v>5623.12</v>
      </c>
      <c r="M397">
        <v>1275.8399999999999</v>
      </c>
      <c r="N397">
        <v>6648.02</v>
      </c>
      <c r="O397">
        <v>341861.98</v>
      </c>
      <c r="P397">
        <v>102603.09</v>
      </c>
      <c r="Q397">
        <v>89056.11</v>
      </c>
      <c r="R397" t="s">
        <v>65</v>
      </c>
      <c r="S397">
        <v>430918.09</v>
      </c>
      <c r="T397">
        <v>0</v>
      </c>
      <c r="U397" t="s">
        <v>66</v>
      </c>
      <c r="V397" t="s">
        <v>8</v>
      </c>
      <c r="W397" t="s">
        <v>74</v>
      </c>
      <c r="X397" t="s">
        <v>182</v>
      </c>
      <c r="Y397" t="s">
        <v>26</v>
      </c>
      <c r="Z397">
        <v>0.01</v>
      </c>
      <c r="AA397">
        <f t="shared" si="18"/>
        <v>89056.11</v>
      </c>
      <c r="AB397">
        <f t="shared" si="19"/>
        <v>0.2066659814629736</v>
      </c>
      <c r="AC397">
        <f t="shared" si="20"/>
        <v>0</v>
      </c>
      <c r="AD397">
        <v>2025</v>
      </c>
      <c r="AE397">
        <v>12</v>
      </c>
      <c r="AF397" t="s">
        <v>98</v>
      </c>
      <c r="AG397" t="s">
        <v>168</v>
      </c>
    </row>
    <row r="398" spans="1:33">
      <c r="A398" t="s">
        <v>549</v>
      </c>
      <c r="B398">
        <v>45571</v>
      </c>
      <c r="C398">
        <v>45579</v>
      </c>
      <c r="D398" t="s">
        <v>21</v>
      </c>
      <c r="E398">
        <v>200</v>
      </c>
      <c r="F398">
        <v>894.23</v>
      </c>
      <c r="G398">
        <v>1.77</v>
      </c>
      <c r="H398">
        <v>175680.43</v>
      </c>
      <c r="I398" t="s">
        <v>1727</v>
      </c>
      <c r="J398">
        <v>678.27</v>
      </c>
      <c r="K398">
        <v>135654</v>
      </c>
      <c r="L398">
        <v>4401.8900000000003</v>
      </c>
      <c r="M398">
        <v>713.5</v>
      </c>
      <c r="N398">
        <v>6491.26</v>
      </c>
      <c r="O398">
        <v>147260.65</v>
      </c>
      <c r="P398">
        <v>40026.43</v>
      </c>
      <c r="Q398">
        <v>28419.78</v>
      </c>
      <c r="R398" t="s">
        <v>65</v>
      </c>
      <c r="S398">
        <v>175680.43</v>
      </c>
      <c r="T398">
        <v>0</v>
      </c>
      <c r="U398" t="s">
        <v>66</v>
      </c>
      <c r="V398" t="s">
        <v>10</v>
      </c>
      <c r="W398" t="s">
        <v>141</v>
      </c>
      <c r="X398" t="s">
        <v>108</v>
      </c>
      <c r="Y398" t="s">
        <v>22</v>
      </c>
      <c r="Z398">
        <v>2.37</v>
      </c>
      <c r="AA398">
        <f t="shared" si="18"/>
        <v>28419.78</v>
      </c>
      <c r="AB398">
        <f t="shared" si="19"/>
        <v>0.16176975432038732</v>
      </c>
      <c r="AC398">
        <f t="shared" si="20"/>
        <v>0</v>
      </c>
      <c r="AD398">
        <v>2024</v>
      </c>
      <c r="AE398">
        <v>10</v>
      </c>
      <c r="AF398" t="s">
        <v>138</v>
      </c>
      <c r="AG398" t="s">
        <v>139</v>
      </c>
    </row>
    <row r="399" spans="1:33">
      <c r="A399" t="s">
        <v>550</v>
      </c>
      <c r="B399">
        <v>45637</v>
      </c>
      <c r="D399" t="s">
        <v>23</v>
      </c>
      <c r="E399">
        <v>300</v>
      </c>
      <c r="F399">
        <v>1427.12</v>
      </c>
      <c r="G399">
        <v>2.25</v>
      </c>
      <c r="H399">
        <v>418502.94</v>
      </c>
      <c r="I399" t="s">
        <v>1726</v>
      </c>
      <c r="J399">
        <v>1034.31</v>
      </c>
      <c r="K399">
        <v>310293</v>
      </c>
      <c r="L399">
        <v>3297.35</v>
      </c>
      <c r="M399">
        <v>1269.04</v>
      </c>
      <c r="N399">
        <v>2267.39</v>
      </c>
      <c r="O399">
        <v>317126.78000000003</v>
      </c>
      <c r="P399">
        <v>108209.94</v>
      </c>
      <c r="Q399">
        <v>101376.16</v>
      </c>
      <c r="R399" t="s">
        <v>65</v>
      </c>
      <c r="S399">
        <v>418502.94</v>
      </c>
      <c r="T399">
        <v>0</v>
      </c>
      <c r="U399" t="s">
        <v>91</v>
      </c>
      <c r="V399" t="s">
        <v>6</v>
      </c>
      <c r="W399" t="s">
        <v>80</v>
      </c>
      <c r="X399" t="s">
        <v>239</v>
      </c>
      <c r="Y399" t="s">
        <v>28</v>
      </c>
      <c r="Z399">
        <v>1.37</v>
      </c>
      <c r="AA399">
        <f t="shared" si="18"/>
        <v>101376.16</v>
      </c>
      <c r="AB399">
        <f t="shared" si="19"/>
        <v>0.24223523973332184</v>
      </c>
      <c r="AC399">
        <f t="shared" si="20"/>
        <v>0</v>
      </c>
      <c r="AD399">
        <v>2024</v>
      </c>
      <c r="AE399">
        <v>12</v>
      </c>
      <c r="AF399" t="s">
        <v>98</v>
      </c>
      <c r="AG399" t="s">
        <v>99</v>
      </c>
    </row>
    <row r="400" spans="1:33">
      <c r="A400" t="s">
        <v>551</v>
      </c>
      <c r="B400">
        <v>45486</v>
      </c>
      <c r="C400">
        <v>45493</v>
      </c>
      <c r="D400" t="s">
        <v>29</v>
      </c>
      <c r="E400">
        <v>300</v>
      </c>
      <c r="F400">
        <v>2965.34</v>
      </c>
      <c r="G400">
        <v>0.2</v>
      </c>
      <c r="H400">
        <v>887822.8</v>
      </c>
      <c r="I400" t="s">
        <v>1726</v>
      </c>
      <c r="J400">
        <v>2122.73</v>
      </c>
      <c r="K400">
        <v>636819</v>
      </c>
      <c r="L400">
        <v>1988.86</v>
      </c>
      <c r="M400">
        <v>1127.81</v>
      </c>
      <c r="N400">
        <v>1349.11</v>
      </c>
      <c r="O400">
        <v>641284.78</v>
      </c>
      <c r="P400">
        <v>251003.8</v>
      </c>
      <c r="Q400">
        <v>246538.02</v>
      </c>
      <c r="R400" t="s">
        <v>85</v>
      </c>
      <c r="S400">
        <v>743072.54</v>
      </c>
      <c r="T400">
        <v>144750.26</v>
      </c>
      <c r="U400" t="s">
        <v>73</v>
      </c>
      <c r="V400" t="s">
        <v>12</v>
      </c>
      <c r="W400" t="s">
        <v>67</v>
      </c>
      <c r="X400" t="s">
        <v>89</v>
      </c>
      <c r="Y400" t="s">
        <v>28</v>
      </c>
      <c r="Z400">
        <v>2.0099999999999998</v>
      </c>
      <c r="AA400">
        <f t="shared" si="18"/>
        <v>246538.02</v>
      </c>
      <c r="AB400">
        <f t="shared" si="19"/>
        <v>0.27768831798417432</v>
      </c>
      <c r="AC400">
        <f t="shared" si="20"/>
        <v>0</v>
      </c>
      <c r="AD400">
        <v>2024</v>
      </c>
      <c r="AE400">
        <v>7</v>
      </c>
      <c r="AF400" t="s">
        <v>69</v>
      </c>
      <c r="AG400" t="s">
        <v>70</v>
      </c>
    </row>
    <row r="401" spans="1:33">
      <c r="A401" t="s">
        <v>552</v>
      </c>
      <c r="B401">
        <v>45719</v>
      </c>
      <c r="C401">
        <v>45727</v>
      </c>
      <c r="D401" t="s">
        <v>23</v>
      </c>
      <c r="E401">
        <v>200</v>
      </c>
      <c r="F401">
        <v>1287.4000000000001</v>
      </c>
      <c r="G401">
        <v>1.1200000000000001</v>
      </c>
      <c r="H401">
        <v>254596.22</v>
      </c>
      <c r="I401" t="s">
        <v>1727</v>
      </c>
      <c r="J401">
        <v>1078.21</v>
      </c>
      <c r="K401">
        <v>215642</v>
      </c>
      <c r="L401">
        <v>2902.04</v>
      </c>
      <c r="M401">
        <v>319.88</v>
      </c>
      <c r="N401">
        <v>6248.96</v>
      </c>
      <c r="O401">
        <v>225112.88</v>
      </c>
      <c r="P401">
        <v>38954.22</v>
      </c>
      <c r="Q401">
        <v>29483.34</v>
      </c>
      <c r="R401" t="s">
        <v>65</v>
      </c>
      <c r="S401">
        <v>254596.22</v>
      </c>
      <c r="T401">
        <v>0</v>
      </c>
      <c r="U401" t="s">
        <v>66</v>
      </c>
      <c r="V401" t="s">
        <v>6</v>
      </c>
      <c r="W401" t="s">
        <v>67</v>
      </c>
      <c r="X401" t="s">
        <v>327</v>
      </c>
      <c r="Y401" t="s">
        <v>26</v>
      </c>
      <c r="Z401">
        <v>1.24</v>
      </c>
      <c r="AA401">
        <f t="shared" si="18"/>
        <v>29483.34</v>
      </c>
      <c r="AB401">
        <f t="shared" si="19"/>
        <v>0.1158043116272504</v>
      </c>
      <c r="AC401">
        <f t="shared" si="20"/>
        <v>0</v>
      </c>
      <c r="AD401">
        <v>2025</v>
      </c>
      <c r="AE401">
        <v>3</v>
      </c>
      <c r="AF401" t="s">
        <v>105</v>
      </c>
      <c r="AG401" t="s">
        <v>106</v>
      </c>
    </row>
    <row r="402" spans="1:33">
      <c r="A402" t="s">
        <v>553</v>
      </c>
      <c r="B402">
        <v>45708</v>
      </c>
      <c r="C402">
        <v>45713</v>
      </c>
      <c r="D402" t="s">
        <v>21</v>
      </c>
      <c r="E402">
        <v>50</v>
      </c>
      <c r="F402">
        <v>852.44</v>
      </c>
      <c r="G402">
        <v>1.85</v>
      </c>
      <c r="H402">
        <v>41833.49</v>
      </c>
      <c r="I402" t="s">
        <v>1726</v>
      </c>
      <c r="J402">
        <v>664.41</v>
      </c>
      <c r="K402">
        <v>33220.5</v>
      </c>
      <c r="L402">
        <v>908.11</v>
      </c>
      <c r="M402">
        <v>149.87</v>
      </c>
      <c r="N402">
        <v>348.78</v>
      </c>
      <c r="O402">
        <v>34627.26</v>
      </c>
      <c r="P402">
        <v>8612.99</v>
      </c>
      <c r="Q402">
        <v>7206.23</v>
      </c>
      <c r="R402" t="s">
        <v>85</v>
      </c>
      <c r="S402">
        <v>19755.3</v>
      </c>
      <c r="T402">
        <v>22078.19</v>
      </c>
      <c r="U402" t="s">
        <v>66</v>
      </c>
      <c r="V402" t="s">
        <v>16</v>
      </c>
      <c r="W402" t="s">
        <v>74</v>
      </c>
      <c r="X402" t="s">
        <v>81</v>
      </c>
      <c r="Y402" t="s">
        <v>24</v>
      </c>
      <c r="Z402">
        <v>1.26</v>
      </c>
      <c r="AA402">
        <f t="shared" si="18"/>
        <v>7206.23</v>
      </c>
      <c r="AB402">
        <f t="shared" si="19"/>
        <v>0.17225983297114345</v>
      </c>
      <c r="AC402">
        <f t="shared" si="20"/>
        <v>0</v>
      </c>
      <c r="AD402">
        <v>2025</v>
      </c>
      <c r="AE402">
        <v>2</v>
      </c>
      <c r="AF402" t="s">
        <v>172</v>
      </c>
      <c r="AG402" t="s">
        <v>244</v>
      </c>
    </row>
    <row r="403" spans="1:33">
      <c r="A403" t="s">
        <v>554</v>
      </c>
      <c r="B403">
        <v>45326</v>
      </c>
      <c r="C403">
        <v>45326</v>
      </c>
      <c r="D403" t="s">
        <v>23</v>
      </c>
      <c r="E403">
        <v>150</v>
      </c>
      <c r="F403">
        <v>1321.59</v>
      </c>
      <c r="G403">
        <v>1.27</v>
      </c>
      <c r="H403">
        <v>195720.87</v>
      </c>
      <c r="I403" t="s">
        <v>1728</v>
      </c>
      <c r="J403">
        <v>976.46</v>
      </c>
      <c r="K403">
        <v>146469</v>
      </c>
      <c r="L403">
        <v>2874.98</v>
      </c>
      <c r="M403">
        <v>451.61</v>
      </c>
      <c r="N403">
        <v>2183.31</v>
      </c>
      <c r="O403">
        <v>151978.9</v>
      </c>
      <c r="P403">
        <v>49251.87</v>
      </c>
      <c r="Q403">
        <v>43741.97</v>
      </c>
      <c r="R403" t="s">
        <v>85</v>
      </c>
      <c r="S403">
        <v>108856.23</v>
      </c>
      <c r="T403">
        <v>86864.639999999999</v>
      </c>
      <c r="U403" t="s">
        <v>66</v>
      </c>
      <c r="V403" t="s">
        <v>6</v>
      </c>
      <c r="W403" t="s">
        <v>80</v>
      </c>
      <c r="X403" t="s">
        <v>123</v>
      </c>
      <c r="Y403" t="s">
        <v>22</v>
      </c>
      <c r="Z403">
        <v>0.59</v>
      </c>
      <c r="AA403">
        <f t="shared" si="18"/>
        <v>43741.97</v>
      </c>
      <c r="AB403">
        <f t="shared" si="19"/>
        <v>0.22349159800894</v>
      </c>
      <c r="AC403">
        <f t="shared" si="20"/>
        <v>0</v>
      </c>
      <c r="AD403">
        <v>2024</v>
      </c>
      <c r="AE403">
        <v>2</v>
      </c>
      <c r="AF403" t="s">
        <v>172</v>
      </c>
      <c r="AG403" t="s">
        <v>173</v>
      </c>
    </row>
    <row r="404" spans="1:33">
      <c r="A404" t="s">
        <v>555</v>
      </c>
      <c r="B404">
        <v>45536</v>
      </c>
      <c r="C404">
        <v>45539</v>
      </c>
      <c r="D404" t="s">
        <v>25</v>
      </c>
      <c r="E404">
        <v>750</v>
      </c>
      <c r="F404">
        <v>1048.1500000000001</v>
      </c>
      <c r="G404">
        <v>1.89</v>
      </c>
      <c r="H404">
        <v>771254.97</v>
      </c>
      <c r="I404" t="s">
        <v>1726</v>
      </c>
      <c r="J404">
        <v>723.81</v>
      </c>
      <c r="K404">
        <v>542857.5</v>
      </c>
      <c r="L404">
        <v>9380.7000000000007</v>
      </c>
      <c r="M404">
        <v>3500.11</v>
      </c>
      <c r="N404">
        <v>620.30999999999995</v>
      </c>
      <c r="O404">
        <v>556358.62</v>
      </c>
      <c r="P404">
        <v>228397.47</v>
      </c>
      <c r="Q404">
        <v>214896.35</v>
      </c>
      <c r="R404" t="s">
        <v>65</v>
      </c>
      <c r="S404">
        <v>771254.97</v>
      </c>
      <c r="T404">
        <v>0</v>
      </c>
      <c r="U404" t="s">
        <v>66</v>
      </c>
      <c r="V404" t="s">
        <v>10</v>
      </c>
      <c r="W404" t="s">
        <v>80</v>
      </c>
      <c r="X404" t="s">
        <v>81</v>
      </c>
      <c r="Y404" t="s">
        <v>24</v>
      </c>
      <c r="Z404">
        <v>1.54</v>
      </c>
      <c r="AA404">
        <f t="shared" si="18"/>
        <v>214896.35</v>
      </c>
      <c r="AB404">
        <f t="shared" si="19"/>
        <v>0.27863204563855193</v>
      </c>
      <c r="AC404">
        <f t="shared" si="20"/>
        <v>0</v>
      </c>
      <c r="AD404">
        <v>2024</v>
      </c>
      <c r="AE404">
        <v>9</v>
      </c>
      <c r="AF404" t="s">
        <v>131</v>
      </c>
      <c r="AG404" t="s">
        <v>188</v>
      </c>
    </row>
    <row r="405" spans="1:33">
      <c r="A405" t="s">
        <v>556</v>
      </c>
      <c r="B405">
        <v>45581</v>
      </c>
      <c r="C405">
        <v>45583</v>
      </c>
      <c r="D405" t="s">
        <v>25</v>
      </c>
      <c r="E405">
        <v>1000</v>
      </c>
      <c r="F405">
        <v>1014.95</v>
      </c>
      <c r="G405">
        <v>0.24</v>
      </c>
      <c r="H405">
        <v>1012514.12</v>
      </c>
      <c r="I405" t="s">
        <v>1727</v>
      </c>
      <c r="J405">
        <v>737.27</v>
      </c>
      <c r="K405">
        <v>737270</v>
      </c>
      <c r="L405">
        <v>18037.62</v>
      </c>
      <c r="M405">
        <v>2677.88</v>
      </c>
      <c r="N405">
        <v>6704.85</v>
      </c>
      <c r="O405">
        <v>764690.35</v>
      </c>
      <c r="P405">
        <v>275244.12</v>
      </c>
      <c r="Q405">
        <v>247823.77</v>
      </c>
      <c r="R405" t="s">
        <v>65</v>
      </c>
      <c r="S405">
        <v>1012514.12</v>
      </c>
      <c r="T405">
        <v>0</v>
      </c>
      <c r="U405" t="s">
        <v>66</v>
      </c>
      <c r="V405" t="s">
        <v>12</v>
      </c>
      <c r="W405" t="s">
        <v>67</v>
      </c>
      <c r="X405" t="s">
        <v>110</v>
      </c>
      <c r="Y405" t="s">
        <v>28</v>
      </c>
      <c r="Z405">
        <v>0.19</v>
      </c>
      <c r="AA405">
        <f t="shared" si="18"/>
        <v>247823.77</v>
      </c>
      <c r="AB405">
        <f t="shared" si="19"/>
        <v>0.24476080392834421</v>
      </c>
      <c r="AC405">
        <f t="shared" si="20"/>
        <v>0</v>
      </c>
      <c r="AD405">
        <v>2024</v>
      </c>
      <c r="AE405">
        <v>10</v>
      </c>
      <c r="AF405" t="s">
        <v>138</v>
      </c>
      <c r="AG405" t="s">
        <v>139</v>
      </c>
    </row>
    <row r="406" spans="1:33">
      <c r="A406" t="s">
        <v>557</v>
      </c>
      <c r="B406">
        <v>45536</v>
      </c>
      <c r="C406">
        <v>45540</v>
      </c>
      <c r="D406" t="s">
        <v>25</v>
      </c>
      <c r="E406">
        <v>1000</v>
      </c>
      <c r="F406">
        <v>1045.21</v>
      </c>
      <c r="G406">
        <v>0.95</v>
      </c>
      <c r="H406">
        <v>1035280.5</v>
      </c>
      <c r="I406" t="s">
        <v>1726</v>
      </c>
      <c r="J406">
        <v>752.19</v>
      </c>
      <c r="K406">
        <v>752190</v>
      </c>
      <c r="L406">
        <v>21694.6</v>
      </c>
      <c r="M406">
        <v>2564.88</v>
      </c>
      <c r="N406">
        <v>2569.64</v>
      </c>
      <c r="O406">
        <v>779019.12</v>
      </c>
      <c r="P406">
        <v>283090.5</v>
      </c>
      <c r="Q406">
        <v>256261.38</v>
      </c>
      <c r="R406" t="s">
        <v>65</v>
      </c>
      <c r="S406">
        <v>1035280.5</v>
      </c>
      <c r="T406">
        <v>0</v>
      </c>
      <c r="U406" t="s">
        <v>66</v>
      </c>
      <c r="V406" t="s">
        <v>8</v>
      </c>
      <c r="W406" t="s">
        <v>74</v>
      </c>
      <c r="X406" t="s">
        <v>167</v>
      </c>
      <c r="Y406" t="s">
        <v>31</v>
      </c>
      <c r="Z406">
        <v>2.2400000000000002</v>
      </c>
      <c r="AA406">
        <f t="shared" si="18"/>
        <v>256261.38</v>
      </c>
      <c r="AB406">
        <f t="shared" si="19"/>
        <v>0.24752845243390559</v>
      </c>
      <c r="AC406">
        <f t="shared" si="20"/>
        <v>0</v>
      </c>
      <c r="AD406">
        <v>2024</v>
      </c>
      <c r="AE406">
        <v>9</v>
      </c>
      <c r="AF406" t="s">
        <v>131</v>
      </c>
      <c r="AG406" t="s">
        <v>188</v>
      </c>
    </row>
    <row r="407" spans="1:33">
      <c r="A407" t="s">
        <v>558</v>
      </c>
      <c r="B407">
        <v>45508</v>
      </c>
      <c r="D407" t="s">
        <v>21</v>
      </c>
      <c r="E407">
        <v>200</v>
      </c>
      <c r="F407">
        <v>892.28</v>
      </c>
      <c r="G407">
        <v>0.64</v>
      </c>
      <c r="H407">
        <v>0</v>
      </c>
      <c r="I407" t="s">
        <v>1727</v>
      </c>
      <c r="J407">
        <v>742.96</v>
      </c>
      <c r="K407">
        <v>0</v>
      </c>
      <c r="L407">
        <v>0</v>
      </c>
      <c r="M407">
        <v>0</v>
      </c>
      <c r="N407">
        <v>0</v>
      </c>
      <c r="O407">
        <v>0</v>
      </c>
      <c r="P407">
        <v>0</v>
      </c>
      <c r="Q407">
        <v>0</v>
      </c>
      <c r="R407" t="s">
        <v>65</v>
      </c>
      <c r="S407">
        <v>0</v>
      </c>
      <c r="T407">
        <v>0</v>
      </c>
      <c r="U407" t="s">
        <v>117</v>
      </c>
      <c r="V407" t="s">
        <v>8</v>
      </c>
      <c r="W407" t="s">
        <v>92</v>
      </c>
      <c r="X407" t="s">
        <v>164</v>
      </c>
      <c r="Y407" t="s">
        <v>24</v>
      </c>
      <c r="Z407">
        <v>1.1100000000000001</v>
      </c>
      <c r="AA407">
        <f t="shared" si="18"/>
        <v>0</v>
      </c>
      <c r="AB407" t="e">
        <f t="shared" si="19"/>
        <v>#DIV/0!</v>
      </c>
      <c r="AC407">
        <f t="shared" si="20"/>
        <v>0</v>
      </c>
      <c r="AD407">
        <v>2024</v>
      </c>
      <c r="AE407">
        <v>8</v>
      </c>
      <c r="AF407" t="s">
        <v>82</v>
      </c>
      <c r="AG407" t="s">
        <v>83</v>
      </c>
    </row>
    <row r="408" spans="1:33">
      <c r="A408" t="s">
        <v>559</v>
      </c>
      <c r="B408">
        <v>45959</v>
      </c>
      <c r="C408">
        <v>45967</v>
      </c>
      <c r="D408" t="s">
        <v>21</v>
      </c>
      <c r="E408">
        <v>200</v>
      </c>
      <c r="F408">
        <v>858.15</v>
      </c>
      <c r="G408">
        <v>1.17</v>
      </c>
      <c r="H408">
        <v>169621.93</v>
      </c>
      <c r="I408" t="s">
        <v>1726</v>
      </c>
      <c r="J408">
        <v>724.62</v>
      </c>
      <c r="K408">
        <v>144924</v>
      </c>
      <c r="L408">
        <v>3450.89</v>
      </c>
      <c r="M408">
        <v>778.77</v>
      </c>
      <c r="N408">
        <v>9030.64</v>
      </c>
      <c r="O408">
        <v>158184.29999999999</v>
      </c>
      <c r="P408">
        <v>24697.93</v>
      </c>
      <c r="Q408">
        <v>11437.63</v>
      </c>
      <c r="R408" t="s">
        <v>65</v>
      </c>
      <c r="S408">
        <v>169621.93</v>
      </c>
      <c r="T408">
        <v>0</v>
      </c>
      <c r="U408" t="s">
        <v>66</v>
      </c>
      <c r="V408" t="s">
        <v>6</v>
      </c>
      <c r="W408" t="s">
        <v>67</v>
      </c>
      <c r="X408" t="s">
        <v>159</v>
      </c>
      <c r="Y408" t="s">
        <v>30</v>
      </c>
      <c r="Z408">
        <v>1.1299999999999999</v>
      </c>
      <c r="AA408">
        <f t="shared" si="18"/>
        <v>11437.63</v>
      </c>
      <c r="AB408">
        <f t="shared" si="19"/>
        <v>6.7430137129084661E-2</v>
      </c>
      <c r="AC408">
        <f t="shared" si="20"/>
        <v>0</v>
      </c>
      <c r="AD408">
        <v>2025</v>
      </c>
      <c r="AE408">
        <v>10</v>
      </c>
      <c r="AF408" t="s">
        <v>138</v>
      </c>
      <c r="AG408" t="s">
        <v>160</v>
      </c>
    </row>
    <row r="409" spans="1:33">
      <c r="A409" t="s">
        <v>560</v>
      </c>
      <c r="B409">
        <v>45706</v>
      </c>
      <c r="C409">
        <v>45715</v>
      </c>
      <c r="D409" t="s">
        <v>23</v>
      </c>
      <c r="E409">
        <v>50</v>
      </c>
      <c r="F409">
        <v>1343.38</v>
      </c>
      <c r="G409">
        <v>0.42</v>
      </c>
      <c r="H409">
        <v>66886.89</v>
      </c>
      <c r="I409" t="s">
        <v>1726</v>
      </c>
      <c r="J409">
        <v>1094.17</v>
      </c>
      <c r="K409">
        <v>54708.5</v>
      </c>
      <c r="L409">
        <v>588.5</v>
      </c>
      <c r="M409">
        <v>184.18</v>
      </c>
      <c r="N409">
        <v>7541.34</v>
      </c>
      <c r="O409">
        <v>63022.52</v>
      </c>
      <c r="P409">
        <v>12178.39</v>
      </c>
      <c r="Q409">
        <v>3864.37</v>
      </c>
      <c r="R409" t="s">
        <v>65</v>
      </c>
      <c r="S409">
        <v>66886.89</v>
      </c>
      <c r="T409">
        <v>0</v>
      </c>
      <c r="U409" t="s">
        <v>73</v>
      </c>
      <c r="V409" t="s">
        <v>12</v>
      </c>
      <c r="W409" t="s">
        <v>92</v>
      </c>
      <c r="X409" t="s">
        <v>195</v>
      </c>
      <c r="Y409" t="s">
        <v>26</v>
      </c>
      <c r="Z409">
        <v>1.98</v>
      </c>
      <c r="AA409">
        <f t="shared" si="18"/>
        <v>3864.37</v>
      </c>
      <c r="AB409">
        <f t="shared" si="19"/>
        <v>5.7774699944936891E-2</v>
      </c>
      <c r="AC409">
        <f t="shared" si="20"/>
        <v>0</v>
      </c>
      <c r="AD409">
        <v>2025</v>
      </c>
      <c r="AE409">
        <v>2</v>
      </c>
      <c r="AF409" t="s">
        <v>172</v>
      </c>
      <c r="AG409" t="s">
        <v>244</v>
      </c>
    </row>
    <row r="410" spans="1:33">
      <c r="A410" t="s">
        <v>561</v>
      </c>
      <c r="B410">
        <v>45323</v>
      </c>
      <c r="C410">
        <v>45329</v>
      </c>
      <c r="D410" t="s">
        <v>25</v>
      </c>
      <c r="E410">
        <v>200</v>
      </c>
      <c r="F410">
        <v>924.3</v>
      </c>
      <c r="G410">
        <v>2.42</v>
      </c>
      <c r="H410">
        <v>180386.39</v>
      </c>
      <c r="I410" t="s">
        <v>1729</v>
      </c>
      <c r="J410">
        <v>759.2</v>
      </c>
      <c r="K410">
        <v>151840</v>
      </c>
      <c r="L410">
        <v>4276.0600000000004</v>
      </c>
      <c r="M410">
        <v>698.05</v>
      </c>
      <c r="N410">
        <v>9192.4</v>
      </c>
      <c r="O410">
        <v>166006.51</v>
      </c>
      <c r="P410">
        <v>28546.39</v>
      </c>
      <c r="Q410">
        <v>14379.88</v>
      </c>
      <c r="R410" t="s">
        <v>65</v>
      </c>
      <c r="S410">
        <v>180386.39</v>
      </c>
      <c r="T410">
        <v>0</v>
      </c>
      <c r="U410" t="s">
        <v>66</v>
      </c>
      <c r="V410" t="s">
        <v>14</v>
      </c>
      <c r="W410" t="s">
        <v>141</v>
      </c>
      <c r="X410" t="s">
        <v>176</v>
      </c>
      <c r="Y410" t="s">
        <v>22</v>
      </c>
      <c r="Z410">
        <v>1.36</v>
      </c>
      <c r="AA410">
        <f t="shared" si="18"/>
        <v>14379.88</v>
      </c>
      <c r="AB410">
        <f t="shared" si="19"/>
        <v>7.9717100608310845E-2</v>
      </c>
      <c r="AC410">
        <f t="shared" si="20"/>
        <v>0</v>
      </c>
      <c r="AD410">
        <v>2024</v>
      </c>
      <c r="AE410">
        <v>2</v>
      </c>
      <c r="AF410" t="s">
        <v>172</v>
      </c>
      <c r="AG410" t="s">
        <v>173</v>
      </c>
    </row>
    <row r="411" spans="1:33">
      <c r="A411" t="s">
        <v>562</v>
      </c>
      <c r="B411">
        <v>45572</v>
      </c>
      <c r="C411">
        <v>45578</v>
      </c>
      <c r="D411" t="s">
        <v>21</v>
      </c>
      <c r="E411">
        <v>250</v>
      </c>
      <c r="F411">
        <v>962.98</v>
      </c>
      <c r="G411">
        <v>0.37</v>
      </c>
      <c r="H411">
        <v>239854.24</v>
      </c>
      <c r="I411" t="s">
        <v>1726</v>
      </c>
      <c r="J411">
        <v>667.3</v>
      </c>
      <c r="K411">
        <v>166825</v>
      </c>
      <c r="L411">
        <v>1754.09</v>
      </c>
      <c r="M411">
        <v>1046.69</v>
      </c>
      <c r="N411">
        <v>2302.27</v>
      </c>
      <c r="O411">
        <v>171928.05</v>
      </c>
      <c r="P411">
        <v>73029.240000000005</v>
      </c>
      <c r="Q411">
        <v>67926.19</v>
      </c>
      <c r="R411" t="s">
        <v>85</v>
      </c>
      <c r="S411">
        <v>149052.81</v>
      </c>
      <c r="T411">
        <v>90801.43</v>
      </c>
      <c r="U411" t="s">
        <v>66</v>
      </c>
      <c r="V411" t="s">
        <v>10</v>
      </c>
      <c r="W411" t="s">
        <v>92</v>
      </c>
      <c r="X411" t="s">
        <v>162</v>
      </c>
      <c r="Y411" t="s">
        <v>26</v>
      </c>
      <c r="Z411">
        <v>0.89</v>
      </c>
      <c r="AA411">
        <f t="shared" si="18"/>
        <v>67926.19</v>
      </c>
      <c r="AB411">
        <f t="shared" si="19"/>
        <v>0.28319778712271254</v>
      </c>
      <c r="AC411">
        <f t="shared" si="20"/>
        <v>0</v>
      </c>
      <c r="AD411">
        <v>2024</v>
      </c>
      <c r="AE411">
        <v>10</v>
      </c>
      <c r="AF411" t="s">
        <v>138</v>
      </c>
      <c r="AG411" t="s">
        <v>139</v>
      </c>
    </row>
    <row r="412" spans="1:33">
      <c r="A412" t="s">
        <v>563</v>
      </c>
      <c r="B412">
        <v>45679</v>
      </c>
      <c r="C412">
        <v>45680</v>
      </c>
      <c r="D412" t="s">
        <v>25</v>
      </c>
      <c r="E412">
        <v>250</v>
      </c>
      <c r="F412">
        <v>991.17</v>
      </c>
      <c r="G412">
        <v>0.51</v>
      </c>
      <c r="H412">
        <v>246528.76</v>
      </c>
      <c r="I412" t="s">
        <v>1726</v>
      </c>
      <c r="J412">
        <v>768.94</v>
      </c>
      <c r="K412">
        <v>192235</v>
      </c>
      <c r="L412">
        <v>5272.44</v>
      </c>
      <c r="M412">
        <v>1130.45</v>
      </c>
      <c r="N412">
        <v>2060.0700000000002</v>
      </c>
      <c r="O412">
        <v>200697.96</v>
      </c>
      <c r="P412">
        <v>54293.760000000002</v>
      </c>
      <c r="Q412">
        <v>45830.8</v>
      </c>
      <c r="R412" t="s">
        <v>65</v>
      </c>
      <c r="S412">
        <v>246528.76</v>
      </c>
      <c r="T412">
        <v>0</v>
      </c>
      <c r="U412" t="s">
        <v>66</v>
      </c>
      <c r="V412" t="s">
        <v>12</v>
      </c>
      <c r="W412" t="s">
        <v>80</v>
      </c>
      <c r="X412" t="s">
        <v>208</v>
      </c>
      <c r="Y412" t="s">
        <v>26</v>
      </c>
      <c r="Z412">
        <v>0.36</v>
      </c>
      <c r="AA412">
        <f t="shared" si="18"/>
        <v>45830.8</v>
      </c>
      <c r="AB412">
        <f t="shared" si="19"/>
        <v>0.18590447621608125</v>
      </c>
      <c r="AC412">
        <f t="shared" si="20"/>
        <v>0</v>
      </c>
      <c r="AD412">
        <v>2025</v>
      </c>
      <c r="AE412">
        <v>1</v>
      </c>
      <c r="AF412" t="s">
        <v>102</v>
      </c>
      <c r="AG412" t="s">
        <v>118</v>
      </c>
    </row>
    <row r="413" spans="1:33">
      <c r="A413" t="s">
        <v>564</v>
      </c>
      <c r="B413">
        <v>45742</v>
      </c>
      <c r="C413">
        <v>45751</v>
      </c>
      <c r="D413" t="s">
        <v>21</v>
      </c>
      <c r="E413">
        <v>250</v>
      </c>
      <c r="F413">
        <v>950.61</v>
      </c>
      <c r="G413">
        <v>0.49</v>
      </c>
      <c r="H413">
        <v>236488</v>
      </c>
      <c r="I413" t="s">
        <v>1726</v>
      </c>
      <c r="J413">
        <v>741.43</v>
      </c>
      <c r="K413">
        <v>185357.5</v>
      </c>
      <c r="L413">
        <v>3039.17</v>
      </c>
      <c r="M413">
        <v>763.29</v>
      </c>
      <c r="N413">
        <v>4775.46</v>
      </c>
      <c r="O413">
        <v>193935.42</v>
      </c>
      <c r="P413">
        <v>51130.5</v>
      </c>
      <c r="Q413">
        <v>42552.58</v>
      </c>
      <c r="R413" t="s">
        <v>65</v>
      </c>
      <c r="S413">
        <v>236488</v>
      </c>
      <c r="T413">
        <v>0</v>
      </c>
      <c r="U413" t="s">
        <v>73</v>
      </c>
      <c r="V413" t="s">
        <v>8</v>
      </c>
      <c r="W413" t="s">
        <v>141</v>
      </c>
      <c r="X413" t="s">
        <v>97</v>
      </c>
      <c r="Y413" t="s">
        <v>24</v>
      </c>
      <c r="Z413">
        <v>2.0699999999999998</v>
      </c>
      <c r="AA413">
        <f t="shared" si="18"/>
        <v>42552.58</v>
      </c>
      <c r="AB413">
        <f t="shared" si="19"/>
        <v>0.17993547241297655</v>
      </c>
      <c r="AC413">
        <f t="shared" si="20"/>
        <v>0</v>
      </c>
      <c r="AD413">
        <v>2025</v>
      </c>
      <c r="AE413">
        <v>3</v>
      </c>
      <c r="AF413" t="s">
        <v>105</v>
      </c>
      <c r="AG413" t="s">
        <v>106</v>
      </c>
    </row>
    <row r="414" spans="1:33">
      <c r="A414" t="s">
        <v>565</v>
      </c>
      <c r="B414">
        <v>45699</v>
      </c>
      <c r="C414">
        <v>45705</v>
      </c>
      <c r="D414" t="s">
        <v>21</v>
      </c>
      <c r="E414">
        <v>300</v>
      </c>
      <c r="F414">
        <v>874.99</v>
      </c>
      <c r="G414">
        <v>2.35</v>
      </c>
      <c r="H414">
        <v>256328.32000000001</v>
      </c>
      <c r="I414" t="s">
        <v>1729</v>
      </c>
      <c r="J414">
        <v>748.28</v>
      </c>
      <c r="K414">
        <v>224484</v>
      </c>
      <c r="L414">
        <v>3376.8</v>
      </c>
      <c r="M414">
        <v>762.25</v>
      </c>
      <c r="N414">
        <v>4733.7700000000004</v>
      </c>
      <c r="O414">
        <v>233356.82</v>
      </c>
      <c r="P414">
        <v>31844.32</v>
      </c>
      <c r="Q414">
        <v>22971.5</v>
      </c>
      <c r="R414" t="s">
        <v>65</v>
      </c>
      <c r="S414">
        <v>256328.32000000001</v>
      </c>
      <c r="T414">
        <v>0</v>
      </c>
      <c r="U414" t="s">
        <v>66</v>
      </c>
      <c r="V414" t="s">
        <v>10</v>
      </c>
      <c r="W414" t="s">
        <v>80</v>
      </c>
      <c r="X414" t="s">
        <v>375</v>
      </c>
      <c r="Y414" t="s">
        <v>30</v>
      </c>
      <c r="Z414">
        <v>1.83</v>
      </c>
      <c r="AA414">
        <f t="shared" si="18"/>
        <v>22971.5</v>
      </c>
      <c r="AB414">
        <f t="shared" si="19"/>
        <v>8.9617487447348779E-2</v>
      </c>
      <c r="AC414">
        <f t="shared" si="20"/>
        <v>0</v>
      </c>
      <c r="AD414">
        <v>2025</v>
      </c>
      <c r="AE414">
        <v>2</v>
      </c>
      <c r="AF414" t="s">
        <v>172</v>
      </c>
      <c r="AG414" t="s">
        <v>244</v>
      </c>
    </row>
    <row r="415" spans="1:33">
      <c r="A415" t="s">
        <v>566</v>
      </c>
      <c r="B415">
        <v>45366</v>
      </c>
      <c r="D415" t="s">
        <v>21</v>
      </c>
      <c r="E415">
        <v>500</v>
      </c>
      <c r="F415">
        <v>893.81</v>
      </c>
      <c r="G415">
        <v>3.44</v>
      </c>
      <c r="H415">
        <v>431531.47</v>
      </c>
      <c r="I415" t="s">
        <v>1729</v>
      </c>
      <c r="J415">
        <v>657.49</v>
      </c>
      <c r="K415">
        <v>328745</v>
      </c>
      <c r="L415">
        <v>3495.41</v>
      </c>
      <c r="M415">
        <v>2608.7399999999998</v>
      </c>
      <c r="N415">
        <v>9124.3700000000008</v>
      </c>
      <c r="O415">
        <v>343973.52</v>
      </c>
      <c r="P415">
        <v>102786.47</v>
      </c>
      <c r="Q415">
        <v>87557.95</v>
      </c>
      <c r="R415" t="s">
        <v>65</v>
      </c>
      <c r="S415">
        <v>431531.47</v>
      </c>
      <c r="T415">
        <v>0</v>
      </c>
      <c r="U415" t="s">
        <v>91</v>
      </c>
      <c r="V415" t="s">
        <v>6</v>
      </c>
      <c r="W415" t="s">
        <v>92</v>
      </c>
      <c r="X415" t="s">
        <v>205</v>
      </c>
      <c r="Y415" t="s">
        <v>24</v>
      </c>
      <c r="Z415">
        <v>2.27</v>
      </c>
      <c r="AA415">
        <f t="shared" si="18"/>
        <v>87557.95</v>
      </c>
      <c r="AB415">
        <f t="shared" si="19"/>
        <v>0.20290049761608348</v>
      </c>
      <c r="AC415">
        <f t="shared" si="20"/>
        <v>0</v>
      </c>
      <c r="AD415">
        <v>2024</v>
      </c>
      <c r="AE415">
        <v>3</v>
      </c>
      <c r="AF415" t="s">
        <v>105</v>
      </c>
      <c r="AG415" t="s">
        <v>120</v>
      </c>
    </row>
    <row r="416" spans="1:33">
      <c r="A416" t="s">
        <v>567</v>
      </c>
      <c r="B416">
        <v>45280</v>
      </c>
      <c r="C416">
        <v>45292</v>
      </c>
      <c r="D416" t="s">
        <v>21</v>
      </c>
      <c r="E416">
        <v>50</v>
      </c>
      <c r="F416">
        <v>913.78</v>
      </c>
      <c r="G416">
        <v>0.9</v>
      </c>
      <c r="H416">
        <v>45277.8</v>
      </c>
      <c r="I416" t="s">
        <v>1727</v>
      </c>
      <c r="J416">
        <v>667.17</v>
      </c>
      <c r="K416">
        <v>33358.5</v>
      </c>
      <c r="L416">
        <v>602.09</v>
      </c>
      <c r="M416">
        <v>265.83</v>
      </c>
      <c r="N416">
        <v>5554.41</v>
      </c>
      <c r="O416">
        <v>39780.83</v>
      </c>
      <c r="P416">
        <v>11919.3</v>
      </c>
      <c r="Q416">
        <v>5496.97</v>
      </c>
      <c r="R416" t="s">
        <v>65</v>
      </c>
      <c r="S416">
        <v>45277.8</v>
      </c>
      <c r="T416">
        <v>0</v>
      </c>
      <c r="U416" t="s">
        <v>66</v>
      </c>
      <c r="V416" t="s">
        <v>16</v>
      </c>
      <c r="W416" t="s">
        <v>67</v>
      </c>
      <c r="X416" t="s">
        <v>86</v>
      </c>
      <c r="Y416" t="s">
        <v>30</v>
      </c>
      <c r="Z416">
        <v>1.42</v>
      </c>
      <c r="AA416">
        <f t="shared" si="18"/>
        <v>5496.97</v>
      </c>
      <c r="AB416">
        <f t="shared" si="19"/>
        <v>0.12140541280715936</v>
      </c>
      <c r="AC416">
        <f t="shared" si="20"/>
        <v>0</v>
      </c>
      <c r="AD416">
        <v>2023</v>
      </c>
      <c r="AE416">
        <v>12</v>
      </c>
      <c r="AF416" t="s">
        <v>98</v>
      </c>
      <c r="AG416" t="s">
        <v>232</v>
      </c>
    </row>
    <row r="417" spans="1:33">
      <c r="A417" t="s">
        <v>568</v>
      </c>
      <c r="B417">
        <v>45928</v>
      </c>
      <c r="C417">
        <v>45939</v>
      </c>
      <c r="D417" t="s">
        <v>23</v>
      </c>
      <c r="E417">
        <v>50</v>
      </c>
      <c r="F417">
        <v>1354.53</v>
      </c>
      <c r="G417">
        <v>1.83</v>
      </c>
      <c r="H417">
        <v>66487.11</v>
      </c>
      <c r="I417" t="s">
        <v>1726</v>
      </c>
      <c r="J417">
        <v>1115.58</v>
      </c>
      <c r="K417">
        <v>55779</v>
      </c>
      <c r="L417">
        <v>1063.6099999999999</v>
      </c>
      <c r="M417">
        <v>151.47999999999999</v>
      </c>
      <c r="N417">
        <v>281.13</v>
      </c>
      <c r="O417">
        <v>57275.22</v>
      </c>
      <c r="P417">
        <v>10708.11</v>
      </c>
      <c r="Q417">
        <v>9211.89</v>
      </c>
      <c r="R417" t="s">
        <v>65</v>
      </c>
      <c r="S417">
        <v>66487.11</v>
      </c>
      <c r="T417">
        <v>0</v>
      </c>
      <c r="U417" t="s">
        <v>73</v>
      </c>
      <c r="V417" t="s">
        <v>6</v>
      </c>
      <c r="W417" t="s">
        <v>74</v>
      </c>
      <c r="X417" t="s">
        <v>375</v>
      </c>
      <c r="Y417" t="s">
        <v>30</v>
      </c>
      <c r="Z417">
        <v>0.3</v>
      </c>
      <c r="AA417">
        <f t="shared" si="18"/>
        <v>9211.89</v>
      </c>
      <c r="AB417">
        <f t="shared" si="19"/>
        <v>0.13855151773027885</v>
      </c>
      <c r="AC417">
        <f t="shared" si="20"/>
        <v>0</v>
      </c>
      <c r="AD417">
        <v>2025</v>
      </c>
      <c r="AE417">
        <v>9</v>
      </c>
      <c r="AF417" t="s">
        <v>131</v>
      </c>
      <c r="AG417" t="s">
        <v>132</v>
      </c>
    </row>
    <row r="418" spans="1:33">
      <c r="A418" t="s">
        <v>569</v>
      </c>
      <c r="B418">
        <v>45458</v>
      </c>
      <c r="C418">
        <v>45458</v>
      </c>
      <c r="D418" t="s">
        <v>21</v>
      </c>
      <c r="E418">
        <v>300</v>
      </c>
      <c r="F418">
        <v>854.72</v>
      </c>
      <c r="G418">
        <v>0.22</v>
      </c>
      <c r="H418">
        <v>255851.88</v>
      </c>
      <c r="I418" t="s">
        <v>1726</v>
      </c>
      <c r="J418">
        <v>697.72</v>
      </c>
      <c r="K418">
        <v>209316</v>
      </c>
      <c r="L418">
        <v>2588.9899999999998</v>
      </c>
      <c r="M418">
        <v>735.37</v>
      </c>
      <c r="N418">
        <v>9185.68</v>
      </c>
      <c r="O418">
        <v>221826.04</v>
      </c>
      <c r="P418">
        <v>46535.88</v>
      </c>
      <c r="Q418">
        <v>34025.839999999997</v>
      </c>
      <c r="R418" t="s">
        <v>65</v>
      </c>
      <c r="S418">
        <v>255851.88</v>
      </c>
      <c r="T418">
        <v>0</v>
      </c>
      <c r="U418" t="s">
        <v>66</v>
      </c>
      <c r="V418" t="s">
        <v>6</v>
      </c>
      <c r="W418" t="s">
        <v>74</v>
      </c>
      <c r="X418" t="s">
        <v>101</v>
      </c>
      <c r="Y418" t="s">
        <v>22</v>
      </c>
      <c r="Z418">
        <v>2.4900000000000002</v>
      </c>
      <c r="AA418">
        <f t="shared" si="18"/>
        <v>34025.839999999997</v>
      </c>
      <c r="AB418">
        <f t="shared" si="19"/>
        <v>0.1329903849055164</v>
      </c>
      <c r="AC418">
        <f t="shared" si="20"/>
        <v>0</v>
      </c>
      <c r="AD418">
        <v>2024</v>
      </c>
      <c r="AE418">
        <v>6</v>
      </c>
      <c r="AF418" t="s">
        <v>111</v>
      </c>
      <c r="AG418" t="s">
        <v>148</v>
      </c>
    </row>
    <row r="419" spans="1:33">
      <c r="A419" t="s">
        <v>570</v>
      </c>
      <c r="B419">
        <v>45316</v>
      </c>
      <c r="C419">
        <v>45329</v>
      </c>
      <c r="D419" t="s">
        <v>23</v>
      </c>
      <c r="E419">
        <v>150</v>
      </c>
      <c r="F419">
        <v>1305.03</v>
      </c>
      <c r="G419">
        <v>0.95</v>
      </c>
      <c r="H419">
        <v>193894.83</v>
      </c>
      <c r="I419" t="s">
        <v>1726</v>
      </c>
      <c r="J419">
        <v>1103.32</v>
      </c>
      <c r="K419">
        <v>165498</v>
      </c>
      <c r="L419">
        <v>2736.12</v>
      </c>
      <c r="M419">
        <v>611.98</v>
      </c>
      <c r="N419">
        <v>1014.4</v>
      </c>
      <c r="O419">
        <v>169860.5</v>
      </c>
      <c r="P419">
        <v>28396.83</v>
      </c>
      <c r="Q419">
        <v>24034.33</v>
      </c>
      <c r="R419" t="s">
        <v>65</v>
      </c>
      <c r="S419">
        <v>193894.83</v>
      </c>
      <c r="T419">
        <v>0</v>
      </c>
      <c r="U419" t="s">
        <v>66</v>
      </c>
      <c r="V419" t="s">
        <v>12</v>
      </c>
      <c r="W419" t="s">
        <v>80</v>
      </c>
      <c r="X419" t="s">
        <v>89</v>
      </c>
      <c r="Y419" t="s">
        <v>28</v>
      </c>
      <c r="Z419">
        <v>1.88</v>
      </c>
      <c r="AA419">
        <f t="shared" si="18"/>
        <v>24034.33</v>
      </c>
      <c r="AB419">
        <f t="shared" si="19"/>
        <v>0.12395549690520373</v>
      </c>
      <c r="AC419">
        <f t="shared" si="20"/>
        <v>0</v>
      </c>
      <c r="AD419">
        <v>2024</v>
      </c>
      <c r="AE419">
        <v>1</v>
      </c>
      <c r="AF419" t="s">
        <v>102</v>
      </c>
      <c r="AG419" t="s">
        <v>103</v>
      </c>
    </row>
    <row r="420" spans="1:33">
      <c r="A420" t="s">
        <v>571</v>
      </c>
      <c r="B420">
        <v>45831</v>
      </c>
      <c r="D420" t="s">
        <v>25</v>
      </c>
      <c r="E420">
        <v>200</v>
      </c>
      <c r="F420">
        <v>920.66</v>
      </c>
      <c r="G420">
        <v>0.39</v>
      </c>
      <c r="H420">
        <v>183413.89</v>
      </c>
      <c r="I420" t="s">
        <v>1727</v>
      </c>
      <c r="J420">
        <v>820.48</v>
      </c>
      <c r="K420">
        <v>164096</v>
      </c>
      <c r="L420">
        <v>2413.35</v>
      </c>
      <c r="M420">
        <v>869.95</v>
      </c>
      <c r="N420">
        <v>10814.27</v>
      </c>
      <c r="O420">
        <v>178193.57</v>
      </c>
      <c r="P420">
        <v>19317.89</v>
      </c>
      <c r="Q420">
        <v>5220.32</v>
      </c>
      <c r="R420" t="s">
        <v>85</v>
      </c>
      <c r="S420">
        <v>94570.68</v>
      </c>
      <c r="T420">
        <v>88843.21</v>
      </c>
      <c r="U420" t="s">
        <v>91</v>
      </c>
      <c r="V420" t="s">
        <v>6</v>
      </c>
      <c r="W420" t="s">
        <v>80</v>
      </c>
      <c r="X420" t="s">
        <v>115</v>
      </c>
      <c r="Y420" t="s">
        <v>22</v>
      </c>
      <c r="Z420">
        <v>1.04</v>
      </c>
      <c r="AA420">
        <f t="shared" si="18"/>
        <v>5220.32</v>
      </c>
      <c r="AB420">
        <f t="shared" si="19"/>
        <v>2.8461966539175411E-2</v>
      </c>
      <c r="AC420">
        <f t="shared" si="20"/>
        <v>0</v>
      </c>
      <c r="AD420">
        <v>2025</v>
      </c>
      <c r="AE420">
        <v>6</v>
      </c>
      <c r="AF420" t="s">
        <v>111</v>
      </c>
      <c r="AG420" t="s">
        <v>112</v>
      </c>
    </row>
    <row r="421" spans="1:33">
      <c r="A421" t="s">
        <v>572</v>
      </c>
      <c r="B421">
        <v>45631</v>
      </c>
      <c r="C421">
        <v>45638</v>
      </c>
      <c r="D421" t="s">
        <v>21</v>
      </c>
      <c r="E421">
        <v>300</v>
      </c>
      <c r="F421">
        <v>870.85</v>
      </c>
      <c r="G421">
        <v>0.44</v>
      </c>
      <c r="H421">
        <v>260105.48</v>
      </c>
      <c r="I421" t="s">
        <v>1726</v>
      </c>
      <c r="J421">
        <v>723.41</v>
      </c>
      <c r="K421">
        <v>217023</v>
      </c>
      <c r="L421">
        <v>3668.2</v>
      </c>
      <c r="M421">
        <v>504.22</v>
      </c>
      <c r="N421">
        <v>7095.58</v>
      </c>
      <c r="O421">
        <v>228291</v>
      </c>
      <c r="P421">
        <v>43082.48</v>
      </c>
      <c r="Q421">
        <v>31814.48</v>
      </c>
      <c r="R421" t="s">
        <v>65</v>
      </c>
      <c r="S421">
        <v>260105.48</v>
      </c>
      <c r="T421">
        <v>0</v>
      </c>
      <c r="U421" t="s">
        <v>66</v>
      </c>
      <c r="V421" t="s">
        <v>6</v>
      </c>
      <c r="W421" t="s">
        <v>74</v>
      </c>
      <c r="X421" t="s">
        <v>205</v>
      </c>
      <c r="Y421" t="s">
        <v>24</v>
      </c>
      <c r="Z421">
        <v>0.21</v>
      </c>
      <c r="AA421">
        <f t="shared" si="18"/>
        <v>31814.48</v>
      </c>
      <c r="AB421">
        <f t="shared" si="19"/>
        <v>0.12231376286266632</v>
      </c>
      <c r="AC421">
        <f t="shared" si="20"/>
        <v>0</v>
      </c>
      <c r="AD421">
        <v>2024</v>
      </c>
      <c r="AE421">
        <v>12</v>
      </c>
      <c r="AF421" t="s">
        <v>98</v>
      </c>
      <c r="AG421" t="s">
        <v>99</v>
      </c>
    </row>
    <row r="422" spans="1:33">
      <c r="A422" t="s">
        <v>573</v>
      </c>
      <c r="B422">
        <v>45748</v>
      </c>
      <c r="C422">
        <v>45749</v>
      </c>
      <c r="D422" t="s">
        <v>21</v>
      </c>
      <c r="E422">
        <v>100</v>
      </c>
      <c r="F422">
        <v>882.69</v>
      </c>
      <c r="G422">
        <v>0.62</v>
      </c>
      <c r="H422">
        <v>87721.73</v>
      </c>
      <c r="I422" t="s">
        <v>1729</v>
      </c>
      <c r="J422">
        <v>711.31</v>
      </c>
      <c r="K422">
        <v>71131</v>
      </c>
      <c r="L422">
        <v>600.97</v>
      </c>
      <c r="M422">
        <v>182.94</v>
      </c>
      <c r="N422">
        <v>10964.63</v>
      </c>
      <c r="O422">
        <v>82879.539999999994</v>
      </c>
      <c r="P422">
        <v>16590.73</v>
      </c>
      <c r="Q422">
        <v>4842.1899999999996</v>
      </c>
      <c r="R422" t="s">
        <v>134</v>
      </c>
      <c r="S422">
        <v>0</v>
      </c>
      <c r="T422">
        <v>87721.73</v>
      </c>
      <c r="U422" t="s">
        <v>66</v>
      </c>
      <c r="V422" t="s">
        <v>10</v>
      </c>
      <c r="W422" t="s">
        <v>141</v>
      </c>
      <c r="X422" t="s">
        <v>285</v>
      </c>
      <c r="Y422" t="s">
        <v>28</v>
      </c>
      <c r="Z422">
        <v>1.79</v>
      </c>
      <c r="AA422">
        <f t="shared" si="18"/>
        <v>4842.1899999999996</v>
      </c>
      <c r="AB422">
        <f t="shared" si="19"/>
        <v>5.5199435761241825E-2</v>
      </c>
      <c r="AC422">
        <f t="shared" si="20"/>
        <v>0</v>
      </c>
      <c r="AD422">
        <v>2025</v>
      </c>
      <c r="AE422">
        <v>4</v>
      </c>
      <c r="AF422" t="s">
        <v>154</v>
      </c>
      <c r="AG422" t="s">
        <v>155</v>
      </c>
    </row>
    <row r="423" spans="1:33">
      <c r="A423" t="s">
        <v>574</v>
      </c>
      <c r="B423">
        <v>45708</v>
      </c>
      <c r="C423">
        <v>45715</v>
      </c>
      <c r="D423" t="s">
        <v>25</v>
      </c>
      <c r="E423">
        <v>100</v>
      </c>
      <c r="F423">
        <v>898.72</v>
      </c>
      <c r="G423">
        <v>1.44</v>
      </c>
      <c r="H423">
        <v>88577.84</v>
      </c>
      <c r="I423" t="s">
        <v>1728</v>
      </c>
      <c r="J423">
        <v>768.78</v>
      </c>
      <c r="K423">
        <v>76878</v>
      </c>
      <c r="L423">
        <v>1329.46</v>
      </c>
      <c r="M423">
        <v>286.61</v>
      </c>
      <c r="N423">
        <v>2656.71</v>
      </c>
      <c r="O423">
        <v>81150.78</v>
      </c>
      <c r="P423">
        <v>11699.84</v>
      </c>
      <c r="Q423">
        <v>7427.06</v>
      </c>
      <c r="R423" t="s">
        <v>65</v>
      </c>
      <c r="S423">
        <v>88577.84</v>
      </c>
      <c r="T423">
        <v>0</v>
      </c>
      <c r="U423" t="s">
        <v>73</v>
      </c>
      <c r="V423" t="s">
        <v>6</v>
      </c>
      <c r="W423" t="s">
        <v>80</v>
      </c>
      <c r="X423" t="s">
        <v>208</v>
      </c>
      <c r="Y423" t="s">
        <v>26</v>
      </c>
      <c r="Z423">
        <v>0.49</v>
      </c>
      <c r="AA423">
        <f t="shared" si="18"/>
        <v>7427.06</v>
      </c>
      <c r="AB423">
        <f t="shared" si="19"/>
        <v>8.3847833724552331E-2</v>
      </c>
      <c r="AC423">
        <f t="shared" si="20"/>
        <v>0</v>
      </c>
      <c r="AD423">
        <v>2025</v>
      </c>
      <c r="AE423">
        <v>2</v>
      </c>
      <c r="AF423" t="s">
        <v>172</v>
      </c>
      <c r="AG423" t="s">
        <v>244</v>
      </c>
    </row>
    <row r="424" spans="1:33">
      <c r="A424" t="s">
        <v>575</v>
      </c>
      <c r="B424">
        <v>45735</v>
      </c>
      <c r="C424">
        <v>45739</v>
      </c>
      <c r="D424" t="s">
        <v>23</v>
      </c>
      <c r="E424">
        <v>750</v>
      </c>
      <c r="F424">
        <v>1230.3699999999999</v>
      </c>
      <c r="G424">
        <v>3.56</v>
      </c>
      <c r="H424">
        <v>889926.62</v>
      </c>
      <c r="I424" t="s">
        <v>1726</v>
      </c>
      <c r="J424">
        <v>1050.8399999999999</v>
      </c>
      <c r="K424">
        <v>788130</v>
      </c>
      <c r="L424">
        <v>10869.03</v>
      </c>
      <c r="M424">
        <v>1664.31</v>
      </c>
      <c r="N424">
        <v>4891.54</v>
      </c>
      <c r="O424">
        <v>805554.88</v>
      </c>
      <c r="P424">
        <v>101796.62</v>
      </c>
      <c r="Q424">
        <v>84371.74</v>
      </c>
      <c r="R424" t="s">
        <v>65</v>
      </c>
      <c r="S424">
        <v>889926.62</v>
      </c>
      <c r="T424">
        <v>0</v>
      </c>
      <c r="U424" t="s">
        <v>73</v>
      </c>
      <c r="V424" t="s">
        <v>6</v>
      </c>
      <c r="W424" t="s">
        <v>141</v>
      </c>
      <c r="X424" t="s">
        <v>164</v>
      </c>
      <c r="Y424" t="s">
        <v>24</v>
      </c>
      <c r="Z424">
        <v>2.33</v>
      </c>
      <c r="AA424">
        <f t="shared" si="18"/>
        <v>84371.74</v>
      </c>
      <c r="AB424">
        <f t="shared" si="19"/>
        <v>9.4807524692316777E-2</v>
      </c>
      <c r="AC424">
        <f t="shared" si="20"/>
        <v>0</v>
      </c>
      <c r="AD424">
        <v>2025</v>
      </c>
      <c r="AE424">
        <v>3</v>
      </c>
      <c r="AF424" t="s">
        <v>105</v>
      </c>
      <c r="AG424" t="s">
        <v>106</v>
      </c>
    </row>
    <row r="425" spans="1:33">
      <c r="A425" t="s">
        <v>576</v>
      </c>
      <c r="B425">
        <v>45833</v>
      </c>
      <c r="C425">
        <v>45840</v>
      </c>
      <c r="D425" t="s">
        <v>21</v>
      </c>
      <c r="E425">
        <v>500</v>
      </c>
      <c r="F425">
        <v>865.91</v>
      </c>
      <c r="G425">
        <v>4.34</v>
      </c>
      <c r="H425">
        <v>414164.75</v>
      </c>
      <c r="I425" t="s">
        <v>1728</v>
      </c>
      <c r="J425">
        <v>743.29</v>
      </c>
      <c r="K425">
        <v>371645</v>
      </c>
      <c r="L425">
        <v>4481.28</v>
      </c>
      <c r="M425">
        <v>802.38</v>
      </c>
      <c r="N425">
        <v>4727.6899999999996</v>
      </c>
      <c r="O425">
        <v>381656.35</v>
      </c>
      <c r="P425">
        <v>42519.75</v>
      </c>
      <c r="Q425">
        <v>32508.400000000001</v>
      </c>
      <c r="R425" t="s">
        <v>65</v>
      </c>
      <c r="S425">
        <v>414164.75</v>
      </c>
      <c r="T425">
        <v>0</v>
      </c>
      <c r="U425" t="s">
        <v>66</v>
      </c>
      <c r="V425" t="s">
        <v>10</v>
      </c>
      <c r="W425" t="s">
        <v>67</v>
      </c>
      <c r="X425" t="s">
        <v>239</v>
      </c>
      <c r="Y425" t="s">
        <v>28</v>
      </c>
      <c r="Z425">
        <v>2.04</v>
      </c>
      <c r="AA425">
        <f t="shared" si="18"/>
        <v>32508.400000000001</v>
      </c>
      <c r="AB425">
        <f t="shared" si="19"/>
        <v>7.84914698800417E-2</v>
      </c>
      <c r="AC425">
        <f t="shared" si="20"/>
        <v>0</v>
      </c>
      <c r="AD425">
        <v>2025</v>
      </c>
      <c r="AE425">
        <v>6</v>
      </c>
      <c r="AF425" t="s">
        <v>111</v>
      </c>
      <c r="AG425" t="s">
        <v>112</v>
      </c>
    </row>
    <row r="426" spans="1:33">
      <c r="A426" t="s">
        <v>577</v>
      </c>
      <c r="B426">
        <v>45639</v>
      </c>
      <c r="C426">
        <v>45640</v>
      </c>
      <c r="D426" t="s">
        <v>29</v>
      </c>
      <c r="E426">
        <v>750</v>
      </c>
      <c r="F426">
        <v>2955.93</v>
      </c>
      <c r="G426">
        <v>3.19</v>
      </c>
      <c r="H426">
        <v>2146226.87</v>
      </c>
      <c r="I426" t="s">
        <v>1726</v>
      </c>
      <c r="J426">
        <v>2225.06</v>
      </c>
      <c r="K426">
        <v>1668795</v>
      </c>
      <c r="L426">
        <v>10777.43</v>
      </c>
      <c r="M426">
        <v>1172.82</v>
      </c>
      <c r="N426">
        <v>9931.49</v>
      </c>
      <c r="O426">
        <v>1690676.74</v>
      </c>
      <c r="P426">
        <v>477431.87</v>
      </c>
      <c r="Q426">
        <v>455550.13</v>
      </c>
      <c r="R426" t="s">
        <v>65</v>
      </c>
      <c r="S426">
        <v>2146226.87</v>
      </c>
      <c r="T426">
        <v>0</v>
      </c>
      <c r="U426" t="s">
        <v>66</v>
      </c>
      <c r="V426" t="s">
        <v>8</v>
      </c>
      <c r="W426" t="s">
        <v>141</v>
      </c>
      <c r="X426" t="s">
        <v>101</v>
      </c>
      <c r="Y426" t="s">
        <v>22</v>
      </c>
      <c r="Z426">
        <v>2.11</v>
      </c>
      <c r="AA426">
        <f t="shared" si="18"/>
        <v>455550.13</v>
      </c>
      <c r="AB426">
        <f t="shared" si="19"/>
        <v>0.21225627931869104</v>
      </c>
      <c r="AC426">
        <f t="shared" si="20"/>
        <v>0</v>
      </c>
      <c r="AD426">
        <v>2024</v>
      </c>
      <c r="AE426">
        <v>12</v>
      </c>
      <c r="AF426" t="s">
        <v>98</v>
      </c>
      <c r="AG426" t="s">
        <v>99</v>
      </c>
    </row>
    <row r="427" spans="1:33">
      <c r="A427" t="s">
        <v>578</v>
      </c>
      <c r="B427">
        <v>45684</v>
      </c>
      <c r="D427" t="s">
        <v>21</v>
      </c>
      <c r="E427">
        <v>200</v>
      </c>
      <c r="F427">
        <v>912.32</v>
      </c>
      <c r="G427">
        <v>0.12</v>
      </c>
      <c r="H427">
        <v>182245.04</v>
      </c>
      <c r="I427" t="s">
        <v>1727</v>
      </c>
      <c r="J427">
        <v>712.65</v>
      </c>
      <c r="K427">
        <v>142530</v>
      </c>
      <c r="L427">
        <v>2487.88</v>
      </c>
      <c r="M427">
        <v>405.67</v>
      </c>
      <c r="N427">
        <v>10139.9</v>
      </c>
      <c r="O427">
        <v>155563.45000000001</v>
      </c>
      <c r="P427">
        <v>39715.040000000001</v>
      </c>
      <c r="Q427">
        <v>26681.59</v>
      </c>
      <c r="R427" t="s">
        <v>65</v>
      </c>
      <c r="S427">
        <v>182245.04</v>
      </c>
      <c r="T427">
        <v>0</v>
      </c>
      <c r="U427" t="s">
        <v>91</v>
      </c>
      <c r="V427" t="s">
        <v>6</v>
      </c>
      <c r="W427" t="s">
        <v>92</v>
      </c>
      <c r="X427" t="s">
        <v>147</v>
      </c>
      <c r="Y427" t="s">
        <v>28</v>
      </c>
      <c r="Z427">
        <v>0.48</v>
      </c>
      <c r="AA427">
        <f t="shared" si="18"/>
        <v>26681.59</v>
      </c>
      <c r="AB427">
        <f t="shared" si="19"/>
        <v>0.14640502699003494</v>
      </c>
      <c r="AC427">
        <f t="shared" si="20"/>
        <v>0</v>
      </c>
      <c r="AD427">
        <v>2025</v>
      </c>
      <c r="AE427">
        <v>1</v>
      </c>
      <c r="AF427" t="s">
        <v>102</v>
      </c>
      <c r="AG427" t="s">
        <v>118</v>
      </c>
    </row>
    <row r="428" spans="1:33">
      <c r="A428" t="s">
        <v>579</v>
      </c>
      <c r="B428">
        <v>45688</v>
      </c>
      <c r="C428">
        <v>45692</v>
      </c>
      <c r="D428" t="s">
        <v>21</v>
      </c>
      <c r="E428">
        <v>50</v>
      </c>
      <c r="F428">
        <v>909.13</v>
      </c>
      <c r="G428">
        <v>1.93</v>
      </c>
      <c r="H428">
        <v>44579.19</v>
      </c>
      <c r="I428" t="s">
        <v>1726</v>
      </c>
      <c r="J428">
        <v>683.92</v>
      </c>
      <c r="K428">
        <v>34196</v>
      </c>
      <c r="L428">
        <v>606.73</v>
      </c>
      <c r="M428">
        <v>213.27</v>
      </c>
      <c r="N428">
        <v>10222.73</v>
      </c>
      <c r="O428">
        <v>45238.73</v>
      </c>
      <c r="P428">
        <v>10383.19</v>
      </c>
      <c r="Q428">
        <v>-659.54</v>
      </c>
      <c r="R428" t="s">
        <v>65</v>
      </c>
      <c r="S428">
        <v>44579.19</v>
      </c>
      <c r="T428">
        <v>0</v>
      </c>
      <c r="U428" t="s">
        <v>66</v>
      </c>
      <c r="V428" t="s">
        <v>6</v>
      </c>
      <c r="W428" t="s">
        <v>74</v>
      </c>
      <c r="X428" t="s">
        <v>162</v>
      </c>
      <c r="Y428" t="s">
        <v>26</v>
      </c>
      <c r="Z428">
        <v>0.46</v>
      </c>
      <c r="AA428">
        <f t="shared" si="18"/>
        <v>-659.54</v>
      </c>
      <c r="AB428">
        <f t="shared" si="19"/>
        <v>-1.4794795508846166E-2</v>
      </c>
      <c r="AC428">
        <f t="shared" si="20"/>
        <v>0</v>
      </c>
      <c r="AD428">
        <v>2025</v>
      </c>
      <c r="AE428">
        <v>1</v>
      </c>
      <c r="AF428" t="s">
        <v>102</v>
      </c>
      <c r="AG428" t="s">
        <v>118</v>
      </c>
    </row>
    <row r="429" spans="1:33">
      <c r="A429" t="s">
        <v>580</v>
      </c>
      <c r="B429">
        <v>45659</v>
      </c>
      <c r="C429">
        <v>45670</v>
      </c>
      <c r="D429" t="s">
        <v>21</v>
      </c>
      <c r="E429">
        <v>1000</v>
      </c>
      <c r="F429">
        <v>876.79</v>
      </c>
      <c r="G429">
        <v>0.43</v>
      </c>
      <c r="H429">
        <v>873019.8</v>
      </c>
      <c r="I429" t="s">
        <v>1727</v>
      </c>
      <c r="J429">
        <v>691.49</v>
      </c>
      <c r="K429">
        <v>691490</v>
      </c>
      <c r="L429">
        <v>20389.88</v>
      </c>
      <c r="M429">
        <v>3258.51</v>
      </c>
      <c r="N429">
        <v>11555.2</v>
      </c>
      <c r="O429">
        <v>726693.59</v>
      </c>
      <c r="P429">
        <v>181529.8</v>
      </c>
      <c r="Q429">
        <v>146326.21</v>
      </c>
      <c r="R429" t="s">
        <v>65</v>
      </c>
      <c r="S429">
        <v>873019.8</v>
      </c>
      <c r="T429">
        <v>0</v>
      </c>
      <c r="U429" t="s">
        <v>66</v>
      </c>
      <c r="V429" t="s">
        <v>14</v>
      </c>
      <c r="W429" t="s">
        <v>74</v>
      </c>
      <c r="X429" t="s">
        <v>375</v>
      </c>
      <c r="Y429" t="s">
        <v>30</v>
      </c>
      <c r="Z429">
        <v>2.0299999999999998</v>
      </c>
      <c r="AA429">
        <f t="shared" si="18"/>
        <v>146326.21</v>
      </c>
      <c r="AB429">
        <f t="shared" si="19"/>
        <v>0.16760926842667254</v>
      </c>
      <c r="AC429">
        <f t="shared" si="20"/>
        <v>0</v>
      </c>
      <c r="AD429">
        <v>2025</v>
      </c>
      <c r="AE429">
        <v>1</v>
      </c>
      <c r="AF429" t="s">
        <v>102</v>
      </c>
      <c r="AG429" t="s">
        <v>118</v>
      </c>
    </row>
    <row r="430" spans="1:33">
      <c r="A430" t="s">
        <v>581</v>
      </c>
      <c r="B430">
        <v>45412</v>
      </c>
      <c r="C430">
        <v>45420</v>
      </c>
      <c r="D430" t="s">
        <v>23</v>
      </c>
      <c r="E430">
        <v>150</v>
      </c>
      <c r="F430">
        <v>1337.23</v>
      </c>
      <c r="G430">
        <v>0.28000000000000003</v>
      </c>
      <c r="H430">
        <v>200022.86</v>
      </c>
      <c r="I430" t="s">
        <v>1728</v>
      </c>
      <c r="J430">
        <v>1071.1099999999999</v>
      </c>
      <c r="K430">
        <v>160666.5</v>
      </c>
      <c r="L430">
        <v>3055.75</v>
      </c>
      <c r="M430">
        <v>252.68</v>
      </c>
      <c r="N430">
        <v>6525.23</v>
      </c>
      <c r="O430">
        <v>170500.16</v>
      </c>
      <c r="P430">
        <v>39356.36</v>
      </c>
      <c r="Q430">
        <v>29522.7</v>
      </c>
      <c r="R430" t="s">
        <v>65</v>
      </c>
      <c r="S430">
        <v>200022.86</v>
      </c>
      <c r="T430">
        <v>0</v>
      </c>
      <c r="U430" t="s">
        <v>66</v>
      </c>
      <c r="V430" t="s">
        <v>14</v>
      </c>
      <c r="W430" t="s">
        <v>74</v>
      </c>
      <c r="X430" t="s">
        <v>125</v>
      </c>
      <c r="Y430" t="s">
        <v>24</v>
      </c>
      <c r="Z430">
        <v>0.38</v>
      </c>
      <c r="AA430">
        <f t="shared" si="18"/>
        <v>29522.7</v>
      </c>
      <c r="AB430">
        <f t="shared" si="19"/>
        <v>0.14759662970522472</v>
      </c>
      <c r="AC430">
        <f t="shared" si="20"/>
        <v>0</v>
      </c>
      <c r="AD430">
        <v>2024</v>
      </c>
      <c r="AE430">
        <v>4</v>
      </c>
      <c r="AF430" t="s">
        <v>154</v>
      </c>
      <c r="AG430" t="s">
        <v>157</v>
      </c>
    </row>
    <row r="431" spans="1:33">
      <c r="A431" t="s">
        <v>582</v>
      </c>
      <c r="B431">
        <v>45533</v>
      </c>
      <c r="D431" t="s">
        <v>25</v>
      </c>
      <c r="E431">
        <v>300</v>
      </c>
      <c r="F431">
        <v>1029.1600000000001</v>
      </c>
      <c r="G431">
        <v>0.97</v>
      </c>
      <c r="H431">
        <v>305753.14</v>
      </c>
      <c r="I431" t="s">
        <v>1726</v>
      </c>
      <c r="J431">
        <v>798.92</v>
      </c>
      <c r="K431">
        <v>239676</v>
      </c>
      <c r="L431">
        <v>2895.3</v>
      </c>
      <c r="M431">
        <v>1245.31</v>
      </c>
      <c r="N431">
        <v>2135.04</v>
      </c>
      <c r="O431">
        <v>245951.65</v>
      </c>
      <c r="P431">
        <v>66077.14</v>
      </c>
      <c r="Q431">
        <v>59801.49</v>
      </c>
      <c r="R431" t="s">
        <v>65</v>
      </c>
      <c r="S431">
        <v>305753.14</v>
      </c>
      <c r="T431">
        <v>0</v>
      </c>
      <c r="U431" t="s">
        <v>91</v>
      </c>
      <c r="V431" t="s">
        <v>6</v>
      </c>
      <c r="W431" t="s">
        <v>74</v>
      </c>
      <c r="X431" t="s">
        <v>150</v>
      </c>
      <c r="Y431" t="s">
        <v>30</v>
      </c>
      <c r="Z431">
        <v>1.92</v>
      </c>
      <c r="AA431">
        <f t="shared" si="18"/>
        <v>59801.49</v>
      </c>
      <c r="AB431">
        <f t="shared" si="19"/>
        <v>0.19558749257652758</v>
      </c>
      <c r="AC431">
        <f t="shared" si="20"/>
        <v>0</v>
      </c>
      <c r="AD431">
        <v>2024</v>
      </c>
      <c r="AE431">
        <v>8</v>
      </c>
      <c r="AF431" t="s">
        <v>82</v>
      </c>
      <c r="AG431" t="s">
        <v>83</v>
      </c>
    </row>
    <row r="432" spans="1:33">
      <c r="A432" t="s">
        <v>583</v>
      </c>
      <c r="B432">
        <v>45885</v>
      </c>
      <c r="C432">
        <v>45890</v>
      </c>
      <c r="D432" t="s">
        <v>21</v>
      </c>
      <c r="E432">
        <v>150</v>
      </c>
      <c r="F432">
        <v>923.05</v>
      </c>
      <c r="G432">
        <v>2.06</v>
      </c>
      <c r="H432">
        <v>135605.28</v>
      </c>
      <c r="I432" t="s">
        <v>1726</v>
      </c>
      <c r="J432">
        <v>680.75</v>
      </c>
      <c r="K432">
        <v>102112.5</v>
      </c>
      <c r="L432">
        <v>1071.56</v>
      </c>
      <c r="M432">
        <v>681.1</v>
      </c>
      <c r="N432">
        <v>10750.09</v>
      </c>
      <c r="O432">
        <v>114615.25</v>
      </c>
      <c r="P432">
        <v>33492.78</v>
      </c>
      <c r="Q432">
        <v>20990.03</v>
      </c>
      <c r="R432" t="s">
        <v>65</v>
      </c>
      <c r="S432">
        <v>135605.28</v>
      </c>
      <c r="T432">
        <v>0</v>
      </c>
      <c r="U432" t="s">
        <v>66</v>
      </c>
      <c r="V432" t="s">
        <v>16</v>
      </c>
      <c r="W432" t="s">
        <v>67</v>
      </c>
      <c r="X432" t="s">
        <v>108</v>
      </c>
      <c r="Y432" t="s">
        <v>22</v>
      </c>
      <c r="Z432">
        <v>2.13</v>
      </c>
      <c r="AA432">
        <f t="shared" si="18"/>
        <v>20990.03</v>
      </c>
      <c r="AB432">
        <f t="shared" si="19"/>
        <v>0.15478770443156786</v>
      </c>
      <c r="AC432">
        <f t="shared" si="20"/>
        <v>0</v>
      </c>
      <c r="AD432">
        <v>2025</v>
      </c>
      <c r="AE432">
        <v>8</v>
      </c>
      <c r="AF432" t="s">
        <v>82</v>
      </c>
      <c r="AG432" t="s">
        <v>87</v>
      </c>
    </row>
    <row r="433" spans="1:33">
      <c r="A433" t="s">
        <v>584</v>
      </c>
      <c r="B433">
        <v>45302</v>
      </c>
      <c r="D433" t="s">
        <v>27</v>
      </c>
      <c r="E433">
        <v>200</v>
      </c>
      <c r="F433">
        <v>761.05</v>
      </c>
      <c r="G433">
        <v>1.1000000000000001</v>
      </c>
      <c r="H433">
        <v>0</v>
      </c>
      <c r="I433" t="s">
        <v>1726</v>
      </c>
      <c r="J433">
        <v>548.22</v>
      </c>
      <c r="K433">
        <v>0</v>
      </c>
      <c r="L433">
        <v>0</v>
      </c>
      <c r="M433">
        <v>0</v>
      </c>
      <c r="N433">
        <v>0</v>
      </c>
      <c r="O433">
        <v>0</v>
      </c>
      <c r="P433">
        <v>0</v>
      </c>
      <c r="Q433">
        <v>0</v>
      </c>
      <c r="R433" t="s">
        <v>65</v>
      </c>
      <c r="S433">
        <v>0</v>
      </c>
      <c r="T433">
        <v>0</v>
      </c>
      <c r="U433" t="s">
        <v>117</v>
      </c>
      <c r="V433" t="s">
        <v>12</v>
      </c>
      <c r="W433" t="s">
        <v>74</v>
      </c>
      <c r="X433" t="s">
        <v>208</v>
      </c>
      <c r="Y433" t="s">
        <v>26</v>
      </c>
      <c r="Z433">
        <v>2.27</v>
      </c>
      <c r="AA433">
        <f t="shared" si="18"/>
        <v>0</v>
      </c>
      <c r="AB433" t="e">
        <f t="shared" si="19"/>
        <v>#DIV/0!</v>
      </c>
      <c r="AC433">
        <f t="shared" si="20"/>
        <v>0</v>
      </c>
      <c r="AD433">
        <v>2024</v>
      </c>
      <c r="AE433">
        <v>1</v>
      </c>
      <c r="AF433" t="s">
        <v>102</v>
      </c>
      <c r="AG433" t="s">
        <v>103</v>
      </c>
    </row>
    <row r="434" spans="1:33">
      <c r="A434" t="s">
        <v>585</v>
      </c>
      <c r="B434">
        <v>45787</v>
      </c>
      <c r="C434">
        <v>45797</v>
      </c>
      <c r="D434" t="s">
        <v>25</v>
      </c>
      <c r="E434">
        <v>500</v>
      </c>
      <c r="F434">
        <v>932.73</v>
      </c>
      <c r="G434">
        <v>1.33</v>
      </c>
      <c r="H434">
        <v>460162.35</v>
      </c>
      <c r="I434" t="s">
        <v>1728</v>
      </c>
      <c r="J434">
        <v>764.65</v>
      </c>
      <c r="K434">
        <v>382325</v>
      </c>
      <c r="L434">
        <v>5562.19</v>
      </c>
      <c r="M434">
        <v>987</v>
      </c>
      <c r="N434">
        <v>3721.2</v>
      </c>
      <c r="O434">
        <v>392595.39</v>
      </c>
      <c r="P434">
        <v>77837.350000000006</v>
      </c>
      <c r="Q434">
        <v>67566.960000000006</v>
      </c>
      <c r="R434" t="s">
        <v>65</v>
      </c>
      <c r="S434">
        <v>460162.35</v>
      </c>
      <c r="T434">
        <v>0</v>
      </c>
      <c r="U434" t="s">
        <v>66</v>
      </c>
      <c r="V434" t="s">
        <v>6</v>
      </c>
      <c r="W434" t="s">
        <v>74</v>
      </c>
      <c r="X434" t="s">
        <v>159</v>
      </c>
      <c r="Y434" t="s">
        <v>30</v>
      </c>
      <c r="Z434">
        <v>2.38</v>
      </c>
      <c r="AA434">
        <f t="shared" si="18"/>
        <v>67566.960000000006</v>
      </c>
      <c r="AB434">
        <f t="shared" si="19"/>
        <v>0.14683287322398281</v>
      </c>
      <c r="AC434">
        <f t="shared" si="20"/>
        <v>0</v>
      </c>
      <c r="AD434">
        <v>2025</v>
      </c>
      <c r="AE434">
        <v>5</v>
      </c>
      <c r="AF434" t="s">
        <v>76</v>
      </c>
      <c r="AG434" t="s">
        <v>94</v>
      </c>
    </row>
    <row r="435" spans="1:33">
      <c r="A435" t="s">
        <v>586</v>
      </c>
      <c r="B435">
        <v>45567</v>
      </c>
      <c r="C435">
        <v>45571</v>
      </c>
      <c r="D435" t="s">
        <v>23</v>
      </c>
      <c r="E435">
        <v>100</v>
      </c>
      <c r="F435">
        <v>1323.69</v>
      </c>
      <c r="G435">
        <v>1.96</v>
      </c>
      <c r="H435">
        <v>129774.57</v>
      </c>
      <c r="I435" t="s">
        <v>1729</v>
      </c>
      <c r="J435">
        <v>1089.46</v>
      </c>
      <c r="K435">
        <v>108946</v>
      </c>
      <c r="L435">
        <v>2237.42</v>
      </c>
      <c r="M435">
        <v>174.19</v>
      </c>
      <c r="N435">
        <v>231.64</v>
      </c>
      <c r="O435">
        <v>111589.25</v>
      </c>
      <c r="P435">
        <v>20828.57</v>
      </c>
      <c r="Q435">
        <v>18185.32</v>
      </c>
      <c r="R435" t="s">
        <v>65</v>
      </c>
      <c r="S435">
        <v>129774.57</v>
      </c>
      <c r="T435">
        <v>0</v>
      </c>
      <c r="U435" t="s">
        <v>73</v>
      </c>
      <c r="V435" t="s">
        <v>14</v>
      </c>
      <c r="W435" t="s">
        <v>92</v>
      </c>
      <c r="X435" t="s">
        <v>127</v>
      </c>
      <c r="Y435" t="s">
        <v>22</v>
      </c>
      <c r="Z435">
        <v>0.28999999999999998</v>
      </c>
      <c r="AA435">
        <f t="shared" si="18"/>
        <v>18185.32</v>
      </c>
      <c r="AB435">
        <f t="shared" si="19"/>
        <v>0.14013007324932766</v>
      </c>
      <c r="AC435">
        <f t="shared" si="20"/>
        <v>0</v>
      </c>
      <c r="AD435">
        <v>2024</v>
      </c>
      <c r="AE435">
        <v>10</v>
      </c>
      <c r="AF435" t="s">
        <v>138</v>
      </c>
      <c r="AG435" t="s">
        <v>139</v>
      </c>
    </row>
    <row r="436" spans="1:33">
      <c r="A436" t="s">
        <v>587</v>
      </c>
      <c r="B436">
        <v>45871</v>
      </c>
      <c r="D436" t="s">
        <v>23</v>
      </c>
      <c r="E436">
        <v>300</v>
      </c>
      <c r="F436">
        <v>1284.31</v>
      </c>
      <c r="G436">
        <v>1</v>
      </c>
      <c r="H436">
        <v>381440.07</v>
      </c>
      <c r="I436" t="s">
        <v>1726</v>
      </c>
      <c r="J436">
        <v>981.37</v>
      </c>
      <c r="K436">
        <v>294411</v>
      </c>
      <c r="L436">
        <v>6432.68</v>
      </c>
      <c r="M436">
        <v>482.11</v>
      </c>
      <c r="N436">
        <v>6269.56</v>
      </c>
      <c r="O436">
        <v>307595.34999999998</v>
      </c>
      <c r="P436">
        <v>87029.07</v>
      </c>
      <c r="Q436">
        <v>73844.72</v>
      </c>
      <c r="R436" t="s">
        <v>65</v>
      </c>
      <c r="S436">
        <v>381440.07</v>
      </c>
      <c r="T436">
        <v>0</v>
      </c>
      <c r="U436" t="s">
        <v>91</v>
      </c>
      <c r="V436" t="s">
        <v>6</v>
      </c>
      <c r="W436" t="s">
        <v>141</v>
      </c>
      <c r="X436" t="s">
        <v>108</v>
      </c>
      <c r="Y436" t="s">
        <v>22</v>
      </c>
      <c r="Z436">
        <v>0.71</v>
      </c>
      <c r="AA436">
        <f t="shared" si="18"/>
        <v>73844.72</v>
      </c>
      <c r="AB436">
        <f t="shared" si="19"/>
        <v>0.19359455339865053</v>
      </c>
      <c r="AC436">
        <f t="shared" si="20"/>
        <v>0</v>
      </c>
      <c r="AD436">
        <v>2025</v>
      </c>
      <c r="AE436">
        <v>8</v>
      </c>
      <c r="AF436" t="s">
        <v>82</v>
      </c>
      <c r="AG436" t="s">
        <v>87</v>
      </c>
    </row>
    <row r="437" spans="1:33">
      <c r="A437" t="s">
        <v>588</v>
      </c>
      <c r="B437">
        <v>45415</v>
      </c>
      <c r="C437">
        <v>45428</v>
      </c>
      <c r="D437" t="s">
        <v>29</v>
      </c>
      <c r="E437">
        <v>50</v>
      </c>
      <c r="F437">
        <v>2910.83</v>
      </c>
      <c r="G437">
        <v>2.41</v>
      </c>
      <c r="H437">
        <v>142033.95000000001</v>
      </c>
      <c r="I437" t="s">
        <v>1728</v>
      </c>
      <c r="J437">
        <v>2182.4499999999998</v>
      </c>
      <c r="K437">
        <v>109122.5</v>
      </c>
      <c r="L437">
        <v>424.18</v>
      </c>
      <c r="M437">
        <v>110.85</v>
      </c>
      <c r="N437">
        <v>740.48</v>
      </c>
      <c r="O437">
        <v>110398.01</v>
      </c>
      <c r="P437">
        <v>32911.449999999997</v>
      </c>
      <c r="Q437">
        <v>31635.94</v>
      </c>
      <c r="R437" t="s">
        <v>65</v>
      </c>
      <c r="S437">
        <v>142033.95000000001</v>
      </c>
      <c r="T437">
        <v>0</v>
      </c>
      <c r="U437" t="s">
        <v>66</v>
      </c>
      <c r="V437" t="s">
        <v>16</v>
      </c>
      <c r="W437" t="s">
        <v>67</v>
      </c>
      <c r="X437" t="s">
        <v>81</v>
      </c>
      <c r="Y437" t="s">
        <v>24</v>
      </c>
      <c r="Z437">
        <v>0.77</v>
      </c>
      <c r="AA437">
        <f t="shared" si="18"/>
        <v>31635.94</v>
      </c>
      <c r="AB437">
        <f t="shared" si="19"/>
        <v>0.2227350573577655</v>
      </c>
      <c r="AC437">
        <f t="shared" si="20"/>
        <v>0</v>
      </c>
      <c r="AD437">
        <v>2024</v>
      </c>
      <c r="AE437">
        <v>5</v>
      </c>
      <c r="AF437" t="s">
        <v>76</v>
      </c>
      <c r="AG437" t="s">
        <v>77</v>
      </c>
    </row>
    <row r="438" spans="1:33">
      <c r="A438" t="s">
        <v>589</v>
      </c>
      <c r="B438">
        <v>45913</v>
      </c>
      <c r="C438">
        <v>45926</v>
      </c>
      <c r="D438" t="s">
        <v>25</v>
      </c>
      <c r="E438">
        <v>100</v>
      </c>
      <c r="F438">
        <v>1036.49</v>
      </c>
      <c r="G438">
        <v>2.2400000000000002</v>
      </c>
      <c r="H438">
        <v>101327.26</v>
      </c>
      <c r="I438" t="s">
        <v>1727</v>
      </c>
      <c r="J438">
        <v>766.3</v>
      </c>
      <c r="K438">
        <v>76630</v>
      </c>
      <c r="L438">
        <v>555.21</v>
      </c>
      <c r="M438">
        <v>198.4</v>
      </c>
      <c r="N438">
        <v>655.94</v>
      </c>
      <c r="O438">
        <v>78039.55</v>
      </c>
      <c r="P438">
        <v>24697.26</v>
      </c>
      <c r="Q438">
        <v>23287.71</v>
      </c>
      <c r="R438" t="s">
        <v>65</v>
      </c>
      <c r="S438">
        <v>101327.26</v>
      </c>
      <c r="T438">
        <v>0</v>
      </c>
      <c r="U438" t="s">
        <v>66</v>
      </c>
      <c r="V438" t="s">
        <v>16</v>
      </c>
      <c r="W438" t="s">
        <v>74</v>
      </c>
      <c r="X438" t="s">
        <v>193</v>
      </c>
      <c r="Y438" t="s">
        <v>30</v>
      </c>
      <c r="Z438">
        <v>2.12</v>
      </c>
      <c r="AA438">
        <f t="shared" si="18"/>
        <v>23287.71</v>
      </c>
      <c r="AB438">
        <f t="shared" si="19"/>
        <v>0.22982670211352799</v>
      </c>
      <c r="AC438">
        <f t="shared" si="20"/>
        <v>0</v>
      </c>
      <c r="AD438">
        <v>2025</v>
      </c>
      <c r="AE438">
        <v>9</v>
      </c>
      <c r="AF438" t="s">
        <v>131</v>
      </c>
      <c r="AG438" t="s">
        <v>132</v>
      </c>
    </row>
    <row r="439" spans="1:33">
      <c r="A439" t="s">
        <v>590</v>
      </c>
      <c r="B439">
        <v>45485</v>
      </c>
      <c r="C439">
        <v>45496</v>
      </c>
      <c r="D439" t="s">
        <v>21</v>
      </c>
      <c r="E439">
        <v>200</v>
      </c>
      <c r="F439">
        <v>792.7</v>
      </c>
      <c r="G439">
        <v>0.93</v>
      </c>
      <c r="H439">
        <v>157065.57999999999</v>
      </c>
      <c r="I439" t="s">
        <v>1726</v>
      </c>
      <c r="J439">
        <v>659.67</v>
      </c>
      <c r="K439">
        <v>131934</v>
      </c>
      <c r="L439">
        <v>1557.89</v>
      </c>
      <c r="M439">
        <v>1186.0999999999999</v>
      </c>
      <c r="N439">
        <v>9133.0300000000007</v>
      </c>
      <c r="O439">
        <v>143811.01999999999</v>
      </c>
      <c r="P439">
        <v>25131.58</v>
      </c>
      <c r="Q439">
        <v>13254.56</v>
      </c>
      <c r="R439" t="s">
        <v>65</v>
      </c>
      <c r="S439">
        <v>157065.57999999999</v>
      </c>
      <c r="T439">
        <v>0</v>
      </c>
      <c r="U439" t="s">
        <v>66</v>
      </c>
      <c r="V439" t="s">
        <v>6</v>
      </c>
      <c r="W439" t="s">
        <v>67</v>
      </c>
      <c r="X439" t="s">
        <v>108</v>
      </c>
      <c r="Y439" t="s">
        <v>22</v>
      </c>
      <c r="Z439">
        <v>0.74</v>
      </c>
      <c r="AA439">
        <f t="shared" si="18"/>
        <v>13254.56</v>
      </c>
      <c r="AB439">
        <f t="shared" si="19"/>
        <v>8.4388699293632644E-2</v>
      </c>
      <c r="AC439">
        <f t="shared" si="20"/>
        <v>0</v>
      </c>
      <c r="AD439">
        <v>2024</v>
      </c>
      <c r="AE439">
        <v>7</v>
      </c>
      <c r="AF439" t="s">
        <v>69</v>
      </c>
      <c r="AG439" t="s">
        <v>70</v>
      </c>
    </row>
    <row r="440" spans="1:33">
      <c r="A440" t="s">
        <v>591</v>
      </c>
      <c r="B440">
        <v>45611</v>
      </c>
      <c r="C440">
        <v>45625</v>
      </c>
      <c r="D440" t="s">
        <v>21</v>
      </c>
      <c r="E440">
        <v>250</v>
      </c>
      <c r="F440">
        <v>879.68</v>
      </c>
      <c r="G440">
        <v>1.02</v>
      </c>
      <c r="H440">
        <v>217676.82</v>
      </c>
      <c r="I440" t="s">
        <v>1728</v>
      </c>
      <c r="J440">
        <v>698.64</v>
      </c>
      <c r="K440">
        <v>174660</v>
      </c>
      <c r="L440">
        <v>5575.61</v>
      </c>
      <c r="M440">
        <v>1000.2</v>
      </c>
      <c r="N440">
        <v>1232.25</v>
      </c>
      <c r="O440">
        <v>182468.06</v>
      </c>
      <c r="P440">
        <v>43016.82</v>
      </c>
      <c r="Q440">
        <v>35208.76</v>
      </c>
      <c r="R440" t="s">
        <v>65</v>
      </c>
      <c r="S440">
        <v>217676.82</v>
      </c>
      <c r="T440">
        <v>0</v>
      </c>
      <c r="U440" t="s">
        <v>73</v>
      </c>
      <c r="V440" t="s">
        <v>8</v>
      </c>
      <c r="W440" t="s">
        <v>67</v>
      </c>
      <c r="X440" t="s">
        <v>142</v>
      </c>
      <c r="Y440" t="s">
        <v>28</v>
      </c>
      <c r="Z440">
        <v>0.45</v>
      </c>
      <c r="AA440">
        <f t="shared" si="18"/>
        <v>35208.76</v>
      </c>
      <c r="AB440">
        <f t="shared" si="19"/>
        <v>0.16174786088844922</v>
      </c>
      <c r="AC440">
        <f t="shared" si="20"/>
        <v>0</v>
      </c>
      <c r="AD440">
        <v>2024</v>
      </c>
      <c r="AE440">
        <v>11</v>
      </c>
      <c r="AF440" t="s">
        <v>128</v>
      </c>
      <c r="AG440" t="s">
        <v>129</v>
      </c>
    </row>
    <row r="441" spans="1:33">
      <c r="A441" t="s">
        <v>592</v>
      </c>
      <c r="B441">
        <v>45912</v>
      </c>
      <c r="C441">
        <v>45917</v>
      </c>
      <c r="D441" t="s">
        <v>25</v>
      </c>
      <c r="E441">
        <v>500</v>
      </c>
      <c r="F441">
        <v>947.09</v>
      </c>
      <c r="G441">
        <v>0.62</v>
      </c>
      <c r="H441">
        <v>470609.02</v>
      </c>
      <c r="I441" t="s">
        <v>1727</v>
      </c>
      <c r="J441">
        <v>771.27</v>
      </c>
      <c r="K441">
        <v>385635</v>
      </c>
      <c r="L441">
        <v>4001.91</v>
      </c>
      <c r="M441">
        <v>2163.0300000000002</v>
      </c>
      <c r="N441">
        <v>4222.5</v>
      </c>
      <c r="O441">
        <v>396022.44</v>
      </c>
      <c r="P441">
        <v>84974.02</v>
      </c>
      <c r="Q441">
        <v>74586.58</v>
      </c>
      <c r="R441" t="s">
        <v>85</v>
      </c>
      <c r="S441">
        <v>139435.78</v>
      </c>
      <c r="T441">
        <v>331173.24</v>
      </c>
      <c r="U441" t="s">
        <v>66</v>
      </c>
      <c r="V441" t="s">
        <v>14</v>
      </c>
      <c r="W441" t="s">
        <v>74</v>
      </c>
      <c r="X441" t="s">
        <v>115</v>
      </c>
      <c r="Y441" t="s">
        <v>22</v>
      </c>
      <c r="Z441">
        <v>1.39</v>
      </c>
      <c r="AA441">
        <f t="shared" si="18"/>
        <v>74586.58</v>
      </c>
      <c r="AB441">
        <f t="shared" si="19"/>
        <v>0.15848948241578539</v>
      </c>
      <c r="AC441">
        <f t="shared" si="20"/>
        <v>0</v>
      </c>
      <c r="AD441">
        <v>2025</v>
      </c>
      <c r="AE441">
        <v>9</v>
      </c>
      <c r="AF441" t="s">
        <v>131</v>
      </c>
      <c r="AG441" t="s">
        <v>132</v>
      </c>
    </row>
    <row r="442" spans="1:33">
      <c r="A442" t="s">
        <v>593</v>
      </c>
      <c r="B442">
        <v>45862</v>
      </c>
      <c r="C442">
        <v>45873</v>
      </c>
      <c r="D442" t="s">
        <v>21</v>
      </c>
      <c r="E442">
        <v>1000</v>
      </c>
      <c r="F442">
        <v>901.61</v>
      </c>
      <c r="G442">
        <v>4.54</v>
      </c>
      <c r="H442">
        <v>860676.91</v>
      </c>
      <c r="I442" t="s">
        <v>1727</v>
      </c>
      <c r="J442">
        <v>750.45</v>
      </c>
      <c r="K442">
        <v>750450</v>
      </c>
      <c r="L442">
        <v>19617.05</v>
      </c>
      <c r="M442">
        <v>2828.75</v>
      </c>
      <c r="N442">
        <v>6226.67</v>
      </c>
      <c r="O442">
        <v>779122.47</v>
      </c>
      <c r="P442">
        <v>110226.91</v>
      </c>
      <c r="Q442">
        <v>81554.44</v>
      </c>
      <c r="R442" t="s">
        <v>85</v>
      </c>
      <c r="S442">
        <v>533099.5</v>
      </c>
      <c r="T442">
        <v>327577.40999999997</v>
      </c>
      <c r="U442" t="s">
        <v>66</v>
      </c>
      <c r="V442" t="s">
        <v>8</v>
      </c>
      <c r="W442" t="s">
        <v>92</v>
      </c>
      <c r="X442" t="s">
        <v>285</v>
      </c>
      <c r="Y442" t="s">
        <v>28</v>
      </c>
      <c r="Z442">
        <v>0.59</v>
      </c>
      <c r="AA442">
        <f t="shared" si="18"/>
        <v>81554.44</v>
      </c>
      <c r="AB442">
        <f t="shared" si="19"/>
        <v>9.4756161170862593E-2</v>
      </c>
      <c r="AC442">
        <f t="shared" si="20"/>
        <v>0</v>
      </c>
      <c r="AD442">
        <v>2025</v>
      </c>
      <c r="AE442">
        <v>7</v>
      </c>
      <c r="AF442" t="s">
        <v>69</v>
      </c>
      <c r="AG442" t="s">
        <v>151</v>
      </c>
    </row>
    <row r="443" spans="1:33">
      <c r="A443" t="s">
        <v>594</v>
      </c>
      <c r="B443">
        <v>45663</v>
      </c>
      <c r="D443" t="s">
        <v>21</v>
      </c>
      <c r="E443">
        <v>100</v>
      </c>
      <c r="F443">
        <v>934.32</v>
      </c>
      <c r="G443">
        <v>1.33</v>
      </c>
      <c r="H443">
        <v>92189.35</v>
      </c>
      <c r="I443" t="s">
        <v>1726</v>
      </c>
      <c r="J443">
        <v>660.02</v>
      </c>
      <c r="K443">
        <v>66002</v>
      </c>
      <c r="L443">
        <v>867.4</v>
      </c>
      <c r="M443">
        <v>301.07</v>
      </c>
      <c r="N443">
        <v>2362.12</v>
      </c>
      <c r="O443">
        <v>69532.59</v>
      </c>
      <c r="P443">
        <v>26187.35</v>
      </c>
      <c r="Q443">
        <v>22656.76</v>
      </c>
      <c r="R443" t="s">
        <v>65</v>
      </c>
      <c r="S443">
        <v>92189.35</v>
      </c>
      <c r="T443">
        <v>0</v>
      </c>
      <c r="U443" t="s">
        <v>91</v>
      </c>
      <c r="V443" t="s">
        <v>6</v>
      </c>
      <c r="W443" t="s">
        <v>74</v>
      </c>
      <c r="X443" t="s">
        <v>108</v>
      </c>
      <c r="Y443" t="s">
        <v>22</v>
      </c>
      <c r="Z443">
        <v>1.26</v>
      </c>
      <c r="AA443">
        <f t="shared" si="18"/>
        <v>22656.76</v>
      </c>
      <c r="AB443">
        <f t="shared" si="19"/>
        <v>0.24576331213963432</v>
      </c>
      <c r="AC443">
        <f t="shared" si="20"/>
        <v>0</v>
      </c>
      <c r="AD443">
        <v>2025</v>
      </c>
      <c r="AE443">
        <v>1</v>
      </c>
      <c r="AF443" t="s">
        <v>102</v>
      </c>
      <c r="AG443" t="s">
        <v>118</v>
      </c>
    </row>
    <row r="444" spans="1:33">
      <c r="A444" t="s">
        <v>595</v>
      </c>
      <c r="B444">
        <v>45815</v>
      </c>
      <c r="C444">
        <v>45823</v>
      </c>
      <c r="D444" t="s">
        <v>27</v>
      </c>
      <c r="E444">
        <v>100</v>
      </c>
      <c r="F444">
        <v>675.15</v>
      </c>
      <c r="G444">
        <v>1.96</v>
      </c>
      <c r="H444">
        <v>66191.710000000006</v>
      </c>
      <c r="I444" t="s">
        <v>1727</v>
      </c>
      <c r="J444">
        <v>591.23</v>
      </c>
      <c r="K444">
        <v>59123</v>
      </c>
      <c r="L444">
        <v>628.16999999999996</v>
      </c>
      <c r="M444">
        <v>234.77</v>
      </c>
      <c r="N444">
        <v>3850.42</v>
      </c>
      <c r="O444">
        <v>63836.36</v>
      </c>
      <c r="P444">
        <v>7068.71</v>
      </c>
      <c r="Q444">
        <v>2355.35</v>
      </c>
      <c r="R444" t="s">
        <v>65</v>
      </c>
      <c r="S444">
        <v>66191.710000000006</v>
      </c>
      <c r="T444">
        <v>0</v>
      </c>
      <c r="U444" t="s">
        <v>66</v>
      </c>
      <c r="V444" t="s">
        <v>8</v>
      </c>
      <c r="W444" t="s">
        <v>80</v>
      </c>
      <c r="X444" t="s">
        <v>86</v>
      </c>
      <c r="Y444" t="s">
        <v>30</v>
      </c>
      <c r="Z444">
        <v>2.4500000000000002</v>
      </c>
      <c r="AA444">
        <f t="shared" si="18"/>
        <v>2355.35</v>
      </c>
      <c r="AB444">
        <f t="shared" si="19"/>
        <v>3.5583761168883531E-2</v>
      </c>
      <c r="AC444">
        <f t="shared" si="20"/>
        <v>0</v>
      </c>
      <c r="AD444">
        <v>2025</v>
      </c>
      <c r="AE444">
        <v>6</v>
      </c>
      <c r="AF444" t="s">
        <v>111</v>
      </c>
      <c r="AG444" t="s">
        <v>112</v>
      </c>
    </row>
    <row r="445" spans="1:33">
      <c r="A445" t="s">
        <v>596</v>
      </c>
      <c r="B445">
        <v>45844</v>
      </c>
      <c r="C445">
        <v>45845</v>
      </c>
      <c r="D445" t="s">
        <v>23</v>
      </c>
      <c r="E445">
        <v>300</v>
      </c>
      <c r="F445">
        <v>1301.8599999999999</v>
      </c>
      <c r="G445">
        <v>2.0099999999999998</v>
      </c>
      <c r="H445">
        <v>382707.78</v>
      </c>
      <c r="I445" t="s">
        <v>1728</v>
      </c>
      <c r="J445">
        <v>1061.17</v>
      </c>
      <c r="K445">
        <v>318351</v>
      </c>
      <c r="L445">
        <v>2463.84</v>
      </c>
      <c r="M445">
        <v>1656.92</v>
      </c>
      <c r="N445">
        <v>4154.75</v>
      </c>
      <c r="O445">
        <v>326626.51</v>
      </c>
      <c r="P445">
        <v>64356.78</v>
      </c>
      <c r="Q445">
        <v>56081.27</v>
      </c>
      <c r="R445" t="s">
        <v>65</v>
      </c>
      <c r="S445">
        <v>382707.78</v>
      </c>
      <c r="T445">
        <v>0</v>
      </c>
      <c r="U445" t="s">
        <v>66</v>
      </c>
      <c r="V445" t="s">
        <v>12</v>
      </c>
      <c r="W445" t="s">
        <v>74</v>
      </c>
      <c r="X445" t="s">
        <v>145</v>
      </c>
      <c r="Y445" t="s">
        <v>30</v>
      </c>
      <c r="Z445">
        <v>0.94</v>
      </c>
      <c r="AA445">
        <f t="shared" si="18"/>
        <v>56081.27</v>
      </c>
      <c r="AB445">
        <f t="shared" si="19"/>
        <v>0.14653809755317751</v>
      </c>
      <c r="AC445">
        <f t="shared" si="20"/>
        <v>0</v>
      </c>
      <c r="AD445">
        <v>2025</v>
      </c>
      <c r="AE445">
        <v>7</v>
      </c>
      <c r="AF445" t="s">
        <v>69</v>
      </c>
      <c r="AG445" t="s">
        <v>151</v>
      </c>
    </row>
    <row r="446" spans="1:33">
      <c r="A446" t="s">
        <v>597</v>
      </c>
      <c r="B446">
        <v>45963</v>
      </c>
      <c r="C446">
        <v>45975</v>
      </c>
      <c r="D446" t="s">
        <v>23</v>
      </c>
      <c r="E446">
        <v>200</v>
      </c>
      <c r="F446">
        <v>1418.03</v>
      </c>
      <c r="G446">
        <v>1.38</v>
      </c>
      <c r="H446">
        <v>279692.24</v>
      </c>
      <c r="I446" t="s">
        <v>1726</v>
      </c>
      <c r="J446">
        <v>1094.6199999999999</v>
      </c>
      <c r="K446">
        <v>218924</v>
      </c>
      <c r="L446">
        <v>2019.43</v>
      </c>
      <c r="M446">
        <v>908.46</v>
      </c>
      <c r="N446">
        <v>11681.75</v>
      </c>
      <c r="O446">
        <v>233533.64</v>
      </c>
      <c r="P446">
        <v>60768.24</v>
      </c>
      <c r="Q446">
        <v>46158.6</v>
      </c>
      <c r="R446" t="s">
        <v>65</v>
      </c>
      <c r="S446">
        <v>279692.24</v>
      </c>
      <c r="T446">
        <v>0</v>
      </c>
      <c r="U446" t="s">
        <v>66</v>
      </c>
      <c r="V446" t="s">
        <v>12</v>
      </c>
      <c r="W446" t="s">
        <v>67</v>
      </c>
      <c r="X446" t="s">
        <v>371</v>
      </c>
      <c r="Y446" t="s">
        <v>26</v>
      </c>
      <c r="Z446">
        <v>1</v>
      </c>
      <c r="AA446">
        <f t="shared" si="18"/>
        <v>46158.6</v>
      </c>
      <c r="AB446">
        <f t="shared" si="19"/>
        <v>0.16503353829194548</v>
      </c>
      <c r="AC446">
        <f t="shared" si="20"/>
        <v>0</v>
      </c>
      <c r="AD446">
        <v>2025</v>
      </c>
      <c r="AE446">
        <v>11</v>
      </c>
      <c r="AF446" t="s">
        <v>128</v>
      </c>
      <c r="AG446" t="s">
        <v>135</v>
      </c>
    </row>
    <row r="447" spans="1:33">
      <c r="A447" t="s">
        <v>598</v>
      </c>
      <c r="B447">
        <v>45921</v>
      </c>
      <c r="D447" t="s">
        <v>21</v>
      </c>
      <c r="E447">
        <v>250</v>
      </c>
      <c r="F447">
        <v>861.2</v>
      </c>
      <c r="G447">
        <v>2.39</v>
      </c>
      <c r="H447">
        <v>210154.33</v>
      </c>
      <c r="I447" t="s">
        <v>1726</v>
      </c>
      <c r="J447">
        <v>660.76</v>
      </c>
      <c r="K447">
        <v>165190</v>
      </c>
      <c r="L447">
        <v>5211.83</v>
      </c>
      <c r="M447">
        <v>701.83</v>
      </c>
      <c r="N447">
        <v>10061.030000000001</v>
      </c>
      <c r="O447">
        <v>181164.69</v>
      </c>
      <c r="P447">
        <v>44964.33</v>
      </c>
      <c r="Q447">
        <v>28989.64</v>
      </c>
      <c r="R447" t="s">
        <v>65</v>
      </c>
      <c r="S447">
        <v>210154.33</v>
      </c>
      <c r="T447">
        <v>0</v>
      </c>
      <c r="U447" t="s">
        <v>91</v>
      </c>
      <c r="V447" t="s">
        <v>6</v>
      </c>
      <c r="W447" t="s">
        <v>92</v>
      </c>
      <c r="X447" t="s">
        <v>108</v>
      </c>
      <c r="Y447" t="s">
        <v>22</v>
      </c>
      <c r="Z447">
        <v>0.55000000000000004</v>
      </c>
      <c r="AA447">
        <f t="shared" si="18"/>
        <v>28989.64</v>
      </c>
      <c r="AB447">
        <f t="shared" si="19"/>
        <v>0.13794452867090581</v>
      </c>
      <c r="AC447">
        <f t="shared" si="20"/>
        <v>0</v>
      </c>
      <c r="AD447">
        <v>2025</v>
      </c>
      <c r="AE447">
        <v>9</v>
      </c>
      <c r="AF447" t="s">
        <v>131</v>
      </c>
      <c r="AG447" t="s">
        <v>132</v>
      </c>
    </row>
    <row r="448" spans="1:33">
      <c r="A448" t="s">
        <v>599</v>
      </c>
      <c r="B448">
        <v>45297</v>
      </c>
      <c r="C448">
        <v>45303</v>
      </c>
      <c r="D448" t="s">
        <v>21</v>
      </c>
      <c r="E448">
        <v>100</v>
      </c>
      <c r="F448">
        <v>905.55</v>
      </c>
      <c r="G448">
        <v>0.32</v>
      </c>
      <c r="H448">
        <v>90265.22</v>
      </c>
      <c r="I448" t="s">
        <v>1726</v>
      </c>
      <c r="J448">
        <v>719.58</v>
      </c>
      <c r="K448">
        <v>71958</v>
      </c>
      <c r="L448">
        <v>668.84</v>
      </c>
      <c r="M448">
        <v>492.04</v>
      </c>
      <c r="N448">
        <v>7352.17</v>
      </c>
      <c r="O448">
        <v>80471.05</v>
      </c>
      <c r="P448">
        <v>18307.22</v>
      </c>
      <c r="Q448">
        <v>9794.17</v>
      </c>
      <c r="R448" t="s">
        <v>65</v>
      </c>
      <c r="S448">
        <v>90265.22</v>
      </c>
      <c r="T448">
        <v>0</v>
      </c>
      <c r="U448" t="s">
        <v>73</v>
      </c>
      <c r="V448" t="s">
        <v>12</v>
      </c>
      <c r="W448" t="s">
        <v>92</v>
      </c>
      <c r="X448" t="s">
        <v>97</v>
      </c>
      <c r="Y448" t="s">
        <v>24</v>
      </c>
      <c r="Z448">
        <v>1.05</v>
      </c>
      <c r="AA448">
        <f t="shared" si="18"/>
        <v>9794.17</v>
      </c>
      <c r="AB448">
        <f t="shared" si="19"/>
        <v>0.10850436081582696</v>
      </c>
      <c r="AC448">
        <f t="shared" si="20"/>
        <v>0</v>
      </c>
      <c r="AD448">
        <v>2024</v>
      </c>
      <c r="AE448">
        <v>1</v>
      </c>
      <c r="AF448" t="s">
        <v>102</v>
      </c>
      <c r="AG448" t="s">
        <v>103</v>
      </c>
    </row>
    <row r="449" spans="1:33">
      <c r="A449" t="s">
        <v>600</v>
      </c>
      <c r="B449">
        <v>45578</v>
      </c>
      <c r="C449">
        <v>45587</v>
      </c>
      <c r="D449" t="s">
        <v>21</v>
      </c>
      <c r="E449">
        <v>500</v>
      </c>
      <c r="F449">
        <v>946.41</v>
      </c>
      <c r="G449">
        <v>0.46</v>
      </c>
      <c r="H449">
        <v>471028.26</v>
      </c>
      <c r="I449" t="s">
        <v>1727</v>
      </c>
      <c r="J449">
        <v>662.05</v>
      </c>
      <c r="K449">
        <v>331025</v>
      </c>
      <c r="L449">
        <v>7636.52</v>
      </c>
      <c r="M449">
        <v>2969.99</v>
      </c>
      <c r="N449">
        <v>10897.17</v>
      </c>
      <c r="O449">
        <v>352528.68</v>
      </c>
      <c r="P449">
        <v>140003.26</v>
      </c>
      <c r="Q449">
        <v>118499.58</v>
      </c>
      <c r="R449" t="s">
        <v>85</v>
      </c>
      <c r="S449">
        <v>194139.07</v>
      </c>
      <c r="T449">
        <v>276889.19</v>
      </c>
      <c r="U449" t="s">
        <v>73</v>
      </c>
      <c r="V449" t="s">
        <v>14</v>
      </c>
      <c r="W449" t="s">
        <v>92</v>
      </c>
      <c r="X449" t="s">
        <v>142</v>
      </c>
      <c r="Y449" t="s">
        <v>28</v>
      </c>
      <c r="Z449">
        <v>1.19</v>
      </c>
      <c r="AA449">
        <f t="shared" si="18"/>
        <v>118499.58</v>
      </c>
      <c r="AB449">
        <f t="shared" si="19"/>
        <v>0.25157637038592973</v>
      </c>
      <c r="AC449">
        <f t="shared" si="20"/>
        <v>0</v>
      </c>
      <c r="AD449">
        <v>2024</v>
      </c>
      <c r="AE449">
        <v>10</v>
      </c>
      <c r="AF449" t="s">
        <v>138</v>
      </c>
      <c r="AG449" t="s">
        <v>139</v>
      </c>
    </row>
    <row r="450" spans="1:33">
      <c r="A450" t="s">
        <v>601</v>
      </c>
      <c r="B450">
        <v>45831</v>
      </c>
      <c r="C450">
        <v>45836</v>
      </c>
      <c r="D450" t="s">
        <v>21</v>
      </c>
      <c r="E450">
        <v>150</v>
      </c>
      <c r="F450">
        <v>893.63</v>
      </c>
      <c r="G450">
        <v>2.4300000000000002</v>
      </c>
      <c r="H450">
        <v>130787.22</v>
      </c>
      <c r="I450" t="s">
        <v>1726</v>
      </c>
      <c r="J450">
        <v>739.32</v>
      </c>
      <c r="K450">
        <v>110898</v>
      </c>
      <c r="L450">
        <v>3430.1</v>
      </c>
      <c r="M450">
        <v>523.41999999999996</v>
      </c>
      <c r="N450">
        <v>6936.12</v>
      </c>
      <c r="O450">
        <v>121787.64</v>
      </c>
      <c r="P450">
        <v>19889.22</v>
      </c>
      <c r="Q450">
        <v>8999.58</v>
      </c>
      <c r="R450" t="s">
        <v>65</v>
      </c>
      <c r="S450">
        <v>130787.22</v>
      </c>
      <c r="T450">
        <v>0</v>
      </c>
      <c r="U450" t="s">
        <v>66</v>
      </c>
      <c r="V450" t="s">
        <v>10</v>
      </c>
      <c r="W450" t="s">
        <v>141</v>
      </c>
      <c r="X450" t="s">
        <v>125</v>
      </c>
      <c r="Y450" t="s">
        <v>24</v>
      </c>
      <c r="Z450">
        <v>7.0000000000000007E-2</v>
      </c>
      <c r="AA450">
        <f t="shared" ref="AA450:AA513" si="21">ROUND(H450-O450,2)</f>
        <v>8999.58</v>
      </c>
      <c r="AB450">
        <f t="shared" ref="AB450:AB513" si="22">AA450/H450</f>
        <v>6.8810851702482856E-2</v>
      </c>
      <c r="AC450">
        <f t="shared" ref="AC450:AC513" si="23">ROUND(AA450-Q450,2)</f>
        <v>0</v>
      </c>
      <c r="AD450">
        <v>2025</v>
      </c>
      <c r="AE450">
        <v>6</v>
      </c>
      <c r="AF450" t="s">
        <v>111</v>
      </c>
      <c r="AG450" t="s">
        <v>112</v>
      </c>
    </row>
    <row r="451" spans="1:33">
      <c r="A451" t="s">
        <v>602</v>
      </c>
      <c r="B451">
        <v>45764</v>
      </c>
      <c r="C451">
        <v>45777</v>
      </c>
      <c r="D451" t="s">
        <v>21</v>
      </c>
      <c r="E451">
        <v>250</v>
      </c>
      <c r="F451">
        <v>841.1</v>
      </c>
      <c r="G451">
        <v>1.02</v>
      </c>
      <c r="H451">
        <v>208130.2</v>
      </c>
      <c r="I451" t="s">
        <v>1729</v>
      </c>
      <c r="J451">
        <v>702.53</v>
      </c>
      <c r="K451">
        <v>175632.5</v>
      </c>
      <c r="L451">
        <v>1266.22</v>
      </c>
      <c r="M451">
        <v>1252.22</v>
      </c>
      <c r="N451">
        <v>2684.18</v>
      </c>
      <c r="O451">
        <v>180835.12</v>
      </c>
      <c r="P451">
        <v>32497.7</v>
      </c>
      <c r="Q451">
        <v>27295.08</v>
      </c>
      <c r="R451" t="s">
        <v>65</v>
      </c>
      <c r="S451">
        <v>208130.2</v>
      </c>
      <c r="T451">
        <v>0</v>
      </c>
      <c r="U451" t="s">
        <v>66</v>
      </c>
      <c r="V451" t="s">
        <v>6</v>
      </c>
      <c r="W451" t="s">
        <v>92</v>
      </c>
      <c r="X451" t="s">
        <v>164</v>
      </c>
      <c r="Y451" t="s">
        <v>24</v>
      </c>
      <c r="Z451">
        <v>1.06</v>
      </c>
      <c r="AA451">
        <f t="shared" si="21"/>
        <v>27295.08</v>
      </c>
      <c r="AB451">
        <f t="shared" si="22"/>
        <v>0.13114425489429213</v>
      </c>
      <c r="AC451">
        <f t="shared" si="23"/>
        <v>0</v>
      </c>
      <c r="AD451">
        <v>2025</v>
      </c>
      <c r="AE451">
        <v>4</v>
      </c>
      <c r="AF451" t="s">
        <v>154</v>
      </c>
      <c r="AG451" t="s">
        <v>155</v>
      </c>
    </row>
    <row r="452" spans="1:33">
      <c r="A452" t="s">
        <v>603</v>
      </c>
      <c r="B452">
        <v>45669</v>
      </c>
      <c r="C452">
        <v>45682</v>
      </c>
      <c r="D452" t="s">
        <v>23</v>
      </c>
      <c r="E452">
        <v>150</v>
      </c>
      <c r="F452">
        <v>1326.91</v>
      </c>
      <c r="G452">
        <v>1.78</v>
      </c>
      <c r="H452">
        <v>195493.65</v>
      </c>
      <c r="I452" t="s">
        <v>1726</v>
      </c>
      <c r="J452">
        <v>1059.3399999999999</v>
      </c>
      <c r="K452">
        <v>158901</v>
      </c>
      <c r="L452">
        <v>1342.36</v>
      </c>
      <c r="M452">
        <v>331.13</v>
      </c>
      <c r="N452">
        <v>7124.98</v>
      </c>
      <c r="O452">
        <v>167699.47</v>
      </c>
      <c r="P452">
        <v>36592.65</v>
      </c>
      <c r="Q452">
        <v>27794.18</v>
      </c>
      <c r="R452" t="s">
        <v>65</v>
      </c>
      <c r="S452">
        <v>195493.65</v>
      </c>
      <c r="T452">
        <v>0</v>
      </c>
      <c r="U452" t="s">
        <v>66</v>
      </c>
      <c r="V452" t="s">
        <v>14</v>
      </c>
      <c r="W452" t="s">
        <v>80</v>
      </c>
      <c r="X452" t="s">
        <v>125</v>
      </c>
      <c r="Y452" t="s">
        <v>24</v>
      </c>
      <c r="Z452">
        <v>0.79</v>
      </c>
      <c r="AA452">
        <f t="shared" si="21"/>
        <v>27794.18</v>
      </c>
      <c r="AB452">
        <f t="shared" si="22"/>
        <v>0.14217433660888731</v>
      </c>
      <c r="AC452">
        <f t="shared" si="23"/>
        <v>0</v>
      </c>
      <c r="AD452">
        <v>2025</v>
      </c>
      <c r="AE452">
        <v>1</v>
      </c>
      <c r="AF452" t="s">
        <v>102</v>
      </c>
      <c r="AG452" t="s">
        <v>118</v>
      </c>
    </row>
    <row r="453" spans="1:33">
      <c r="A453" t="s">
        <v>604</v>
      </c>
      <c r="B453">
        <v>45726</v>
      </c>
      <c r="C453">
        <v>45734</v>
      </c>
      <c r="D453" t="s">
        <v>25</v>
      </c>
      <c r="E453">
        <v>250</v>
      </c>
      <c r="F453">
        <v>922.37</v>
      </c>
      <c r="G453">
        <v>1.34</v>
      </c>
      <c r="H453">
        <v>227502.56</v>
      </c>
      <c r="I453" t="s">
        <v>1729</v>
      </c>
      <c r="J453">
        <v>793.08</v>
      </c>
      <c r="K453">
        <v>198270</v>
      </c>
      <c r="L453">
        <v>5561.59</v>
      </c>
      <c r="M453">
        <v>770.88</v>
      </c>
      <c r="N453">
        <v>3260.87</v>
      </c>
      <c r="O453">
        <v>207863.34</v>
      </c>
      <c r="P453">
        <v>29232.560000000001</v>
      </c>
      <c r="Q453">
        <v>19639.22</v>
      </c>
      <c r="R453" t="s">
        <v>65</v>
      </c>
      <c r="S453">
        <v>227502.56</v>
      </c>
      <c r="T453">
        <v>0</v>
      </c>
      <c r="U453" t="s">
        <v>66</v>
      </c>
      <c r="V453" t="s">
        <v>16</v>
      </c>
      <c r="W453" t="s">
        <v>92</v>
      </c>
      <c r="X453" t="s">
        <v>224</v>
      </c>
      <c r="Y453" t="s">
        <v>31</v>
      </c>
      <c r="Z453">
        <v>1.0900000000000001</v>
      </c>
      <c r="AA453">
        <f t="shared" si="21"/>
        <v>19639.22</v>
      </c>
      <c r="AB453">
        <f t="shared" si="22"/>
        <v>8.6325270361792855E-2</v>
      </c>
      <c r="AC453">
        <f t="shared" si="23"/>
        <v>0</v>
      </c>
      <c r="AD453">
        <v>2025</v>
      </c>
      <c r="AE453">
        <v>3</v>
      </c>
      <c r="AF453" t="s">
        <v>105</v>
      </c>
      <c r="AG453" t="s">
        <v>106</v>
      </c>
    </row>
    <row r="454" spans="1:33">
      <c r="A454" t="s">
        <v>605</v>
      </c>
      <c r="B454">
        <v>45553</v>
      </c>
      <c r="C454">
        <v>45555</v>
      </c>
      <c r="D454" t="s">
        <v>25</v>
      </c>
      <c r="E454">
        <v>200</v>
      </c>
      <c r="F454">
        <v>995.59</v>
      </c>
      <c r="G454">
        <v>1.63</v>
      </c>
      <c r="H454">
        <v>195872.38</v>
      </c>
      <c r="I454" t="s">
        <v>1726</v>
      </c>
      <c r="J454">
        <v>824.48</v>
      </c>
      <c r="K454">
        <v>164896</v>
      </c>
      <c r="L454">
        <v>4202.3999999999996</v>
      </c>
      <c r="M454">
        <v>325.05</v>
      </c>
      <c r="N454">
        <v>6762.15</v>
      </c>
      <c r="O454">
        <v>176185.60000000001</v>
      </c>
      <c r="P454">
        <v>30976.38</v>
      </c>
      <c r="Q454">
        <v>19686.78</v>
      </c>
      <c r="R454" t="s">
        <v>65</v>
      </c>
      <c r="S454">
        <v>195872.38</v>
      </c>
      <c r="T454">
        <v>0</v>
      </c>
      <c r="U454" t="s">
        <v>66</v>
      </c>
      <c r="V454" t="s">
        <v>12</v>
      </c>
      <c r="W454" t="s">
        <v>67</v>
      </c>
      <c r="X454" t="s">
        <v>159</v>
      </c>
      <c r="Y454" t="s">
        <v>30</v>
      </c>
      <c r="Z454">
        <v>0.83</v>
      </c>
      <c r="AA454">
        <f t="shared" si="21"/>
        <v>19686.78</v>
      </c>
      <c r="AB454">
        <f t="shared" si="22"/>
        <v>0.10050819824622542</v>
      </c>
      <c r="AC454">
        <f t="shared" si="23"/>
        <v>0</v>
      </c>
      <c r="AD454">
        <v>2024</v>
      </c>
      <c r="AE454">
        <v>9</v>
      </c>
      <c r="AF454" t="s">
        <v>131</v>
      </c>
      <c r="AG454" t="s">
        <v>188</v>
      </c>
    </row>
    <row r="455" spans="1:33">
      <c r="A455" t="s">
        <v>606</v>
      </c>
      <c r="B455">
        <v>45293</v>
      </c>
      <c r="C455">
        <v>45298</v>
      </c>
      <c r="D455" t="s">
        <v>23</v>
      </c>
      <c r="E455">
        <v>200</v>
      </c>
      <c r="F455">
        <v>1250.49</v>
      </c>
      <c r="G455">
        <v>1.43</v>
      </c>
      <c r="H455">
        <v>246521.60000000001</v>
      </c>
      <c r="I455" t="s">
        <v>1726</v>
      </c>
      <c r="J455">
        <v>1109.67</v>
      </c>
      <c r="K455">
        <v>221934</v>
      </c>
      <c r="L455">
        <v>2705.67</v>
      </c>
      <c r="M455">
        <v>335.63</v>
      </c>
      <c r="N455">
        <v>365.42</v>
      </c>
      <c r="O455">
        <v>225340.72</v>
      </c>
      <c r="P455">
        <v>24587.599999999999</v>
      </c>
      <c r="Q455">
        <v>21180.880000000001</v>
      </c>
      <c r="R455" t="s">
        <v>65</v>
      </c>
      <c r="S455">
        <v>246521.60000000001</v>
      </c>
      <c r="T455">
        <v>0</v>
      </c>
      <c r="U455" t="s">
        <v>66</v>
      </c>
      <c r="V455" t="s">
        <v>16</v>
      </c>
      <c r="W455" t="s">
        <v>74</v>
      </c>
      <c r="X455" t="s">
        <v>205</v>
      </c>
      <c r="Y455" t="s">
        <v>24</v>
      </c>
      <c r="Z455">
        <v>1.17</v>
      </c>
      <c r="AA455">
        <f t="shared" si="21"/>
        <v>21180.880000000001</v>
      </c>
      <c r="AB455">
        <f t="shared" si="22"/>
        <v>8.5918962070666433E-2</v>
      </c>
      <c r="AC455">
        <f t="shared" si="23"/>
        <v>0</v>
      </c>
      <c r="AD455">
        <v>2024</v>
      </c>
      <c r="AE455">
        <v>1</v>
      </c>
      <c r="AF455" t="s">
        <v>102</v>
      </c>
      <c r="AG455" t="s">
        <v>103</v>
      </c>
    </row>
    <row r="456" spans="1:33">
      <c r="A456" t="s">
        <v>607</v>
      </c>
      <c r="B456">
        <v>45425</v>
      </c>
      <c r="C456">
        <v>45426</v>
      </c>
      <c r="D456" t="s">
        <v>23</v>
      </c>
      <c r="E456">
        <v>1000</v>
      </c>
      <c r="F456">
        <v>1310.82</v>
      </c>
      <c r="G456">
        <v>2.68</v>
      </c>
      <c r="H456">
        <v>1275690.02</v>
      </c>
      <c r="I456" t="s">
        <v>1726</v>
      </c>
      <c r="J456">
        <v>1024.06</v>
      </c>
      <c r="K456">
        <v>1024060</v>
      </c>
      <c r="L456">
        <v>17369.849999999999</v>
      </c>
      <c r="M456">
        <v>4855.8</v>
      </c>
      <c r="N456">
        <v>4108.1099999999997</v>
      </c>
      <c r="O456">
        <v>1050393.76</v>
      </c>
      <c r="P456">
        <v>251630.02</v>
      </c>
      <c r="Q456">
        <v>225296.26</v>
      </c>
      <c r="R456" t="s">
        <v>65</v>
      </c>
      <c r="S456">
        <v>1275690.02</v>
      </c>
      <c r="T456">
        <v>0</v>
      </c>
      <c r="U456" t="s">
        <v>66</v>
      </c>
      <c r="V456" t="s">
        <v>6</v>
      </c>
      <c r="W456" t="s">
        <v>74</v>
      </c>
      <c r="X456" t="s">
        <v>195</v>
      </c>
      <c r="Y456" t="s">
        <v>26</v>
      </c>
      <c r="Z456">
        <v>0.55000000000000004</v>
      </c>
      <c r="AA456">
        <f t="shared" si="21"/>
        <v>225296.26</v>
      </c>
      <c r="AB456">
        <f t="shared" si="22"/>
        <v>0.17660737049585135</v>
      </c>
      <c r="AC456">
        <f t="shared" si="23"/>
        <v>0</v>
      </c>
      <c r="AD456">
        <v>2024</v>
      </c>
      <c r="AE456">
        <v>5</v>
      </c>
      <c r="AF456" t="s">
        <v>76</v>
      </c>
      <c r="AG456" t="s">
        <v>77</v>
      </c>
    </row>
    <row r="457" spans="1:33">
      <c r="A457" t="s">
        <v>608</v>
      </c>
      <c r="B457">
        <v>45981</v>
      </c>
      <c r="C457">
        <v>45993</v>
      </c>
      <c r="D457" t="s">
        <v>21</v>
      </c>
      <c r="E457">
        <v>500</v>
      </c>
      <c r="F457">
        <v>979.82</v>
      </c>
      <c r="G457">
        <v>0.65</v>
      </c>
      <c r="H457">
        <v>486725.58</v>
      </c>
      <c r="I457" t="s">
        <v>1728</v>
      </c>
      <c r="J457">
        <v>664.78</v>
      </c>
      <c r="K457">
        <v>332390</v>
      </c>
      <c r="L457">
        <v>9967.6299999999992</v>
      </c>
      <c r="M457">
        <v>1031.82</v>
      </c>
      <c r="N457">
        <v>8718.7900000000009</v>
      </c>
      <c r="O457">
        <v>352108.24</v>
      </c>
      <c r="P457">
        <v>154335.57999999999</v>
      </c>
      <c r="Q457">
        <v>134617.34</v>
      </c>
      <c r="R457" t="s">
        <v>65</v>
      </c>
      <c r="S457">
        <v>486725.58</v>
      </c>
      <c r="T457">
        <v>0</v>
      </c>
      <c r="U457" t="s">
        <v>73</v>
      </c>
      <c r="V457" t="s">
        <v>6</v>
      </c>
      <c r="W457" t="s">
        <v>74</v>
      </c>
      <c r="X457" t="s">
        <v>115</v>
      </c>
      <c r="Y457" t="s">
        <v>22</v>
      </c>
      <c r="Z457">
        <v>1.99</v>
      </c>
      <c r="AA457">
        <f t="shared" si="21"/>
        <v>134617.34</v>
      </c>
      <c r="AB457">
        <f t="shared" si="22"/>
        <v>0.27657749157132855</v>
      </c>
      <c r="AC457">
        <f t="shared" si="23"/>
        <v>0</v>
      </c>
      <c r="AD457">
        <v>2025</v>
      </c>
      <c r="AE457">
        <v>11</v>
      </c>
      <c r="AF457" t="s">
        <v>128</v>
      </c>
      <c r="AG457" t="s">
        <v>135</v>
      </c>
    </row>
    <row r="458" spans="1:33">
      <c r="A458" t="s">
        <v>609</v>
      </c>
      <c r="B458">
        <v>45945</v>
      </c>
      <c r="C458">
        <v>45957</v>
      </c>
      <c r="D458" t="s">
        <v>23</v>
      </c>
      <c r="E458">
        <v>1000</v>
      </c>
      <c r="F458">
        <v>1372.29</v>
      </c>
      <c r="G458">
        <v>3.44</v>
      </c>
      <c r="H458">
        <v>1325083.22</v>
      </c>
      <c r="I458" t="s">
        <v>1729</v>
      </c>
      <c r="J458">
        <v>1040.73</v>
      </c>
      <c r="K458">
        <v>1040730</v>
      </c>
      <c r="L458">
        <v>10324.52</v>
      </c>
      <c r="M458">
        <v>4668.75</v>
      </c>
      <c r="N458">
        <v>5071.3500000000004</v>
      </c>
      <c r="O458">
        <v>1060794.6200000001</v>
      </c>
      <c r="P458">
        <v>284353.21999999997</v>
      </c>
      <c r="Q458">
        <v>264288.59999999998</v>
      </c>
      <c r="R458" t="s">
        <v>65</v>
      </c>
      <c r="S458">
        <v>1325083.22</v>
      </c>
      <c r="T458">
        <v>0</v>
      </c>
      <c r="U458" t="s">
        <v>66</v>
      </c>
      <c r="V458" t="s">
        <v>8</v>
      </c>
      <c r="W458" t="s">
        <v>141</v>
      </c>
      <c r="X458" t="s">
        <v>81</v>
      </c>
      <c r="Y458" t="s">
        <v>24</v>
      </c>
      <c r="Z458">
        <v>0.22</v>
      </c>
      <c r="AA458">
        <f t="shared" si="21"/>
        <v>264288.59999999998</v>
      </c>
      <c r="AB458">
        <f t="shared" si="22"/>
        <v>0.19945056733870645</v>
      </c>
      <c r="AC458">
        <f t="shared" si="23"/>
        <v>0</v>
      </c>
      <c r="AD458">
        <v>2025</v>
      </c>
      <c r="AE458">
        <v>10</v>
      </c>
      <c r="AF458" t="s">
        <v>138</v>
      </c>
      <c r="AG458" t="s">
        <v>160</v>
      </c>
    </row>
    <row r="459" spans="1:33">
      <c r="A459" t="s">
        <v>610</v>
      </c>
      <c r="B459">
        <v>45297</v>
      </c>
      <c r="C459">
        <v>45298</v>
      </c>
      <c r="D459" t="s">
        <v>21</v>
      </c>
      <c r="E459">
        <v>200</v>
      </c>
      <c r="F459">
        <v>824.37</v>
      </c>
      <c r="G459">
        <v>1.5</v>
      </c>
      <c r="H459">
        <v>162400.89000000001</v>
      </c>
      <c r="I459" t="s">
        <v>1726</v>
      </c>
      <c r="J459">
        <v>747.57</v>
      </c>
      <c r="K459">
        <v>149514</v>
      </c>
      <c r="L459">
        <v>4746.79</v>
      </c>
      <c r="M459">
        <v>672.09</v>
      </c>
      <c r="N459">
        <v>2389.92</v>
      </c>
      <c r="O459">
        <v>157322.79999999999</v>
      </c>
      <c r="P459">
        <v>12886.89</v>
      </c>
      <c r="Q459">
        <v>5078.09</v>
      </c>
      <c r="R459" t="s">
        <v>134</v>
      </c>
      <c r="S459">
        <v>0</v>
      </c>
      <c r="T459">
        <v>162400.89000000001</v>
      </c>
      <c r="U459" t="s">
        <v>66</v>
      </c>
      <c r="V459" t="s">
        <v>14</v>
      </c>
      <c r="W459" t="s">
        <v>74</v>
      </c>
      <c r="X459" t="s">
        <v>327</v>
      </c>
      <c r="Y459" t="s">
        <v>26</v>
      </c>
      <c r="Z459">
        <v>0.53</v>
      </c>
      <c r="AA459">
        <f t="shared" si="21"/>
        <v>5078.09</v>
      </c>
      <c r="AB459">
        <f t="shared" si="22"/>
        <v>3.1268855731024628E-2</v>
      </c>
      <c r="AC459">
        <f t="shared" si="23"/>
        <v>0</v>
      </c>
      <c r="AD459">
        <v>2024</v>
      </c>
      <c r="AE459">
        <v>1</v>
      </c>
      <c r="AF459" t="s">
        <v>102</v>
      </c>
      <c r="AG459" t="s">
        <v>103</v>
      </c>
    </row>
    <row r="460" spans="1:33">
      <c r="A460" t="s">
        <v>611</v>
      </c>
      <c r="B460">
        <v>45473</v>
      </c>
      <c r="C460">
        <v>45478</v>
      </c>
      <c r="D460" t="s">
        <v>25</v>
      </c>
      <c r="E460">
        <v>50</v>
      </c>
      <c r="F460">
        <v>976.33</v>
      </c>
      <c r="G460">
        <v>2.2799999999999998</v>
      </c>
      <c r="H460">
        <v>47703.48</v>
      </c>
      <c r="I460" t="s">
        <v>1726</v>
      </c>
      <c r="J460">
        <v>825.63</v>
      </c>
      <c r="K460">
        <v>41281.5</v>
      </c>
      <c r="L460">
        <v>431.2</v>
      </c>
      <c r="M460">
        <v>144.4</v>
      </c>
      <c r="N460">
        <v>3382.86</v>
      </c>
      <c r="O460">
        <v>45239.96</v>
      </c>
      <c r="P460">
        <v>6421.98</v>
      </c>
      <c r="Q460">
        <v>2463.52</v>
      </c>
      <c r="R460" t="s">
        <v>65</v>
      </c>
      <c r="S460">
        <v>47703.48</v>
      </c>
      <c r="T460">
        <v>0</v>
      </c>
      <c r="U460" t="s">
        <v>66</v>
      </c>
      <c r="V460" t="s">
        <v>6</v>
      </c>
      <c r="W460" t="s">
        <v>74</v>
      </c>
      <c r="X460" t="s">
        <v>195</v>
      </c>
      <c r="Y460" t="s">
        <v>26</v>
      </c>
      <c r="Z460">
        <v>0.98</v>
      </c>
      <c r="AA460">
        <f t="shared" si="21"/>
        <v>2463.52</v>
      </c>
      <c r="AB460">
        <f t="shared" si="22"/>
        <v>5.1642353975013981E-2</v>
      </c>
      <c r="AC460">
        <f t="shared" si="23"/>
        <v>0</v>
      </c>
      <c r="AD460">
        <v>2024</v>
      </c>
      <c r="AE460">
        <v>6</v>
      </c>
      <c r="AF460" t="s">
        <v>111</v>
      </c>
      <c r="AG460" t="s">
        <v>148</v>
      </c>
    </row>
    <row r="461" spans="1:33">
      <c r="A461" t="s">
        <v>612</v>
      </c>
      <c r="B461">
        <v>45454</v>
      </c>
      <c r="C461">
        <v>45464</v>
      </c>
      <c r="D461" t="s">
        <v>23</v>
      </c>
      <c r="E461">
        <v>1000</v>
      </c>
      <c r="F461">
        <v>1229.5999999999999</v>
      </c>
      <c r="G461">
        <v>3.36</v>
      </c>
      <c r="H461">
        <v>1188285.4399999999</v>
      </c>
      <c r="I461" t="s">
        <v>1726</v>
      </c>
      <c r="J461">
        <v>985.58</v>
      </c>
      <c r="K461">
        <v>985580</v>
      </c>
      <c r="L461">
        <v>16296.73</v>
      </c>
      <c r="M461">
        <v>2105.9899999999998</v>
      </c>
      <c r="N461">
        <v>8231.31</v>
      </c>
      <c r="O461">
        <v>1012214.03</v>
      </c>
      <c r="P461">
        <v>202705.44</v>
      </c>
      <c r="Q461">
        <v>176071.41</v>
      </c>
      <c r="R461" t="s">
        <v>134</v>
      </c>
      <c r="S461">
        <v>0</v>
      </c>
      <c r="T461">
        <v>1188285.4399999999</v>
      </c>
      <c r="U461" t="s">
        <v>66</v>
      </c>
      <c r="V461" t="s">
        <v>12</v>
      </c>
      <c r="W461" t="s">
        <v>92</v>
      </c>
      <c r="X461" t="s">
        <v>123</v>
      </c>
      <c r="Y461" t="s">
        <v>22</v>
      </c>
      <c r="Z461">
        <v>1.22</v>
      </c>
      <c r="AA461">
        <f t="shared" si="21"/>
        <v>176071.41</v>
      </c>
      <c r="AB461">
        <f t="shared" si="22"/>
        <v>0.14817265622643666</v>
      </c>
      <c r="AC461">
        <f t="shared" si="23"/>
        <v>0</v>
      </c>
      <c r="AD461">
        <v>2024</v>
      </c>
      <c r="AE461">
        <v>6</v>
      </c>
      <c r="AF461" t="s">
        <v>111</v>
      </c>
      <c r="AG461" t="s">
        <v>148</v>
      </c>
    </row>
    <row r="462" spans="1:33">
      <c r="A462" t="s">
        <v>613</v>
      </c>
      <c r="B462">
        <v>45484</v>
      </c>
      <c r="C462">
        <v>45487</v>
      </c>
      <c r="D462" t="s">
        <v>21</v>
      </c>
      <c r="E462">
        <v>750</v>
      </c>
      <c r="F462">
        <v>833.16</v>
      </c>
      <c r="G462">
        <v>4.9400000000000004</v>
      </c>
      <c r="H462">
        <v>594001.42000000004</v>
      </c>
      <c r="I462" t="s">
        <v>1728</v>
      </c>
      <c r="J462">
        <v>731.13</v>
      </c>
      <c r="K462">
        <v>548347.5</v>
      </c>
      <c r="L462">
        <v>5070.76</v>
      </c>
      <c r="M462">
        <v>3501.6</v>
      </c>
      <c r="N462">
        <v>3977.9</v>
      </c>
      <c r="O462">
        <v>560897.76</v>
      </c>
      <c r="P462">
        <v>45653.919999999998</v>
      </c>
      <c r="Q462">
        <v>33103.660000000003</v>
      </c>
      <c r="R462" t="s">
        <v>65</v>
      </c>
      <c r="S462">
        <v>594001.42000000004</v>
      </c>
      <c r="T462">
        <v>0</v>
      </c>
      <c r="U462" t="s">
        <v>66</v>
      </c>
      <c r="V462" t="s">
        <v>6</v>
      </c>
      <c r="W462" t="s">
        <v>92</v>
      </c>
      <c r="X462" t="s">
        <v>159</v>
      </c>
      <c r="Y462" t="s">
        <v>30</v>
      </c>
      <c r="Z462">
        <v>0.39</v>
      </c>
      <c r="AA462">
        <f t="shared" si="21"/>
        <v>33103.660000000003</v>
      </c>
      <c r="AB462">
        <f t="shared" si="22"/>
        <v>5.5729934113625521E-2</v>
      </c>
      <c r="AC462">
        <f t="shared" si="23"/>
        <v>0</v>
      </c>
      <c r="AD462">
        <v>2024</v>
      </c>
      <c r="AE462">
        <v>7</v>
      </c>
      <c r="AF462" t="s">
        <v>69</v>
      </c>
      <c r="AG462" t="s">
        <v>70</v>
      </c>
    </row>
    <row r="463" spans="1:33">
      <c r="A463" t="s">
        <v>614</v>
      </c>
      <c r="B463">
        <v>45436</v>
      </c>
      <c r="C463">
        <v>45444</v>
      </c>
      <c r="D463" t="s">
        <v>21</v>
      </c>
      <c r="E463">
        <v>500</v>
      </c>
      <c r="F463">
        <v>857.06</v>
      </c>
      <c r="G463">
        <v>0.83</v>
      </c>
      <c r="H463">
        <v>424973.2</v>
      </c>
      <c r="I463" t="s">
        <v>1727</v>
      </c>
      <c r="J463">
        <v>668.06</v>
      </c>
      <c r="K463">
        <v>334030</v>
      </c>
      <c r="L463">
        <v>9552.1200000000008</v>
      </c>
      <c r="M463">
        <v>1293.5</v>
      </c>
      <c r="N463">
        <v>7625.17</v>
      </c>
      <c r="O463">
        <v>352500.79</v>
      </c>
      <c r="P463">
        <v>90943.2</v>
      </c>
      <c r="Q463">
        <v>72472.41</v>
      </c>
      <c r="R463" t="s">
        <v>65</v>
      </c>
      <c r="S463">
        <v>424973.2</v>
      </c>
      <c r="T463">
        <v>0</v>
      </c>
      <c r="U463" t="s">
        <v>66</v>
      </c>
      <c r="V463" t="s">
        <v>10</v>
      </c>
      <c r="W463" t="s">
        <v>92</v>
      </c>
      <c r="X463" t="s">
        <v>127</v>
      </c>
      <c r="Y463" t="s">
        <v>22</v>
      </c>
      <c r="Z463">
        <v>1.1200000000000001</v>
      </c>
      <c r="AA463">
        <f t="shared" si="21"/>
        <v>72472.41</v>
      </c>
      <c r="AB463">
        <f t="shared" si="22"/>
        <v>0.17053407132496826</v>
      </c>
      <c r="AC463">
        <f t="shared" si="23"/>
        <v>0</v>
      </c>
      <c r="AD463">
        <v>2024</v>
      </c>
      <c r="AE463">
        <v>5</v>
      </c>
      <c r="AF463" t="s">
        <v>76</v>
      </c>
      <c r="AG463" t="s">
        <v>77</v>
      </c>
    </row>
    <row r="464" spans="1:33">
      <c r="A464" t="s">
        <v>615</v>
      </c>
      <c r="B464">
        <v>45742</v>
      </c>
      <c r="C464">
        <v>45754</v>
      </c>
      <c r="D464" t="s">
        <v>21</v>
      </c>
      <c r="E464">
        <v>500</v>
      </c>
      <c r="F464">
        <v>920.89</v>
      </c>
      <c r="G464">
        <v>0.45</v>
      </c>
      <c r="H464">
        <v>458373</v>
      </c>
      <c r="I464" t="s">
        <v>1727</v>
      </c>
      <c r="J464">
        <v>730.01</v>
      </c>
      <c r="K464">
        <v>365005</v>
      </c>
      <c r="L464">
        <v>7119.39</v>
      </c>
      <c r="M464">
        <v>2293.88</v>
      </c>
      <c r="N464">
        <v>11403.5</v>
      </c>
      <c r="O464">
        <v>385821.77</v>
      </c>
      <c r="P464">
        <v>93368</v>
      </c>
      <c r="Q464">
        <v>72551.23</v>
      </c>
      <c r="R464" t="s">
        <v>65</v>
      </c>
      <c r="S464">
        <v>458373</v>
      </c>
      <c r="T464">
        <v>0</v>
      </c>
      <c r="U464" t="s">
        <v>73</v>
      </c>
      <c r="V464" t="s">
        <v>16</v>
      </c>
      <c r="W464" t="s">
        <v>74</v>
      </c>
      <c r="X464" t="s">
        <v>285</v>
      </c>
      <c r="Y464" t="s">
        <v>28</v>
      </c>
      <c r="Z464">
        <v>0.99</v>
      </c>
      <c r="AA464">
        <f t="shared" si="21"/>
        <v>72551.23</v>
      </c>
      <c r="AB464">
        <f t="shared" si="22"/>
        <v>0.15827989432187323</v>
      </c>
      <c r="AC464">
        <f t="shared" si="23"/>
        <v>0</v>
      </c>
      <c r="AD464">
        <v>2025</v>
      </c>
      <c r="AE464">
        <v>3</v>
      </c>
      <c r="AF464" t="s">
        <v>105</v>
      </c>
      <c r="AG464" t="s">
        <v>106</v>
      </c>
    </row>
    <row r="465" spans="1:33">
      <c r="A465" t="s">
        <v>616</v>
      </c>
      <c r="B465">
        <v>45590</v>
      </c>
      <c r="C465">
        <v>45600</v>
      </c>
      <c r="D465" t="s">
        <v>27</v>
      </c>
      <c r="E465">
        <v>50</v>
      </c>
      <c r="F465">
        <v>720.72</v>
      </c>
      <c r="G465">
        <v>1.95</v>
      </c>
      <c r="H465">
        <v>35333.300000000003</v>
      </c>
      <c r="I465" t="s">
        <v>1727</v>
      </c>
      <c r="J465">
        <v>586.76</v>
      </c>
      <c r="K465">
        <v>29338</v>
      </c>
      <c r="L465">
        <v>668.82</v>
      </c>
      <c r="M465">
        <v>107.65</v>
      </c>
      <c r="N465">
        <v>9639.1200000000008</v>
      </c>
      <c r="O465">
        <v>39753.589999999997</v>
      </c>
      <c r="P465">
        <v>5995.3</v>
      </c>
      <c r="Q465">
        <v>-4420.29</v>
      </c>
      <c r="R465" t="s">
        <v>65</v>
      </c>
      <c r="S465">
        <v>35333.300000000003</v>
      </c>
      <c r="T465">
        <v>0</v>
      </c>
      <c r="U465" t="s">
        <v>66</v>
      </c>
      <c r="V465" t="s">
        <v>12</v>
      </c>
      <c r="W465" t="s">
        <v>74</v>
      </c>
      <c r="X465" t="s">
        <v>375</v>
      </c>
      <c r="Y465" t="s">
        <v>30</v>
      </c>
      <c r="Z465">
        <v>1.22</v>
      </c>
      <c r="AA465">
        <f t="shared" si="21"/>
        <v>-4420.29</v>
      </c>
      <c r="AB465">
        <f t="shared" si="22"/>
        <v>-0.12510266519119356</v>
      </c>
      <c r="AC465">
        <f t="shared" si="23"/>
        <v>0</v>
      </c>
      <c r="AD465">
        <v>2024</v>
      </c>
      <c r="AE465">
        <v>10</v>
      </c>
      <c r="AF465" t="s">
        <v>138</v>
      </c>
      <c r="AG465" t="s">
        <v>139</v>
      </c>
    </row>
    <row r="466" spans="1:33">
      <c r="A466" t="s">
        <v>617</v>
      </c>
      <c r="B466">
        <v>45853</v>
      </c>
      <c r="C466">
        <v>45863</v>
      </c>
      <c r="D466" t="s">
        <v>21</v>
      </c>
      <c r="E466">
        <v>750</v>
      </c>
      <c r="F466">
        <v>855.86</v>
      </c>
      <c r="G466">
        <v>2.0099999999999998</v>
      </c>
      <c r="H466">
        <v>628992.91</v>
      </c>
      <c r="I466" t="s">
        <v>1726</v>
      </c>
      <c r="J466">
        <v>736.84</v>
      </c>
      <c r="K466">
        <v>552630</v>
      </c>
      <c r="L466">
        <v>6188.75</v>
      </c>
      <c r="M466">
        <v>1142.01</v>
      </c>
      <c r="N466">
        <v>4496.0600000000004</v>
      </c>
      <c r="O466">
        <v>564456.81999999995</v>
      </c>
      <c r="P466">
        <v>76362.91</v>
      </c>
      <c r="Q466">
        <v>64536.09</v>
      </c>
      <c r="R466" t="s">
        <v>85</v>
      </c>
      <c r="S466">
        <v>177376.57</v>
      </c>
      <c r="T466">
        <v>451616.34</v>
      </c>
      <c r="U466" t="s">
        <v>73</v>
      </c>
      <c r="V466" t="s">
        <v>10</v>
      </c>
      <c r="W466" t="s">
        <v>67</v>
      </c>
      <c r="X466" t="s">
        <v>108</v>
      </c>
      <c r="Y466" t="s">
        <v>22</v>
      </c>
      <c r="Z466">
        <v>1.8</v>
      </c>
      <c r="AA466">
        <f t="shared" si="21"/>
        <v>64536.09</v>
      </c>
      <c r="AB466">
        <f t="shared" si="22"/>
        <v>0.10260225349757916</v>
      </c>
      <c r="AC466">
        <f t="shared" si="23"/>
        <v>0</v>
      </c>
      <c r="AD466">
        <v>2025</v>
      </c>
      <c r="AE466">
        <v>7</v>
      </c>
      <c r="AF466" t="s">
        <v>69</v>
      </c>
      <c r="AG466" t="s">
        <v>151</v>
      </c>
    </row>
    <row r="467" spans="1:33">
      <c r="A467" t="s">
        <v>618</v>
      </c>
      <c r="B467">
        <v>45814</v>
      </c>
      <c r="C467">
        <v>45820</v>
      </c>
      <c r="D467" t="s">
        <v>21</v>
      </c>
      <c r="E467">
        <v>50</v>
      </c>
      <c r="F467">
        <v>817.87</v>
      </c>
      <c r="G467">
        <v>2.12</v>
      </c>
      <c r="H467">
        <v>40026.559999999998</v>
      </c>
      <c r="I467" t="s">
        <v>1726</v>
      </c>
      <c r="J467">
        <v>696.64</v>
      </c>
      <c r="K467">
        <v>34832</v>
      </c>
      <c r="L467">
        <v>530.55999999999995</v>
      </c>
      <c r="M467">
        <v>224.31</v>
      </c>
      <c r="N467">
        <v>8393.0300000000007</v>
      </c>
      <c r="O467">
        <v>43979.9</v>
      </c>
      <c r="P467">
        <v>5194.5600000000004</v>
      </c>
      <c r="Q467">
        <v>-3953.34</v>
      </c>
      <c r="R467" t="s">
        <v>65</v>
      </c>
      <c r="S467">
        <v>40026.559999999998</v>
      </c>
      <c r="T467">
        <v>0</v>
      </c>
      <c r="U467" t="s">
        <v>66</v>
      </c>
      <c r="V467" t="s">
        <v>14</v>
      </c>
      <c r="W467" t="s">
        <v>74</v>
      </c>
      <c r="X467" t="s">
        <v>375</v>
      </c>
      <c r="Y467" t="s">
        <v>30</v>
      </c>
      <c r="Z467">
        <v>0.44</v>
      </c>
      <c r="AA467">
        <f t="shared" si="21"/>
        <v>-3953.34</v>
      </c>
      <c r="AB467">
        <f t="shared" si="22"/>
        <v>-9.8767918102380031E-2</v>
      </c>
      <c r="AC467">
        <f t="shared" si="23"/>
        <v>0</v>
      </c>
      <c r="AD467">
        <v>2025</v>
      </c>
      <c r="AE467">
        <v>6</v>
      </c>
      <c r="AF467" t="s">
        <v>111</v>
      </c>
      <c r="AG467" t="s">
        <v>112</v>
      </c>
    </row>
    <row r="468" spans="1:33">
      <c r="A468" t="s">
        <v>619</v>
      </c>
      <c r="B468">
        <v>45608</v>
      </c>
      <c r="C468">
        <v>45617</v>
      </c>
      <c r="D468" t="s">
        <v>25</v>
      </c>
      <c r="E468">
        <v>1200</v>
      </c>
      <c r="F468">
        <v>1019.15</v>
      </c>
      <c r="G468">
        <v>2.04</v>
      </c>
      <c r="H468">
        <v>1198031.21</v>
      </c>
      <c r="I468" t="s">
        <v>1729</v>
      </c>
      <c r="J468">
        <v>715.55</v>
      </c>
      <c r="K468">
        <v>858660</v>
      </c>
      <c r="L468">
        <v>16351.91</v>
      </c>
      <c r="M468">
        <v>6535.06</v>
      </c>
      <c r="N468">
        <v>6100.15</v>
      </c>
      <c r="O468">
        <v>887647.12</v>
      </c>
      <c r="P468">
        <v>339371.21</v>
      </c>
      <c r="Q468">
        <v>310384.09000000003</v>
      </c>
      <c r="R468" t="s">
        <v>65</v>
      </c>
      <c r="S468">
        <v>1198031.21</v>
      </c>
      <c r="T468">
        <v>0</v>
      </c>
      <c r="U468" t="s">
        <v>66</v>
      </c>
      <c r="V468" t="s">
        <v>10</v>
      </c>
      <c r="W468" t="s">
        <v>67</v>
      </c>
      <c r="X468" t="s">
        <v>159</v>
      </c>
      <c r="Y468" t="s">
        <v>30</v>
      </c>
      <c r="Z468">
        <v>1.06</v>
      </c>
      <c r="AA468">
        <f t="shared" si="21"/>
        <v>310384.09000000003</v>
      </c>
      <c r="AB468">
        <f t="shared" si="22"/>
        <v>0.25907846758015596</v>
      </c>
      <c r="AC468">
        <f t="shared" si="23"/>
        <v>0</v>
      </c>
      <c r="AD468">
        <v>2024</v>
      </c>
      <c r="AE468">
        <v>11</v>
      </c>
      <c r="AF468" t="s">
        <v>128</v>
      </c>
      <c r="AG468" t="s">
        <v>129</v>
      </c>
    </row>
    <row r="469" spans="1:33">
      <c r="A469" t="s">
        <v>620</v>
      </c>
      <c r="B469">
        <v>45573</v>
      </c>
      <c r="C469">
        <v>45581</v>
      </c>
      <c r="D469" t="s">
        <v>21</v>
      </c>
      <c r="E469">
        <v>300</v>
      </c>
      <c r="F469">
        <v>936.53</v>
      </c>
      <c r="G469">
        <v>2.06</v>
      </c>
      <c r="H469">
        <v>275171.24</v>
      </c>
      <c r="I469" t="s">
        <v>1727</v>
      </c>
      <c r="J469">
        <v>694.84</v>
      </c>
      <c r="K469">
        <v>208452</v>
      </c>
      <c r="L469">
        <v>5045.08</v>
      </c>
      <c r="M469">
        <v>1563.56</v>
      </c>
      <c r="N469">
        <v>10647.04</v>
      </c>
      <c r="O469">
        <v>225707.68</v>
      </c>
      <c r="P469">
        <v>66719.240000000005</v>
      </c>
      <c r="Q469">
        <v>49463.56</v>
      </c>
      <c r="R469" t="s">
        <v>65</v>
      </c>
      <c r="S469">
        <v>275171.24</v>
      </c>
      <c r="T469">
        <v>0</v>
      </c>
      <c r="U469" t="s">
        <v>66</v>
      </c>
      <c r="V469" t="s">
        <v>6</v>
      </c>
      <c r="W469" t="s">
        <v>80</v>
      </c>
      <c r="X469" t="s">
        <v>125</v>
      </c>
      <c r="Y469" t="s">
        <v>24</v>
      </c>
      <c r="Z469">
        <v>0.27</v>
      </c>
      <c r="AA469">
        <f t="shared" si="21"/>
        <v>49463.56</v>
      </c>
      <c r="AB469">
        <f t="shared" si="22"/>
        <v>0.1797555587567945</v>
      </c>
      <c r="AC469">
        <f t="shared" si="23"/>
        <v>0</v>
      </c>
      <c r="AD469">
        <v>2024</v>
      </c>
      <c r="AE469">
        <v>10</v>
      </c>
      <c r="AF469" t="s">
        <v>138</v>
      </c>
      <c r="AG469" t="s">
        <v>139</v>
      </c>
    </row>
    <row r="470" spans="1:33">
      <c r="A470" t="s">
        <v>621</v>
      </c>
      <c r="B470">
        <v>45570</v>
      </c>
      <c r="C470">
        <v>45576</v>
      </c>
      <c r="D470" t="s">
        <v>25</v>
      </c>
      <c r="E470">
        <v>200</v>
      </c>
      <c r="F470">
        <v>1034.25</v>
      </c>
      <c r="G470">
        <v>2.12</v>
      </c>
      <c r="H470">
        <v>202464.78</v>
      </c>
      <c r="I470" t="s">
        <v>1727</v>
      </c>
      <c r="J470">
        <v>741.4</v>
      </c>
      <c r="K470">
        <v>148280</v>
      </c>
      <c r="L470">
        <v>4791.83</v>
      </c>
      <c r="M470">
        <v>726.42</v>
      </c>
      <c r="N470">
        <v>4586.93</v>
      </c>
      <c r="O470">
        <v>158385.18</v>
      </c>
      <c r="P470">
        <v>54184.78</v>
      </c>
      <c r="Q470">
        <v>44079.6</v>
      </c>
      <c r="R470" t="s">
        <v>65</v>
      </c>
      <c r="S470">
        <v>202464.78</v>
      </c>
      <c r="T470">
        <v>0</v>
      </c>
      <c r="U470" t="s">
        <v>66</v>
      </c>
      <c r="V470" t="s">
        <v>12</v>
      </c>
      <c r="W470" t="s">
        <v>67</v>
      </c>
      <c r="X470" t="s">
        <v>86</v>
      </c>
      <c r="Y470" t="s">
        <v>30</v>
      </c>
      <c r="Z470">
        <v>0.23</v>
      </c>
      <c r="AA470">
        <f t="shared" si="21"/>
        <v>44079.6</v>
      </c>
      <c r="AB470">
        <f t="shared" si="22"/>
        <v>0.21771490330318191</v>
      </c>
      <c r="AC470">
        <f t="shared" si="23"/>
        <v>0</v>
      </c>
      <c r="AD470">
        <v>2024</v>
      </c>
      <c r="AE470">
        <v>10</v>
      </c>
      <c r="AF470" t="s">
        <v>138</v>
      </c>
      <c r="AG470" t="s">
        <v>139</v>
      </c>
    </row>
    <row r="471" spans="1:33">
      <c r="A471" t="s">
        <v>622</v>
      </c>
      <c r="B471">
        <v>45478</v>
      </c>
      <c r="C471">
        <v>45489</v>
      </c>
      <c r="D471" t="s">
        <v>21</v>
      </c>
      <c r="E471">
        <v>100</v>
      </c>
      <c r="F471">
        <v>892.82</v>
      </c>
      <c r="G471">
        <v>1.98</v>
      </c>
      <c r="H471">
        <v>87514.22</v>
      </c>
      <c r="I471" t="s">
        <v>1728</v>
      </c>
      <c r="J471">
        <v>682.95</v>
      </c>
      <c r="K471">
        <v>68295</v>
      </c>
      <c r="L471">
        <v>872.09</v>
      </c>
      <c r="M471">
        <v>464.38</v>
      </c>
      <c r="N471">
        <v>10253.09</v>
      </c>
      <c r="O471">
        <v>79884.56</v>
      </c>
      <c r="P471">
        <v>19219.22</v>
      </c>
      <c r="Q471">
        <v>7629.66</v>
      </c>
      <c r="R471" t="s">
        <v>65</v>
      </c>
      <c r="S471">
        <v>87514.22</v>
      </c>
      <c r="T471">
        <v>0</v>
      </c>
      <c r="U471" t="s">
        <v>73</v>
      </c>
      <c r="V471" t="s">
        <v>14</v>
      </c>
      <c r="W471" t="s">
        <v>92</v>
      </c>
      <c r="X471" t="s">
        <v>93</v>
      </c>
      <c r="Y471" t="s">
        <v>26</v>
      </c>
      <c r="Z471">
        <v>1.3</v>
      </c>
      <c r="AA471">
        <f t="shared" si="21"/>
        <v>7629.66</v>
      </c>
      <c r="AB471">
        <f t="shared" si="22"/>
        <v>8.7181945974037126E-2</v>
      </c>
      <c r="AC471">
        <f t="shared" si="23"/>
        <v>0</v>
      </c>
      <c r="AD471">
        <v>2024</v>
      </c>
      <c r="AE471">
        <v>7</v>
      </c>
      <c r="AF471" t="s">
        <v>69</v>
      </c>
      <c r="AG471" t="s">
        <v>70</v>
      </c>
    </row>
    <row r="472" spans="1:33">
      <c r="A472" t="s">
        <v>623</v>
      </c>
      <c r="B472">
        <v>45910</v>
      </c>
      <c r="C472">
        <v>45914</v>
      </c>
      <c r="D472" t="s">
        <v>21</v>
      </c>
      <c r="E472">
        <v>300</v>
      </c>
      <c r="F472">
        <v>911.12</v>
      </c>
      <c r="G472">
        <v>0.47</v>
      </c>
      <c r="H472">
        <v>272051.32</v>
      </c>
      <c r="I472" t="s">
        <v>1726</v>
      </c>
      <c r="J472">
        <v>658.43</v>
      </c>
      <c r="K472">
        <v>197529</v>
      </c>
      <c r="L472">
        <v>2889.96</v>
      </c>
      <c r="M472">
        <v>1592.29</v>
      </c>
      <c r="N472">
        <v>9831.11</v>
      </c>
      <c r="O472">
        <v>211842.36</v>
      </c>
      <c r="P472">
        <v>74522.320000000007</v>
      </c>
      <c r="Q472">
        <v>60208.959999999999</v>
      </c>
      <c r="R472" t="s">
        <v>65</v>
      </c>
      <c r="S472">
        <v>272051.32</v>
      </c>
      <c r="T472">
        <v>0</v>
      </c>
      <c r="U472" t="s">
        <v>73</v>
      </c>
      <c r="V472" t="s">
        <v>6</v>
      </c>
      <c r="W472" t="s">
        <v>67</v>
      </c>
      <c r="X472" t="s">
        <v>127</v>
      </c>
      <c r="Y472" t="s">
        <v>22</v>
      </c>
      <c r="Z472">
        <v>1.72</v>
      </c>
      <c r="AA472">
        <f t="shared" si="21"/>
        <v>60208.959999999999</v>
      </c>
      <c r="AB472">
        <f t="shared" si="22"/>
        <v>0.22131471370916339</v>
      </c>
      <c r="AC472">
        <f t="shared" si="23"/>
        <v>0</v>
      </c>
      <c r="AD472">
        <v>2025</v>
      </c>
      <c r="AE472">
        <v>9</v>
      </c>
      <c r="AF472" t="s">
        <v>131</v>
      </c>
      <c r="AG472" t="s">
        <v>132</v>
      </c>
    </row>
    <row r="473" spans="1:33">
      <c r="A473" t="s">
        <v>624</v>
      </c>
      <c r="B473">
        <v>45749</v>
      </c>
      <c r="C473">
        <v>45757</v>
      </c>
      <c r="D473" t="s">
        <v>21</v>
      </c>
      <c r="E473">
        <v>300</v>
      </c>
      <c r="F473">
        <v>864.78</v>
      </c>
      <c r="G473">
        <v>0.94</v>
      </c>
      <c r="H473">
        <v>256995.32</v>
      </c>
      <c r="I473" t="s">
        <v>1728</v>
      </c>
      <c r="J473">
        <v>729.81</v>
      </c>
      <c r="K473">
        <v>218943</v>
      </c>
      <c r="L473">
        <v>5809.33</v>
      </c>
      <c r="M473">
        <v>1126.82</v>
      </c>
      <c r="N473">
        <v>705.12</v>
      </c>
      <c r="O473">
        <v>226584.27</v>
      </c>
      <c r="P473">
        <v>38052.32</v>
      </c>
      <c r="Q473">
        <v>30411.05</v>
      </c>
      <c r="R473" t="s">
        <v>134</v>
      </c>
      <c r="S473">
        <v>0</v>
      </c>
      <c r="T473">
        <v>256995.32</v>
      </c>
      <c r="U473" t="s">
        <v>66</v>
      </c>
      <c r="V473" t="s">
        <v>6</v>
      </c>
      <c r="W473" t="s">
        <v>80</v>
      </c>
      <c r="X473" t="s">
        <v>327</v>
      </c>
      <c r="Y473" t="s">
        <v>26</v>
      </c>
      <c r="Z473">
        <v>0.81</v>
      </c>
      <c r="AA473">
        <f t="shared" si="21"/>
        <v>30411.05</v>
      </c>
      <c r="AB473">
        <f t="shared" si="22"/>
        <v>0.11833308871149871</v>
      </c>
      <c r="AC473">
        <f t="shared" si="23"/>
        <v>0</v>
      </c>
      <c r="AD473">
        <v>2025</v>
      </c>
      <c r="AE473">
        <v>4</v>
      </c>
      <c r="AF473" t="s">
        <v>154</v>
      </c>
      <c r="AG473" t="s">
        <v>155</v>
      </c>
    </row>
    <row r="474" spans="1:33">
      <c r="A474" t="s">
        <v>625</v>
      </c>
      <c r="B474">
        <v>45896</v>
      </c>
      <c r="D474" t="s">
        <v>23</v>
      </c>
      <c r="E474">
        <v>1000</v>
      </c>
      <c r="F474">
        <v>1291.3699999999999</v>
      </c>
      <c r="G474">
        <v>3.88</v>
      </c>
      <c r="H474">
        <v>1241264.8400000001</v>
      </c>
      <c r="I474" t="s">
        <v>1727</v>
      </c>
      <c r="J474">
        <v>1011.44</v>
      </c>
      <c r="K474">
        <v>1011440</v>
      </c>
      <c r="L474">
        <v>7635.64</v>
      </c>
      <c r="M474">
        <v>4090.57</v>
      </c>
      <c r="N474">
        <v>902.31</v>
      </c>
      <c r="O474">
        <v>1024068.52</v>
      </c>
      <c r="P474">
        <v>229824.84</v>
      </c>
      <c r="Q474">
        <v>217196.32</v>
      </c>
      <c r="R474" t="s">
        <v>134</v>
      </c>
      <c r="S474">
        <v>0</v>
      </c>
      <c r="T474">
        <v>1241264.8400000001</v>
      </c>
      <c r="U474" t="s">
        <v>91</v>
      </c>
      <c r="V474" t="s">
        <v>10</v>
      </c>
      <c r="W474" t="s">
        <v>74</v>
      </c>
      <c r="X474" t="s">
        <v>150</v>
      </c>
      <c r="Y474" t="s">
        <v>30</v>
      </c>
      <c r="Z474">
        <v>1.95</v>
      </c>
      <c r="AA474">
        <f t="shared" si="21"/>
        <v>217196.32</v>
      </c>
      <c r="AB474">
        <f t="shared" si="22"/>
        <v>0.17497983750188234</v>
      </c>
      <c r="AC474">
        <f t="shared" si="23"/>
        <v>0</v>
      </c>
      <c r="AD474">
        <v>2025</v>
      </c>
      <c r="AE474">
        <v>8</v>
      </c>
      <c r="AF474" t="s">
        <v>82</v>
      </c>
      <c r="AG474" t="s">
        <v>87</v>
      </c>
    </row>
    <row r="475" spans="1:33">
      <c r="A475" t="s">
        <v>626</v>
      </c>
      <c r="B475">
        <v>45289</v>
      </c>
      <c r="D475" t="s">
        <v>21</v>
      </c>
      <c r="E475">
        <v>1000</v>
      </c>
      <c r="F475">
        <v>922.35</v>
      </c>
      <c r="G475">
        <v>3.75</v>
      </c>
      <c r="H475">
        <v>887761.88</v>
      </c>
      <c r="I475" t="s">
        <v>1727</v>
      </c>
      <c r="J475">
        <v>747.05</v>
      </c>
      <c r="K475">
        <v>747050</v>
      </c>
      <c r="L475">
        <v>12733.55</v>
      </c>
      <c r="M475">
        <v>2004.69</v>
      </c>
      <c r="N475">
        <v>8315.0499999999993</v>
      </c>
      <c r="O475">
        <v>770103.29</v>
      </c>
      <c r="P475">
        <v>140711.88</v>
      </c>
      <c r="Q475">
        <v>117658.59</v>
      </c>
      <c r="R475" t="s">
        <v>65</v>
      </c>
      <c r="S475">
        <v>887761.88</v>
      </c>
      <c r="T475">
        <v>0</v>
      </c>
      <c r="U475" t="s">
        <v>91</v>
      </c>
      <c r="V475" t="s">
        <v>6</v>
      </c>
      <c r="W475" t="s">
        <v>80</v>
      </c>
      <c r="X475" t="s">
        <v>182</v>
      </c>
      <c r="Y475" t="s">
        <v>26</v>
      </c>
      <c r="Z475">
        <v>2.1800000000000002</v>
      </c>
      <c r="AA475">
        <f t="shared" si="21"/>
        <v>117658.59</v>
      </c>
      <c r="AB475">
        <f t="shared" si="22"/>
        <v>0.13253395155917261</v>
      </c>
      <c r="AC475">
        <f t="shared" si="23"/>
        <v>0</v>
      </c>
      <c r="AD475">
        <v>2023</v>
      </c>
      <c r="AE475">
        <v>12</v>
      </c>
      <c r="AF475" t="s">
        <v>98</v>
      </c>
      <c r="AG475" t="s">
        <v>232</v>
      </c>
    </row>
    <row r="476" spans="1:33">
      <c r="A476" t="s">
        <v>627</v>
      </c>
      <c r="B476">
        <v>45473</v>
      </c>
      <c r="C476">
        <v>45475</v>
      </c>
      <c r="D476" t="s">
        <v>23</v>
      </c>
      <c r="E476">
        <v>100</v>
      </c>
      <c r="F476">
        <v>1260.6400000000001</v>
      </c>
      <c r="G476">
        <v>0.04</v>
      </c>
      <c r="H476">
        <v>126013.57</v>
      </c>
      <c r="I476" t="s">
        <v>1726</v>
      </c>
      <c r="J476">
        <v>1091.32</v>
      </c>
      <c r="K476">
        <v>109132</v>
      </c>
      <c r="L476">
        <v>1888.6</v>
      </c>
      <c r="M476">
        <v>189.54</v>
      </c>
      <c r="N476">
        <v>9809.34</v>
      </c>
      <c r="O476">
        <v>121019.48</v>
      </c>
      <c r="P476">
        <v>16881.57</v>
      </c>
      <c r="Q476">
        <v>4994.09</v>
      </c>
      <c r="R476" t="s">
        <v>65</v>
      </c>
      <c r="S476">
        <v>126013.57</v>
      </c>
      <c r="T476">
        <v>0</v>
      </c>
      <c r="U476" t="s">
        <v>66</v>
      </c>
      <c r="V476" t="s">
        <v>8</v>
      </c>
      <c r="W476" t="s">
        <v>80</v>
      </c>
      <c r="X476" t="s">
        <v>89</v>
      </c>
      <c r="Y476" t="s">
        <v>28</v>
      </c>
      <c r="Z476">
        <v>1.28</v>
      </c>
      <c r="AA476">
        <f t="shared" si="21"/>
        <v>4994.09</v>
      </c>
      <c r="AB476">
        <f t="shared" si="22"/>
        <v>3.9631366685349841E-2</v>
      </c>
      <c r="AC476">
        <f t="shared" si="23"/>
        <v>0</v>
      </c>
      <c r="AD476">
        <v>2024</v>
      </c>
      <c r="AE476">
        <v>6</v>
      </c>
      <c r="AF476" t="s">
        <v>111</v>
      </c>
      <c r="AG476" t="s">
        <v>148</v>
      </c>
    </row>
    <row r="477" spans="1:33">
      <c r="A477" t="s">
        <v>628</v>
      </c>
      <c r="B477">
        <v>45451</v>
      </c>
      <c r="C477">
        <v>45461</v>
      </c>
      <c r="D477" t="s">
        <v>21</v>
      </c>
      <c r="E477">
        <v>200</v>
      </c>
      <c r="F477">
        <v>870.01</v>
      </c>
      <c r="G477">
        <v>2.25</v>
      </c>
      <c r="H477">
        <v>170086.96</v>
      </c>
      <c r="I477" t="s">
        <v>1726</v>
      </c>
      <c r="J477">
        <v>685.04</v>
      </c>
      <c r="K477">
        <v>137008</v>
      </c>
      <c r="L477">
        <v>3360.57</v>
      </c>
      <c r="M477">
        <v>337.49</v>
      </c>
      <c r="N477">
        <v>6585.84</v>
      </c>
      <c r="O477">
        <v>147291.9</v>
      </c>
      <c r="P477">
        <v>33078.959999999999</v>
      </c>
      <c r="Q477">
        <v>22795.06</v>
      </c>
      <c r="R477" t="s">
        <v>65</v>
      </c>
      <c r="S477">
        <v>170086.96</v>
      </c>
      <c r="T477">
        <v>0</v>
      </c>
      <c r="U477" t="s">
        <v>66</v>
      </c>
      <c r="V477" t="s">
        <v>8</v>
      </c>
      <c r="W477" t="s">
        <v>74</v>
      </c>
      <c r="X477" t="s">
        <v>205</v>
      </c>
      <c r="Y477" t="s">
        <v>24</v>
      </c>
      <c r="Z477">
        <v>1.89</v>
      </c>
      <c r="AA477">
        <f t="shared" si="21"/>
        <v>22795.06</v>
      </c>
      <c r="AB477">
        <f t="shared" si="22"/>
        <v>0.1340200330466251</v>
      </c>
      <c r="AC477">
        <f t="shared" si="23"/>
        <v>0</v>
      </c>
      <c r="AD477">
        <v>2024</v>
      </c>
      <c r="AE477">
        <v>6</v>
      </c>
      <c r="AF477" t="s">
        <v>111</v>
      </c>
      <c r="AG477" t="s">
        <v>148</v>
      </c>
    </row>
    <row r="478" spans="1:33">
      <c r="A478" t="s">
        <v>629</v>
      </c>
      <c r="B478">
        <v>45737</v>
      </c>
      <c r="C478">
        <v>45744</v>
      </c>
      <c r="D478" t="s">
        <v>25</v>
      </c>
      <c r="E478">
        <v>50</v>
      </c>
      <c r="F478">
        <v>1007.93</v>
      </c>
      <c r="G478">
        <v>1.73</v>
      </c>
      <c r="H478">
        <v>49524.639999999999</v>
      </c>
      <c r="I478" t="s">
        <v>1727</v>
      </c>
      <c r="J478">
        <v>826.97</v>
      </c>
      <c r="K478">
        <v>41348.5</v>
      </c>
      <c r="L478">
        <v>765.61</v>
      </c>
      <c r="M478">
        <v>233.8</v>
      </c>
      <c r="N478">
        <v>1294.97</v>
      </c>
      <c r="O478">
        <v>43642.879999999997</v>
      </c>
      <c r="P478">
        <v>8176.14</v>
      </c>
      <c r="Q478">
        <v>5881.76</v>
      </c>
      <c r="R478" t="s">
        <v>134</v>
      </c>
      <c r="S478">
        <v>0</v>
      </c>
      <c r="T478">
        <v>49524.639999999999</v>
      </c>
      <c r="U478" t="s">
        <v>66</v>
      </c>
      <c r="V478" t="s">
        <v>10</v>
      </c>
      <c r="W478" t="s">
        <v>74</v>
      </c>
      <c r="X478" t="s">
        <v>75</v>
      </c>
      <c r="Y478" t="s">
        <v>28</v>
      </c>
      <c r="Z478">
        <v>0.44</v>
      </c>
      <c r="AA478">
        <f t="shared" si="21"/>
        <v>5881.76</v>
      </c>
      <c r="AB478">
        <f t="shared" si="22"/>
        <v>0.11876431610608376</v>
      </c>
      <c r="AC478">
        <f t="shared" si="23"/>
        <v>0</v>
      </c>
      <c r="AD478">
        <v>2025</v>
      </c>
      <c r="AE478">
        <v>3</v>
      </c>
      <c r="AF478" t="s">
        <v>105</v>
      </c>
      <c r="AG478" t="s">
        <v>106</v>
      </c>
    </row>
    <row r="479" spans="1:33">
      <c r="A479" t="s">
        <v>630</v>
      </c>
      <c r="B479">
        <v>45334</v>
      </c>
      <c r="D479" t="s">
        <v>21</v>
      </c>
      <c r="E479">
        <v>250</v>
      </c>
      <c r="F479">
        <v>891.81</v>
      </c>
      <c r="G479">
        <v>1.04</v>
      </c>
      <c r="H479">
        <v>220633.79</v>
      </c>
      <c r="I479" t="s">
        <v>1729</v>
      </c>
      <c r="J479">
        <v>738.86</v>
      </c>
      <c r="K479">
        <v>184715</v>
      </c>
      <c r="L479">
        <v>4020.31</v>
      </c>
      <c r="M479">
        <v>664.66</v>
      </c>
      <c r="N479">
        <v>2628.92</v>
      </c>
      <c r="O479">
        <v>192028.89</v>
      </c>
      <c r="P479">
        <v>35918.79</v>
      </c>
      <c r="Q479">
        <v>28604.9</v>
      </c>
      <c r="R479" t="s">
        <v>85</v>
      </c>
      <c r="S479">
        <v>63408.06</v>
      </c>
      <c r="T479">
        <v>157225.73000000001</v>
      </c>
      <c r="U479" t="s">
        <v>91</v>
      </c>
      <c r="V479" t="s">
        <v>12</v>
      </c>
      <c r="W479" t="s">
        <v>67</v>
      </c>
      <c r="X479" t="s">
        <v>101</v>
      </c>
      <c r="Y479" t="s">
        <v>22</v>
      </c>
      <c r="Z479">
        <v>0.68</v>
      </c>
      <c r="AA479">
        <f t="shared" si="21"/>
        <v>28604.9</v>
      </c>
      <c r="AB479">
        <f t="shared" si="22"/>
        <v>0.12964877229367269</v>
      </c>
      <c r="AC479">
        <f t="shared" si="23"/>
        <v>0</v>
      </c>
      <c r="AD479">
        <v>2024</v>
      </c>
      <c r="AE479">
        <v>2</v>
      </c>
      <c r="AF479" t="s">
        <v>172</v>
      </c>
      <c r="AG479" t="s">
        <v>173</v>
      </c>
    </row>
    <row r="480" spans="1:33">
      <c r="A480" t="s">
        <v>631</v>
      </c>
      <c r="B480">
        <v>45461</v>
      </c>
      <c r="C480">
        <v>45461</v>
      </c>
      <c r="D480" t="s">
        <v>23</v>
      </c>
      <c r="E480">
        <v>50</v>
      </c>
      <c r="F480">
        <v>1196.74</v>
      </c>
      <c r="G480">
        <v>1.86</v>
      </c>
      <c r="H480">
        <v>58724.03</v>
      </c>
      <c r="I480" t="s">
        <v>1728</v>
      </c>
      <c r="J480">
        <v>1012.06</v>
      </c>
      <c r="K480">
        <v>50603</v>
      </c>
      <c r="L480">
        <v>754.53</v>
      </c>
      <c r="M480">
        <v>157.93</v>
      </c>
      <c r="N480">
        <v>3071.66</v>
      </c>
      <c r="O480">
        <v>54587.12</v>
      </c>
      <c r="P480">
        <v>8121.03</v>
      </c>
      <c r="Q480">
        <v>4136.91</v>
      </c>
      <c r="R480" t="s">
        <v>85</v>
      </c>
      <c r="S480">
        <v>48731.040000000001</v>
      </c>
      <c r="T480">
        <v>9992.99</v>
      </c>
      <c r="U480" t="s">
        <v>66</v>
      </c>
      <c r="V480" t="s">
        <v>14</v>
      </c>
      <c r="W480" t="s">
        <v>67</v>
      </c>
      <c r="X480" t="s">
        <v>371</v>
      </c>
      <c r="Y480" t="s">
        <v>26</v>
      </c>
      <c r="Z480">
        <v>0.7</v>
      </c>
      <c r="AA480">
        <f t="shared" si="21"/>
        <v>4136.91</v>
      </c>
      <c r="AB480">
        <f t="shared" si="22"/>
        <v>7.0446629769789298E-2</v>
      </c>
      <c r="AC480">
        <f t="shared" si="23"/>
        <v>0</v>
      </c>
      <c r="AD480">
        <v>2024</v>
      </c>
      <c r="AE480">
        <v>6</v>
      </c>
      <c r="AF480" t="s">
        <v>111</v>
      </c>
      <c r="AG480" t="s">
        <v>148</v>
      </c>
    </row>
    <row r="481" spans="1:33">
      <c r="A481" t="s">
        <v>632</v>
      </c>
      <c r="B481">
        <v>45815</v>
      </c>
      <c r="C481">
        <v>45819</v>
      </c>
      <c r="D481" t="s">
        <v>27</v>
      </c>
      <c r="E481">
        <v>50</v>
      </c>
      <c r="F481">
        <v>755.4</v>
      </c>
      <c r="G481">
        <v>0.03</v>
      </c>
      <c r="H481">
        <v>37758.67</v>
      </c>
      <c r="I481" t="s">
        <v>1727</v>
      </c>
      <c r="J481">
        <v>562.49</v>
      </c>
      <c r="K481">
        <v>28124.5</v>
      </c>
      <c r="L481">
        <v>985.67</v>
      </c>
      <c r="M481">
        <v>251.52</v>
      </c>
      <c r="N481">
        <v>1510.71</v>
      </c>
      <c r="O481">
        <v>30872.400000000001</v>
      </c>
      <c r="P481">
        <v>9634.17</v>
      </c>
      <c r="Q481">
        <v>6886.27</v>
      </c>
      <c r="R481" t="s">
        <v>65</v>
      </c>
      <c r="S481">
        <v>37758.67</v>
      </c>
      <c r="T481">
        <v>0</v>
      </c>
      <c r="U481" t="s">
        <v>73</v>
      </c>
      <c r="V481" t="s">
        <v>12</v>
      </c>
      <c r="W481" t="s">
        <v>141</v>
      </c>
      <c r="X481" t="s">
        <v>115</v>
      </c>
      <c r="Y481" t="s">
        <v>22</v>
      </c>
      <c r="Z481">
        <v>1.25</v>
      </c>
      <c r="AA481">
        <f t="shared" si="21"/>
        <v>6886.27</v>
      </c>
      <c r="AB481">
        <f t="shared" si="22"/>
        <v>0.18237586228540362</v>
      </c>
      <c r="AC481">
        <f t="shared" si="23"/>
        <v>0</v>
      </c>
      <c r="AD481">
        <v>2025</v>
      </c>
      <c r="AE481">
        <v>6</v>
      </c>
      <c r="AF481" t="s">
        <v>111</v>
      </c>
      <c r="AG481" t="s">
        <v>112</v>
      </c>
    </row>
    <row r="482" spans="1:33">
      <c r="A482" t="s">
        <v>633</v>
      </c>
      <c r="B482">
        <v>45310</v>
      </c>
      <c r="C482">
        <v>45314</v>
      </c>
      <c r="D482" t="s">
        <v>21</v>
      </c>
      <c r="E482">
        <v>100</v>
      </c>
      <c r="F482">
        <v>822.61</v>
      </c>
      <c r="G482">
        <v>0.34</v>
      </c>
      <c r="H482">
        <v>81981.31</v>
      </c>
      <c r="I482" t="s">
        <v>1727</v>
      </c>
      <c r="J482">
        <v>648.79999999999995</v>
      </c>
      <c r="K482">
        <v>64880</v>
      </c>
      <c r="L482">
        <v>2315.15</v>
      </c>
      <c r="M482">
        <v>197.07</v>
      </c>
      <c r="N482">
        <v>5622.94</v>
      </c>
      <c r="O482">
        <v>73015.16</v>
      </c>
      <c r="P482">
        <v>17101.310000000001</v>
      </c>
      <c r="Q482">
        <v>8966.15</v>
      </c>
      <c r="R482" t="s">
        <v>65</v>
      </c>
      <c r="S482">
        <v>81981.31</v>
      </c>
      <c r="T482">
        <v>0</v>
      </c>
      <c r="U482" t="s">
        <v>66</v>
      </c>
      <c r="V482" t="s">
        <v>12</v>
      </c>
      <c r="W482" t="s">
        <v>80</v>
      </c>
      <c r="X482" t="s">
        <v>150</v>
      </c>
      <c r="Y482" t="s">
        <v>30</v>
      </c>
      <c r="Z482">
        <v>0.74</v>
      </c>
      <c r="AA482">
        <f t="shared" si="21"/>
        <v>8966.15</v>
      </c>
      <c r="AB482">
        <f t="shared" si="22"/>
        <v>0.10936822063467881</v>
      </c>
      <c r="AC482">
        <f t="shared" si="23"/>
        <v>0</v>
      </c>
      <c r="AD482">
        <v>2024</v>
      </c>
      <c r="AE482">
        <v>1</v>
      </c>
      <c r="AF482" t="s">
        <v>102</v>
      </c>
      <c r="AG482" t="s">
        <v>103</v>
      </c>
    </row>
    <row r="483" spans="1:33">
      <c r="A483" t="s">
        <v>634</v>
      </c>
      <c r="B483">
        <v>45862</v>
      </c>
      <c r="C483">
        <v>45868</v>
      </c>
      <c r="D483" t="s">
        <v>23</v>
      </c>
      <c r="E483">
        <v>200</v>
      </c>
      <c r="F483">
        <v>1182.8</v>
      </c>
      <c r="G483">
        <v>1.69</v>
      </c>
      <c r="H483">
        <v>232562.14</v>
      </c>
      <c r="I483" t="s">
        <v>1728</v>
      </c>
      <c r="J483">
        <v>973.82</v>
      </c>
      <c r="K483">
        <v>194764</v>
      </c>
      <c r="L483">
        <v>3752.76</v>
      </c>
      <c r="M483">
        <v>433.16</v>
      </c>
      <c r="N483">
        <v>10880.56</v>
      </c>
      <c r="O483">
        <v>209830.48</v>
      </c>
      <c r="P483">
        <v>37798.14</v>
      </c>
      <c r="Q483">
        <v>22731.66</v>
      </c>
      <c r="R483" t="s">
        <v>65</v>
      </c>
      <c r="S483">
        <v>232562.14</v>
      </c>
      <c r="T483">
        <v>0</v>
      </c>
      <c r="U483" t="s">
        <v>66</v>
      </c>
      <c r="V483" t="s">
        <v>10</v>
      </c>
      <c r="W483" t="s">
        <v>67</v>
      </c>
      <c r="X483" t="s">
        <v>195</v>
      </c>
      <c r="Y483" t="s">
        <v>26</v>
      </c>
      <c r="Z483">
        <v>1.81</v>
      </c>
      <c r="AA483">
        <f t="shared" si="21"/>
        <v>22731.66</v>
      </c>
      <c r="AB483">
        <f t="shared" si="22"/>
        <v>9.774445659985756E-2</v>
      </c>
      <c r="AC483">
        <f t="shared" si="23"/>
        <v>0</v>
      </c>
      <c r="AD483">
        <v>2025</v>
      </c>
      <c r="AE483">
        <v>7</v>
      </c>
      <c r="AF483" t="s">
        <v>69</v>
      </c>
      <c r="AG483" t="s">
        <v>151</v>
      </c>
    </row>
    <row r="484" spans="1:33">
      <c r="A484" t="s">
        <v>635</v>
      </c>
      <c r="B484">
        <v>45666</v>
      </c>
      <c r="C484">
        <v>45671</v>
      </c>
      <c r="D484" t="s">
        <v>23</v>
      </c>
      <c r="E484">
        <v>200</v>
      </c>
      <c r="F484">
        <v>1207.98</v>
      </c>
      <c r="G484">
        <v>0.87</v>
      </c>
      <c r="H484">
        <v>239494.11</v>
      </c>
      <c r="I484" t="s">
        <v>1727</v>
      </c>
      <c r="J484">
        <v>1038.52</v>
      </c>
      <c r="K484">
        <v>207704</v>
      </c>
      <c r="L484">
        <v>4011.36</v>
      </c>
      <c r="M484">
        <v>661.12</v>
      </c>
      <c r="N484">
        <v>1184.69</v>
      </c>
      <c r="O484">
        <v>213561.17</v>
      </c>
      <c r="P484">
        <v>31790.11</v>
      </c>
      <c r="Q484">
        <v>25932.94</v>
      </c>
      <c r="R484" t="s">
        <v>65</v>
      </c>
      <c r="S484">
        <v>239494.11</v>
      </c>
      <c r="T484">
        <v>0</v>
      </c>
      <c r="U484" t="s">
        <v>73</v>
      </c>
      <c r="V484" t="s">
        <v>8</v>
      </c>
      <c r="W484" t="s">
        <v>67</v>
      </c>
      <c r="X484" t="s">
        <v>224</v>
      </c>
      <c r="Y484" t="s">
        <v>31</v>
      </c>
      <c r="Z484">
        <v>0.59</v>
      </c>
      <c r="AA484">
        <f t="shared" si="21"/>
        <v>25932.94</v>
      </c>
      <c r="AB484">
        <f t="shared" si="22"/>
        <v>0.10828216192874221</v>
      </c>
      <c r="AC484">
        <f t="shared" si="23"/>
        <v>0</v>
      </c>
      <c r="AD484">
        <v>2025</v>
      </c>
      <c r="AE484">
        <v>1</v>
      </c>
      <c r="AF484" t="s">
        <v>102</v>
      </c>
      <c r="AG484" t="s">
        <v>118</v>
      </c>
    </row>
    <row r="485" spans="1:33">
      <c r="A485" t="s">
        <v>636</v>
      </c>
      <c r="B485">
        <v>45548</v>
      </c>
      <c r="C485">
        <v>45553</v>
      </c>
      <c r="D485" t="s">
        <v>23</v>
      </c>
      <c r="E485">
        <v>50</v>
      </c>
      <c r="F485">
        <v>1374.41</v>
      </c>
      <c r="G485">
        <v>2.39</v>
      </c>
      <c r="H485">
        <v>67078.080000000002</v>
      </c>
      <c r="I485" t="s">
        <v>1728</v>
      </c>
      <c r="J485">
        <v>1065.1600000000001</v>
      </c>
      <c r="K485">
        <v>53258</v>
      </c>
      <c r="L485">
        <v>325.7</v>
      </c>
      <c r="M485">
        <v>146.94</v>
      </c>
      <c r="N485">
        <v>7092.84</v>
      </c>
      <c r="O485">
        <v>60823.48</v>
      </c>
      <c r="P485">
        <v>13820.08</v>
      </c>
      <c r="Q485">
        <v>6254.6</v>
      </c>
      <c r="R485" t="s">
        <v>65</v>
      </c>
      <c r="S485">
        <v>67078.080000000002</v>
      </c>
      <c r="T485">
        <v>0</v>
      </c>
      <c r="U485" t="s">
        <v>66</v>
      </c>
      <c r="V485" t="s">
        <v>6</v>
      </c>
      <c r="W485" t="s">
        <v>80</v>
      </c>
      <c r="X485" t="s">
        <v>101</v>
      </c>
      <c r="Y485" t="s">
        <v>22</v>
      </c>
      <c r="Z485">
        <v>1.5</v>
      </c>
      <c r="AA485">
        <f t="shared" si="21"/>
        <v>6254.6</v>
      </c>
      <c r="AB485">
        <f t="shared" si="22"/>
        <v>9.3243575248426913E-2</v>
      </c>
      <c r="AC485">
        <f t="shared" si="23"/>
        <v>0</v>
      </c>
      <c r="AD485">
        <v>2024</v>
      </c>
      <c r="AE485">
        <v>9</v>
      </c>
      <c r="AF485" t="s">
        <v>131</v>
      </c>
      <c r="AG485" t="s">
        <v>188</v>
      </c>
    </row>
    <row r="486" spans="1:33">
      <c r="A486" t="s">
        <v>637</v>
      </c>
      <c r="B486">
        <v>45744</v>
      </c>
      <c r="D486" t="s">
        <v>27</v>
      </c>
      <c r="E486">
        <v>1000</v>
      </c>
      <c r="F486">
        <v>760.02</v>
      </c>
      <c r="G486">
        <v>1.02</v>
      </c>
      <c r="H486">
        <v>0</v>
      </c>
      <c r="I486" t="s">
        <v>1726</v>
      </c>
      <c r="J486">
        <v>532.41</v>
      </c>
      <c r="K486">
        <v>0</v>
      </c>
      <c r="L486">
        <v>0</v>
      </c>
      <c r="M486">
        <v>0</v>
      </c>
      <c r="N486">
        <v>0</v>
      </c>
      <c r="O486">
        <v>0</v>
      </c>
      <c r="P486">
        <v>0</v>
      </c>
      <c r="Q486">
        <v>0</v>
      </c>
      <c r="R486" t="s">
        <v>65</v>
      </c>
      <c r="S486">
        <v>0</v>
      </c>
      <c r="T486">
        <v>0</v>
      </c>
      <c r="U486" t="s">
        <v>117</v>
      </c>
      <c r="V486" t="s">
        <v>16</v>
      </c>
      <c r="W486" t="s">
        <v>67</v>
      </c>
      <c r="X486" t="s">
        <v>108</v>
      </c>
      <c r="Y486" t="s">
        <v>22</v>
      </c>
      <c r="Z486">
        <v>1.1100000000000001</v>
      </c>
      <c r="AA486">
        <f t="shared" si="21"/>
        <v>0</v>
      </c>
      <c r="AB486" t="e">
        <f t="shared" si="22"/>
        <v>#DIV/0!</v>
      </c>
      <c r="AC486">
        <f t="shared" si="23"/>
        <v>0</v>
      </c>
      <c r="AD486">
        <v>2025</v>
      </c>
      <c r="AE486">
        <v>3</v>
      </c>
      <c r="AF486" t="s">
        <v>105</v>
      </c>
      <c r="AG486" t="s">
        <v>106</v>
      </c>
    </row>
    <row r="487" spans="1:33">
      <c r="A487" t="s">
        <v>638</v>
      </c>
      <c r="B487">
        <v>45534</v>
      </c>
      <c r="C487">
        <v>45537</v>
      </c>
      <c r="D487" t="s">
        <v>21</v>
      </c>
      <c r="E487">
        <v>150</v>
      </c>
      <c r="F487">
        <v>930.76</v>
      </c>
      <c r="G487">
        <v>0.28000000000000003</v>
      </c>
      <c r="H487">
        <v>139223.07999999999</v>
      </c>
      <c r="I487" t="s">
        <v>1726</v>
      </c>
      <c r="J487">
        <v>695.72</v>
      </c>
      <c r="K487">
        <v>104358</v>
      </c>
      <c r="L487">
        <v>1796.55</v>
      </c>
      <c r="M487">
        <v>873.37</v>
      </c>
      <c r="N487">
        <v>3781.23</v>
      </c>
      <c r="O487">
        <v>110809.15</v>
      </c>
      <c r="P487">
        <v>34865.08</v>
      </c>
      <c r="Q487">
        <v>28413.93</v>
      </c>
      <c r="R487" t="s">
        <v>134</v>
      </c>
      <c r="S487">
        <v>0</v>
      </c>
      <c r="T487">
        <v>139223.07999999999</v>
      </c>
      <c r="U487" t="s">
        <v>66</v>
      </c>
      <c r="V487" t="s">
        <v>16</v>
      </c>
      <c r="W487" t="s">
        <v>67</v>
      </c>
      <c r="X487" t="s">
        <v>123</v>
      </c>
      <c r="Y487" t="s">
        <v>22</v>
      </c>
      <c r="Z487">
        <v>0.76</v>
      </c>
      <c r="AA487">
        <f t="shared" si="21"/>
        <v>28413.93</v>
      </c>
      <c r="AB487">
        <f t="shared" si="22"/>
        <v>0.20408922141357599</v>
      </c>
      <c r="AC487">
        <f t="shared" si="23"/>
        <v>0</v>
      </c>
      <c r="AD487">
        <v>2024</v>
      </c>
      <c r="AE487">
        <v>8</v>
      </c>
      <c r="AF487" t="s">
        <v>82</v>
      </c>
      <c r="AG487" t="s">
        <v>83</v>
      </c>
    </row>
    <row r="488" spans="1:33">
      <c r="A488" t="s">
        <v>639</v>
      </c>
      <c r="B488">
        <v>45489</v>
      </c>
      <c r="C488">
        <v>45496</v>
      </c>
      <c r="D488" t="s">
        <v>25</v>
      </c>
      <c r="E488">
        <v>200</v>
      </c>
      <c r="F488">
        <v>926.83</v>
      </c>
      <c r="G488">
        <v>0.97</v>
      </c>
      <c r="H488">
        <v>183567.95</v>
      </c>
      <c r="I488" t="s">
        <v>1727</v>
      </c>
      <c r="J488">
        <v>786.3</v>
      </c>
      <c r="K488">
        <v>157260</v>
      </c>
      <c r="L488">
        <v>1692.77</v>
      </c>
      <c r="M488">
        <v>359.9</v>
      </c>
      <c r="N488">
        <v>9711.1</v>
      </c>
      <c r="O488">
        <v>169023.77</v>
      </c>
      <c r="P488">
        <v>26307.95</v>
      </c>
      <c r="Q488">
        <v>14544.18</v>
      </c>
      <c r="R488" t="s">
        <v>65</v>
      </c>
      <c r="S488">
        <v>183567.95</v>
      </c>
      <c r="T488">
        <v>0</v>
      </c>
      <c r="U488" t="s">
        <v>66</v>
      </c>
      <c r="V488" t="s">
        <v>12</v>
      </c>
      <c r="W488" t="s">
        <v>80</v>
      </c>
      <c r="X488" t="s">
        <v>97</v>
      </c>
      <c r="Y488" t="s">
        <v>24</v>
      </c>
      <c r="Z488">
        <v>1.34</v>
      </c>
      <c r="AA488">
        <f t="shared" si="21"/>
        <v>14544.18</v>
      </c>
      <c r="AB488">
        <f t="shared" si="22"/>
        <v>7.9230497480633183E-2</v>
      </c>
      <c r="AC488">
        <f t="shared" si="23"/>
        <v>0</v>
      </c>
      <c r="AD488">
        <v>2024</v>
      </c>
      <c r="AE488">
        <v>7</v>
      </c>
      <c r="AF488" t="s">
        <v>69</v>
      </c>
      <c r="AG488" t="s">
        <v>70</v>
      </c>
    </row>
    <row r="489" spans="1:33">
      <c r="A489" t="s">
        <v>640</v>
      </c>
      <c r="B489">
        <v>45530</v>
      </c>
      <c r="C489">
        <v>45540</v>
      </c>
      <c r="D489" t="s">
        <v>23</v>
      </c>
      <c r="E489">
        <v>100</v>
      </c>
      <c r="F489">
        <v>1226.8499999999999</v>
      </c>
      <c r="G489">
        <v>1.67</v>
      </c>
      <c r="H489">
        <v>120636.16</v>
      </c>
      <c r="I489" t="s">
        <v>1727</v>
      </c>
      <c r="J489">
        <v>1114.2</v>
      </c>
      <c r="K489">
        <v>111420</v>
      </c>
      <c r="L489">
        <v>1172.42</v>
      </c>
      <c r="M489">
        <v>472.38</v>
      </c>
      <c r="N489">
        <v>5989.16</v>
      </c>
      <c r="O489">
        <v>119053.96</v>
      </c>
      <c r="P489">
        <v>9216.16</v>
      </c>
      <c r="Q489">
        <v>1582.2</v>
      </c>
      <c r="R489" t="s">
        <v>85</v>
      </c>
      <c r="S489">
        <v>43462.51</v>
      </c>
      <c r="T489">
        <v>77173.649999999994</v>
      </c>
      <c r="U489" t="s">
        <v>66</v>
      </c>
      <c r="V489" t="s">
        <v>16</v>
      </c>
      <c r="W489" t="s">
        <v>80</v>
      </c>
      <c r="X489" t="s">
        <v>93</v>
      </c>
      <c r="Y489" t="s">
        <v>26</v>
      </c>
      <c r="Z489">
        <v>0.63</v>
      </c>
      <c r="AA489">
        <f t="shared" si="21"/>
        <v>1582.2</v>
      </c>
      <c r="AB489">
        <f t="shared" si="22"/>
        <v>1.3115470518955511E-2</v>
      </c>
      <c r="AC489">
        <f t="shared" si="23"/>
        <v>0</v>
      </c>
      <c r="AD489">
        <v>2024</v>
      </c>
      <c r="AE489">
        <v>8</v>
      </c>
      <c r="AF489" t="s">
        <v>82</v>
      </c>
      <c r="AG489" t="s">
        <v>83</v>
      </c>
    </row>
    <row r="490" spans="1:33">
      <c r="A490" t="s">
        <v>641</v>
      </c>
      <c r="B490">
        <v>45622</v>
      </c>
      <c r="C490">
        <v>45633</v>
      </c>
      <c r="D490" t="s">
        <v>21</v>
      </c>
      <c r="E490">
        <v>100</v>
      </c>
      <c r="F490">
        <v>960.19</v>
      </c>
      <c r="G490">
        <v>1.33</v>
      </c>
      <c r="H490">
        <v>94741.95</v>
      </c>
      <c r="I490" t="s">
        <v>1727</v>
      </c>
      <c r="J490">
        <v>713.26</v>
      </c>
      <c r="K490">
        <v>71326</v>
      </c>
      <c r="L490">
        <v>1701.46</v>
      </c>
      <c r="M490">
        <v>404.28</v>
      </c>
      <c r="N490">
        <v>10409.6</v>
      </c>
      <c r="O490">
        <v>83841.34</v>
      </c>
      <c r="P490">
        <v>23415.95</v>
      </c>
      <c r="Q490">
        <v>10900.61</v>
      </c>
      <c r="R490" t="s">
        <v>85</v>
      </c>
      <c r="S490">
        <v>73727.22</v>
      </c>
      <c r="T490">
        <v>21014.73</v>
      </c>
      <c r="U490" t="s">
        <v>73</v>
      </c>
      <c r="V490" t="s">
        <v>8</v>
      </c>
      <c r="W490" t="s">
        <v>80</v>
      </c>
      <c r="X490" t="s">
        <v>205</v>
      </c>
      <c r="Y490" t="s">
        <v>24</v>
      </c>
      <c r="Z490">
        <v>0.33</v>
      </c>
      <c r="AA490">
        <f t="shared" si="21"/>
        <v>10900.61</v>
      </c>
      <c r="AB490">
        <f t="shared" si="22"/>
        <v>0.11505579101971197</v>
      </c>
      <c r="AC490">
        <f t="shared" si="23"/>
        <v>0</v>
      </c>
      <c r="AD490">
        <v>2024</v>
      </c>
      <c r="AE490">
        <v>11</v>
      </c>
      <c r="AF490" t="s">
        <v>128</v>
      </c>
      <c r="AG490" t="s">
        <v>129</v>
      </c>
    </row>
    <row r="491" spans="1:33">
      <c r="A491" t="s">
        <v>642</v>
      </c>
      <c r="B491">
        <v>45454</v>
      </c>
      <c r="C491">
        <v>45454</v>
      </c>
      <c r="D491" t="s">
        <v>25</v>
      </c>
      <c r="E491">
        <v>100</v>
      </c>
      <c r="F491">
        <v>1005.13</v>
      </c>
      <c r="G491">
        <v>2.4</v>
      </c>
      <c r="H491">
        <v>98100.69</v>
      </c>
      <c r="I491" t="s">
        <v>1728</v>
      </c>
      <c r="J491">
        <v>719.93</v>
      </c>
      <c r="K491">
        <v>71993</v>
      </c>
      <c r="L491">
        <v>2134.69</v>
      </c>
      <c r="M491">
        <v>330.52</v>
      </c>
      <c r="N491">
        <v>5562.98</v>
      </c>
      <c r="O491">
        <v>80021.19</v>
      </c>
      <c r="P491">
        <v>26107.69</v>
      </c>
      <c r="Q491">
        <v>18079.5</v>
      </c>
      <c r="R491" t="s">
        <v>134</v>
      </c>
      <c r="S491">
        <v>0</v>
      </c>
      <c r="T491">
        <v>98100.69</v>
      </c>
      <c r="U491" t="s">
        <v>66</v>
      </c>
      <c r="V491" t="s">
        <v>6</v>
      </c>
      <c r="W491" t="s">
        <v>67</v>
      </c>
      <c r="X491" t="s">
        <v>150</v>
      </c>
      <c r="Y491" t="s">
        <v>30</v>
      </c>
      <c r="Z491">
        <v>0.41</v>
      </c>
      <c r="AA491">
        <f t="shared" si="21"/>
        <v>18079.5</v>
      </c>
      <c r="AB491">
        <f t="shared" si="22"/>
        <v>0.18429533981871074</v>
      </c>
      <c r="AC491">
        <f t="shared" si="23"/>
        <v>0</v>
      </c>
      <c r="AD491">
        <v>2024</v>
      </c>
      <c r="AE491">
        <v>6</v>
      </c>
      <c r="AF491" t="s">
        <v>111</v>
      </c>
      <c r="AG491" t="s">
        <v>148</v>
      </c>
    </row>
    <row r="492" spans="1:33">
      <c r="A492" t="s">
        <v>643</v>
      </c>
      <c r="B492">
        <v>45948</v>
      </c>
      <c r="D492" t="s">
        <v>23</v>
      </c>
      <c r="E492">
        <v>500</v>
      </c>
      <c r="F492">
        <v>1241.71</v>
      </c>
      <c r="G492">
        <v>4.53</v>
      </c>
      <c r="H492">
        <v>592730.27</v>
      </c>
      <c r="I492" t="s">
        <v>1726</v>
      </c>
      <c r="J492">
        <v>1120.97</v>
      </c>
      <c r="K492">
        <v>560485</v>
      </c>
      <c r="L492">
        <v>7409.36</v>
      </c>
      <c r="M492">
        <v>2162.75</v>
      </c>
      <c r="N492">
        <v>7428.4</v>
      </c>
      <c r="O492">
        <v>577485.51</v>
      </c>
      <c r="P492">
        <v>32245.27</v>
      </c>
      <c r="Q492">
        <v>15244.76</v>
      </c>
      <c r="R492" t="s">
        <v>65</v>
      </c>
      <c r="S492">
        <v>592730.27</v>
      </c>
      <c r="T492">
        <v>0</v>
      </c>
      <c r="U492" t="s">
        <v>91</v>
      </c>
      <c r="V492" t="s">
        <v>14</v>
      </c>
      <c r="W492" t="s">
        <v>74</v>
      </c>
      <c r="X492" t="s">
        <v>285</v>
      </c>
      <c r="Y492" t="s">
        <v>28</v>
      </c>
      <c r="Z492">
        <v>0.05</v>
      </c>
      <c r="AA492">
        <f t="shared" si="21"/>
        <v>15244.76</v>
      </c>
      <c r="AB492">
        <f t="shared" si="22"/>
        <v>2.5719557059233705E-2</v>
      </c>
      <c r="AC492">
        <f t="shared" si="23"/>
        <v>0</v>
      </c>
      <c r="AD492">
        <v>2025</v>
      </c>
      <c r="AE492">
        <v>10</v>
      </c>
      <c r="AF492" t="s">
        <v>138</v>
      </c>
      <c r="AG492" t="s">
        <v>160</v>
      </c>
    </row>
    <row r="493" spans="1:33">
      <c r="A493" t="s">
        <v>644</v>
      </c>
      <c r="B493">
        <v>45876</v>
      </c>
      <c r="C493">
        <v>45889</v>
      </c>
      <c r="D493" t="s">
        <v>29</v>
      </c>
      <c r="E493">
        <v>100</v>
      </c>
      <c r="F493">
        <v>2856.75</v>
      </c>
      <c r="G493">
        <v>0.93</v>
      </c>
      <c r="H493">
        <v>283018.21999999997</v>
      </c>
      <c r="I493" t="s">
        <v>1727</v>
      </c>
      <c r="J493">
        <v>2311.6799999999998</v>
      </c>
      <c r="K493">
        <v>231168</v>
      </c>
      <c r="L493">
        <v>2372.4499999999998</v>
      </c>
      <c r="M493">
        <v>511.28</v>
      </c>
      <c r="N493">
        <v>8076.29</v>
      </c>
      <c r="O493">
        <v>242128.02</v>
      </c>
      <c r="P493">
        <v>51850.22</v>
      </c>
      <c r="Q493">
        <v>40890.199999999997</v>
      </c>
      <c r="R493" t="s">
        <v>65</v>
      </c>
      <c r="S493">
        <v>283018.21999999997</v>
      </c>
      <c r="T493">
        <v>0</v>
      </c>
      <c r="U493" t="s">
        <v>66</v>
      </c>
      <c r="V493" t="s">
        <v>16</v>
      </c>
      <c r="W493" t="s">
        <v>141</v>
      </c>
      <c r="X493" t="s">
        <v>150</v>
      </c>
      <c r="Y493" t="s">
        <v>30</v>
      </c>
      <c r="Z493">
        <v>0.53</v>
      </c>
      <c r="AA493">
        <f t="shared" si="21"/>
        <v>40890.199999999997</v>
      </c>
      <c r="AB493">
        <f t="shared" si="22"/>
        <v>0.14447903742734303</v>
      </c>
      <c r="AC493">
        <f t="shared" si="23"/>
        <v>0</v>
      </c>
      <c r="AD493">
        <v>2025</v>
      </c>
      <c r="AE493">
        <v>8</v>
      </c>
      <c r="AF493" t="s">
        <v>82</v>
      </c>
      <c r="AG493" t="s">
        <v>87</v>
      </c>
    </row>
    <row r="494" spans="1:33">
      <c r="A494" t="s">
        <v>645</v>
      </c>
      <c r="B494">
        <v>45302</v>
      </c>
      <c r="C494">
        <v>45308</v>
      </c>
      <c r="D494" t="s">
        <v>27</v>
      </c>
      <c r="E494">
        <v>50</v>
      </c>
      <c r="F494">
        <v>720.11</v>
      </c>
      <c r="G494">
        <v>1.96</v>
      </c>
      <c r="H494">
        <v>35299.79</v>
      </c>
      <c r="I494" t="s">
        <v>1726</v>
      </c>
      <c r="J494">
        <v>582.55999999999995</v>
      </c>
      <c r="K494">
        <v>29128</v>
      </c>
      <c r="L494">
        <v>952.1</v>
      </c>
      <c r="M494">
        <v>270.5</v>
      </c>
      <c r="N494">
        <v>9108.11</v>
      </c>
      <c r="O494">
        <v>39458.71</v>
      </c>
      <c r="P494">
        <v>6171.79</v>
      </c>
      <c r="Q494">
        <v>-4158.92</v>
      </c>
      <c r="R494" t="s">
        <v>85</v>
      </c>
      <c r="S494">
        <v>27312.71</v>
      </c>
      <c r="T494">
        <v>7987.08</v>
      </c>
      <c r="U494" t="s">
        <v>73</v>
      </c>
      <c r="V494" t="s">
        <v>10</v>
      </c>
      <c r="W494" t="s">
        <v>74</v>
      </c>
      <c r="X494" t="s">
        <v>75</v>
      </c>
      <c r="Y494" t="s">
        <v>28</v>
      </c>
      <c r="Z494">
        <v>0.68</v>
      </c>
      <c r="AA494">
        <f t="shared" si="21"/>
        <v>-4158.92</v>
      </c>
      <c r="AB494">
        <f t="shared" si="22"/>
        <v>-0.11781713149001737</v>
      </c>
      <c r="AC494">
        <f t="shared" si="23"/>
        <v>0</v>
      </c>
      <c r="AD494">
        <v>2024</v>
      </c>
      <c r="AE494">
        <v>1</v>
      </c>
      <c r="AF494" t="s">
        <v>102</v>
      </c>
      <c r="AG494" t="s">
        <v>103</v>
      </c>
    </row>
    <row r="495" spans="1:33">
      <c r="A495" t="s">
        <v>646</v>
      </c>
      <c r="B495">
        <v>45537</v>
      </c>
      <c r="C495">
        <v>45539</v>
      </c>
      <c r="D495" t="s">
        <v>25</v>
      </c>
      <c r="E495">
        <v>250</v>
      </c>
      <c r="F495">
        <v>968.41</v>
      </c>
      <c r="G495">
        <v>0.67</v>
      </c>
      <c r="H495">
        <v>240480.41</v>
      </c>
      <c r="I495" t="s">
        <v>1726</v>
      </c>
      <c r="J495">
        <v>772.83</v>
      </c>
      <c r="K495">
        <v>193207.5</v>
      </c>
      <c r="L495">
        <v>4363.12</v>
      </c>
      <c r="M495">
        <v>679.54</v>
      </c>
      <c r="N495">
        <v>5829.83</v>
      </c>
      <c r="O495">
        <v>204079.99</v>
      </c>
      <c r="P495">
        <v>47272.91</v>
      </c>
      <c r="Q495">
        <v>36400.42</v>
      </c>
      <c r="R495" t="s">
        <v>65</v>
      </c>
      <c r="S495">
        <v>240480.41</v>
      </c>
      <c r="T495">
        <v>0</v>
      </c>
      <c r="U495" t="s">
        <v>66</v>
      </c>
      <c r="V495" t="s">
        <v>8</v>
      </c>
      <c r="W495" t="s">
        <v>74</v>
      </c>
      <c r="X495" t="s">
        <v>375</v>
      </c>
      <c r="Y495" t="s">
        <v>30</v>
      </c>
      <c r="Z495">
        <v>1.67</v>
      </c>
      <c r="AA495">
        <f t="shared" si="21"/>
        <v>36400.42</v>
      </c>
      <c r="AB495">
        <f t="shared" si="22"/>
        <v>0.15136542722960261</v>
      </c>
      <c r="AC495">
        <f t="shared" si="23"/>
        <v>0</v>
      </c>
      <c r="AD495">
        <v>2024</v>
      </c>
      <c r="AE495">
        <v>9</v>
      </c>
      <c r="AF495" t="s">
        <v>131</v>
      </c>
      <c r="AG495" t="s">
        <v>188</v>
      </c>
    </row>
    <row r="496" spans="1:33">
      <c r="A496" t="s">
        <v>647</v>
      </c>
      <c r="B496">
        <v>45580</v>
      </c>
      <c r="C496">
        <v>45580</v>
      </c>
      <c r="D496" t="s">
        <v>23</v>
      </c>
      <c r="E496">
        <v>1000</v>
      </c>
      <c r="F496">
        <v>1341.22</v>
      </c>
      <c r="G496">
        <v>4.54</v>
      </c>
      <c r="H496">
        <v>1280328.6100000001</v>
      </c>
      <c r="I496" t="s">
        <v>1727</v>
      </c>
      <c r="J496">
        <v>1063.8</v>
      </c>
      <c r="K496">
        <v>1063800</v>
      </c>
      <c r="L496">
        <v>19202.43</v>
      </c>
      <c r="M496">
        <v>4701.79</v>
      </c>
      <c r="N496">
        <v>2129.75</v>
      </c>
      <c r="O496">
        <v>1089833.97</v>
      </c>
      <c r="P496">
        <v>216528.61</v>
      </c>
      <c r="Q496">
        <v>190494.64</v>
      </c>
      <c r="R496" t="s">
        <v>85</v>
      </c>
      <c r="S496">
        <v>983037.01</v>
      </c>
      <c r="T496">
        <v>297291.59999999998</v>
      </c>
      <c r="U496" t="s">
        <v>66</v>
      </c>
      <c r="V496" t="s">
        <v>12</v>
      </c>
      <c r="W496" t="s">
        <v>80</v>
      </c>
      <c r="X496" t="s">
        <v>101</v>
      </c>
      <c r="Y496" t="s">
        <v>22</v>
      </c>
      <c r="Z496">
        <v>1.69</v>
      </c>
      <c r="AA496">
        <f t="shared" si="21"/>
        <v>190494.64</v>
      </c>
      <c r="AB496">
        <f t="shared" si="22"/>
        <v>0.14878574024835703</v>
      </c>
      <c r="AC496">
        <f t="shared" si="23"/>
        <v>0</v>
      </c>
      <c r="AD496">
        <v>2024</v>
      </c>
      <c r="AE496">
        <v>10</v>
      </c>
      <c r="AF496" t="s">
        <v>138</v>
      </c>
      <c r="AG496" t="s">
        <v>139</v>
      </c>
    </row>
    <row r="497" spans="1:33">
      <c r="A497" t="s">
        <v>648</v>
      </c>
      <c r="B497">
        <v>45415</v>
      </c>
      <c r="C497">
        <v>45426</v>
      </c>
      <c r="D497" t="s">
        <v>23</v>
      </c>
      <c r="E497">
        <v>1200</v>
      </c>
      <c r="F497">
        <v>1250.9100000000001</v>
      </c>
      <c r="G497">
        <v>2.99</v>
      </c>
      <c r="H497">
        <v>1456209.35</v>
      </c>
      <c r="I497" t="s">
        <v>1727</v>
      </c>
      <c r="J497">
        <v>1061.46</v>
      </c>
      <c r="K497">
        <v>1273752</v>
      </c>
      <c r="L497">
        <v>8550.2900000000009</v>
      </c>
      <c r="M497">
        <v>4927.07</v>
      </c>
      <c r="N497">
        <v>5184.38</v>
      </c>
      <c r="O497">
        <v>1292413.74</v>
      </c>
      <c r="P497">
        <v>182457.35</v>
      </c>
      <c r="Q497">
        <v>163795.60999999999</v>
      </c>
      <c r="R497" t="s">
        <v>65</v>
      </c>
      <c r="S497">
        <v>1456209.35</v>
      </c>
      <c r="T497">
        <v>0</v>
      </c>
      <c r="U497" t="s">
        <v>73</v>
      </c>
      <c r="V497" t="s">
        <v>6</v>
      </c>
      <c r="W497" t="s">
        <v>80</v>
      </c>
      <c r="X497" t="s">
        <v>176</v>
      </c>
      <c r="Y497" t="s">
        <v>22</v>
      </c>
      <c r="Z497">
        <v>2.2000000000000002</v>
      </c>
      <c r="AA497">
        <f t="shared" si="21"/>
        <v>163795.60999999999</v>
      </c>
      <c r="AB497">
        <f t="shared" si="22"/>
        <v>0.11248081191073246</v>
      </c>
      <c r="AC497">
        <f t="shared" si="23"/>
        <v>0</v>
      </c>
      <c r="AD497">
        <v>2024</v>
      </c>
      <c r="AE497">
        <v>5</v>
      </c>
      <c r="AF497" t="s">
        <v>76</v>
      </c>
      <c r="AG497" t="s">
        <v>77</v>
      </c>
    </row>
    <row r="498" spans="1:33">
      <c r="A498" t="s">
        <v>649</v>
      </c>
      <c r="B498">
        <v>45638</v>
      </c>
      <c r="C498">
        <v>45648</v>
      </c>
      <c r="D498" t="s">
        <v>21</v>
      </c>
      <c r="E498">
        <v>100</v>
      </c>
      <c r="F498">
        <v>963.45</v>
      </c>
      <c r="G498">
        <v>1.89</v>
      </c>
      <c r="H498">
        <v>94524.08</v>
      </c>
      <c r="I498" t="s">
        <v>1726</v>
      </c>
      <c r="J498">
        <v>681.59</v>
      </c>
      <c r="K498">
        <v>68159</v>
      </c>
      <c r="L498">
        <v>2397.9</v>
      </c>
      <c r="M498">
        <v>585.41999999999996</v>
      </c>
      <c r="N498">
        <v>4709.41</v>
      </c>
      <c r="O498">
        <v>75851.73</v>
      </c>
      <c r="P498">
        <v>26365.08</v>
      </c>
      <c r="Q498">
        <v>18672.349999999999</v>
      </c>
      <c r="R498" t="s">
        <v>65</v>
      </c>
      <c r="S498">
        <v>94524.08</v>
      </c>
      <c r="T498">
        <v>0</v>
      </c>
      <c r="U498" t="s">
        <v>73</v>
      </c>
      <c r="V498" t="s">
        <v>6</v>
      </c>
      <c r="W498" t="s">
        <v>74</v>
      </c>
      <c r="X498" t="s">
        <v>275</v>
      </c>
      <c r="Y498" t="s">
        <v>31</v>
      </c>
      <c r="Z498">
        <v>1.99</v>
      </c>
      <c r="AA498">
        <f t="shared" si="21"/>
        <v>18672.349999999999</v>
      </c>
      <c r="AB498">
        <f t="shared" si="22"/>
        <v>0.19754066900201514</v>
      </c>
      <c r="AC498">
        <f t="shared" si="23"/>
        <v>0</v>
      </c>
      <c r="AD498">
        <v>2024</v>
      </c>
      <c r="AE498">
        <v>12</v>
      </c>
      <c r="AF498" t="s">
        <v>98</v>
      </c>
      <c r="AG498" t="s">
        <v>99</v>
      </c>
    </row>
    <row r="499" spans="1:33">
      <c r="A499" t="s">
        <v>650</v>
      </c>
      <c r="B499">
        <v>45364</v>
      </c>
      <c r="C499">
        <v>45367</v>
      </c>
      <c r="D499" t="s">
        <v>23</v>
      </c>
      <c r="E499">
        <v>1000</v>
      </c>
      <c r="F499">
        <v>1383.72</v>
      </c>
      <c r="G499">
        <v>2.4500000000000002</v>
      </c>
      <c r="H499">
        <v>1349818.86</v>
      </c>
      <c r="I499" t="s">
        <v>1726</v>
      </c>
      <c r="J499">
        <v>1074.07</v>
      </c>
      <c r="K499">
        <v>1074070</v>
      </c>
      <c r="L499">
        <v>10060.94</v>
      </c>
      <c r="M499">
        <v>2890.36</v>
      </c>
      <c r="N499">
        <v>10438.99</v>
      </c>
      <c r="O499">
        <v>1097460.29</v>
      </c>
      <c r="P499">
        <v>275748.86</v>
      </c>
      <c r="Q499">
        <v>252358.57</v>
      </c>
      <c r="R499" t="s">
        <v>65</v>
      </c>
      <c r="S499">
        <v>1349818.86</v>
      </c>
      <c r="T499">
        <v>0</v>
      </c>
      <c r="U499" t="s">
        <v>66</v>
      </c>
      <c r="V499" t="s">
        <v>16</v>
      </c>
      <c r="W499" t="s">
        <v>74</v>
      </c>
      <c r="X499" t="s">
        <v>108</v>
      </c>
      <c r="Y499" t="s">
        <v>22</v>
      </c>
      <c r="Z499">
        <v>0.99</v>
      </c>
      <c r="AA499">
        <f t="shared" si="21"/>
        <v>252358.57</v>
      </c>
      <c r="AB499">
        <f t="shared" si="22"/>
        <v>0.18695735959712401</v>
      </c>
      <c r="AC499">
        <f t="shared" si="23"/>
        <v>0</v>
      </c>
      <c r="AD499">
        <v>2024</v>
      </c>
      <c r="AE499">
        <v>3</v>
      </c>
      <c r="AF499" t="s">
        <v>105</v>
      </c>
      <c r="AG499" t="s">
        <v>120</v>
      </c>
    </row>
    <row r="500" spans="1:33">
      <c r="A500" t="s">
        <v>651</v>
      </c>
      <c r="B500">
        <v>45396</v>
      </c>
      <c r="C500">
        <v>45409</v>
      </c>
      <c r="D500" t="s">
        <v>21</v>
      </c>
      <c r="E500">
        <v>500</v>
      </c>
      <c r="F500">
        <v>904.55</v>
      </c>
      <c r="G500">
        <v>1.04</v>
      </c>
      <c r="H500">
        <v>447571.34</v>
      </c>
      <c r="I500" t="s">
        <v>1726</v>
      </c>
      <c r="J500">
        <v>681.45</v>
      </c>
      <c r="K500">
        <v>340725</v>
      </c>
      <c r="L500">
        <v>7679.92</v>
      </c>
      <c r="M500">
        <v>1116.71</v>
      </c>
      <c r="N500">
        <v>579.95000000000005</v>
      </c>
      <c r="O500">
        <v>350101.58</v>
      </c>
      <c r="P500">
        <v>106846.34</v>
      </c>
      <c r="Q500">
        <v>97469.759999999995</v>
      </c>
      <c r="R500" t="s">
        <v>85</v>
      </c>
      <c r="S500">
        <v>188867.21</v>
      </c>
      <c r="T500">
        <v>258704.13</v>
      </c>
      <c r="U500" t="s">
        <v>66</v>
      </c>
      <c r="V500" t="s">
        <v>6</v>
      </c>
      <c r="W500" t="s">
        <v>141</v>
      </c>
      <c r="X500" t="s">
        <v>208</v>
      </c>
      <c r="Y500" t="s">
        <v>26</v>
      </c>
      <c r="Z500">
        <v>2.0499999999999998</v>
      </c>
      <c r="AA500">
        <f t="shared" si="21"/>
        <v>97469.759999999995</v>
      </c>
      <c r="AB500">
        <f t="shared" si="22"/>
        <v>0.21777480211311115</v>
      </c>
      <c r="AC500">
        <f t="shared" si="23"/>
        <v>0</v>
      </c>
      <c r="AD500">
        <v>2024</v>
      </c>
      <c r="AE500">
        <v>4</v>
      </c>
      <c r="AF500" t="s">
        <v>154</v>
      </c>
      <c r="AG500" t="s">
        <v>157</v>
      </c>
    </row>
    <row r="501" spans="1:33">
      <c r="A501" t="s">
        <v>652</v>
      </c>
      <c r="B501">
        <v>45922</v>
      </c>
      <c r="C501">
        <v>45928</v>
      </c>
      <c r="D501" t="s">
        <v>21</v>
      </c>
      <c r="E501">
        <v>50</v>
      </c>
      <c r="F501">
        <v>901.93</v>
      </c>
      <c r="G501">
        <v>1.51</v>
      </c>
      <c r="H501">
        <v>44415.54</v>
      </c>
      <c r="I501" t="s">
        <v>1726</v>
      </c>
      <c r="J501">
        <v>709.5</v>
      </c>
      <c r="K501">
        <v>35475</v>
      </c>
      <c r="L501">
        <v>706.09</v>
      </c>
      <c r="M501">
        <v>131.96</v>
      </c>
      <c r="N501">
        <v>1399.03</v>
      </c>
      <c r="O501">
        <v>37712.080000000002</v>
      </c>
      <c r="P501">
        <v>8940.5400000000009</v>
      </c>
      <c r="Q501">
        <v>6703.46</v>
      </c>
      <c r="R501" t="s">
        <v>65</v>
      </c>
      <c r="S501">
        <v>44415.54</v>
      </c>
      <c r="T501">
        <v>0</v>
      </c>
      <c r="U501" t="s">
        <v>73</v>
      </c>
      <c r="V501" t="s">
        <v>6</v>
      </c>
      <c r="W501" t="s">
        <v>80</v>
      </c>
      <c r="X501" t="s">
        <v>108</v>
      </c>
      <c r="Y501" t="s">
        <v>22</v>
      </c>
      <c r="Z501">
        <v>0.52</v>
      </c>
      <c r="AA501">
        <f t="shared" si="21"/>
        <v>6703.46</v>
      </c>
      <c r="AB501">
        <f t="shared" si="22"/>
        <v>0.15092600472717432</v>
      </c>
      <c r="AC501">
        <f t="shared" si="23"/>
        <v>0</v>
      </c>
      <c r="AD501">
        <v>2025</v>
      </c>
      <c r="AE501">
        <v>9</v>
      </c>
      <c r="AF501" t="s">
        <v>131</v>
      </c>
      <c r="AG501" t="s">
        <v>132</v>
      </c>
    </row>
    <row r="502" spans="1:33">
      <c r="A502" t="s">
        <v>653</v>
      </c>
      <c r="B502">
        <v>45564</v>
      </c>
      <c r="C502">
        <v>45572</v>
      </c>
      <c r="D502" t="s">
        <v>23</v>
      </c>
      <c r="E502">
        <v>1000</v>
      </c>
      <c r="F502">
        <v>1367.95</v>
      </c>
      <c r="G502">
        <v>4.03</v>
      </c>
      <c r="H502">
        <v>1312821.6200000001</v>
      </c>
      <c r="I502" t="s">
        <v>1726</v>
      </c>
      <c r="J502">
        <v>1074.54</v>
      </c>
      <c r="K502">
        <v>1074540</v>
      </c>
      <c r="L502">
        <v>7037.04</v>
      </c>
      <c r="M502">
        <v>5383.89</v>
      </c>
      <c r="N502">
        <v>5024.84</v>
      </c>
      <c r="O502">
        <v>1091985.77</v>
      </c>
      <c r="P502">
        <v>238281.62</v>
      </c>
      <c r="Q502">
        <v>220835.85</v>
      </c>
      <c r="R502" t="s">
        <v>85</v>
      </c>
      <c r="S502">
        <v>1066966.99</v>
      </c>
      <c r="T502">
        <v>245854.63</v>
      </c>
      <c r="U502" t="s">
        <v>73</v>
      </c>
      <c r="V502" t="s">
        <v>14</v>
      </c>
      <c r="W502" t="s">
        <v>74</v>
      </c>
      <c r="X502" t="s">
        <v>108</v>
      </c>
      <c r="Y502" t="s">
        <v>22</v>
      </c>
      <c r="Z502">
        <v>1.73</v>
      </c>
      <c r="AA502">
        <f t="shared" si="21"/>
        <v>220835.85</v>
      </c>
      <c r="AB502">
        <f t="shared" si="22"/>
        <v>0.1682146657517721</v>
      </c>
      <c r="AC502">
        <f t="shared" si="23"/>
        <v>0</v>
      </c>
      <c r="AD502">
        <v>2024</v>
      </c>
      <c r="AE502">
        <v>9</v>
      </c>
      <c r="AF502" t="s">
        <v>131</v>
      </c>
      <c r="AG502" t="s">
        <v>188</v>
      </c>
    </row>
    <row r="503" spans="1:33">
      <c r="A503" t="s">
        <v>654</v>
      </c>
      <c r="B503">
        <v>45385</v>
      </c>
      <c r="C503">
        <v>45395</v>
      </c>
      <c r="D503" t="s">
        <v>21</v>
      </c>
      <c r="E503">
        <v>300</v>
      </c>
      <c r="F503">
        <v>946.04</v>
      </c>
      <c r="G503">
        <v>2.4700000000000002</v>
      </c>
      <c r="H503">
        <v>276801.84000000003</v>
      </c>
      <c r="I503" t="s">
        <v>1729</v>
      </c>
      <c r="J503">
        <v>717.79</v>
      </c>
      <c r="K503">
        <v>215337</v>
      </c>
      <c r="L503">
        <v>1931.46</v>
      </c>
      <c r="M503">
        <v>477.26</v>
      </c>
      <c r="N503">
        <v>4921.8500000000004</v>
      </c>
      <c r="O503">
        <v>222667.57</v>
      </c>
      <c r="P503">
        <v>61464.84</v>
      </c>
      <c r="Q503">
        <v>54134.27</v>
      </c>
      <c r="R503" t="s">
        <v>65</v>
      </c>
      <c r="S503">
        <v>276801.84000000003</v>
      </c>
      <c r="T503">
        <v>0</v>
      </c>
      <c r="U503" t="s">
        <v>66</v>
      </c>
      <c r="V503" t="s">
        <v>16</v>
      </c>
      <c r="W503" t="s">
        <v>92</v>
      </c>
      <c r="X503" t="s">
        <v>110</v>
      </c>
      <c r="Y503" t="s">
        <v>28</v>
      </c>
      <c r="Z503">
        <v>1.4</v>
      </c>
      <c r="AA503">
        <f t="shared" si="21"/>
        <v>54134.27</v>
      </c>
      <c r="AB503">
        <f t="shared" si="22"/>
        <v>0.19557048464706733</v>
      </c>
      <c r="AC503">
        <f t="shared" si="23"/>
        <v>0</v>
      </c>
      <c r="AD503">
        <v>2024</v>
      </c>
      <c r="AE503">
        <v>4</v>
      </c>
      <c r="AF503" t="s">
        <v>154</v>
      </c>
      <c r="AG503" t="s">
        <v>157</v>
      </c>
    </row>
    <row r="504" spans="1:33">
      <c r="A504" t="s">
        <v>655</v>
      </c>
      <c r="B504">
        <v>45974</v>
      </c>
      <c r="C504">
        <v>45985</v>
      </c>
      <c r="D504" t="s">
        <v>27</v>
      </c>
      <c r="E504">
        <v>1000</v>
      </c>
      <c r="F504">
        <v>773.18</v>
      </c>
      <c r="G504">
        <v>0.24</v>
      </c>
      <c r="H504">
        <v>771324.37</v>
      </c>
      <c r="I504" t="s">
        <v>1726</v>
      </c>
      <c r="J504">
        <v>597.29</v>
      </c>
      <c r="K504">
        <v>597290</v>
      </c>
      <c r="L504">
        <v>10255.33</v>
      </c>
      <c r="M504">
        <v>3238.51</v>
      </c>
      <c r="N504">
        <v>5241.3500000000004</v>
      </c>
      <c r="O504">
        <v>616025.18999999994</v>
      </c>
      <c r="P504">
        <v>174034.37</v>
      </c>
      <c r="Q504">
        <v>155299.18</v>
      </c>
      <c r="R504" t="s">
        <v>85</v>
      </c>
      <c r="S504">
        <v>628651.81999999995</v>
      </c>
      <c r="T504">
        <v>142672.54999999999</v>
      </c>
      <c r="U504" t="s">
        <v>66</v>
      </c>
      <c r="V504" t="s">
        <v>6</v>
      </c>
      <c r="W504" t="s">
        <v>92</v>
      </c>
      <c r="X504" t="s">
        <v>176</v>
      </c>
      <c r="Y504" t="s">
        <v>22</v>
      </c>
      <c r="Z504">
        <v>1.93</v>
      </c>
      <c r="AA504">
        <f t="shared" si="21"/>
        <v>155299.18</v>
      </c>
      <c r="AB504">
        <f t="shared" si="22"/>
        <v>0.20134094816685227</v>
      </c>
      <c r="AC504">
        <f t="shared" si="23"/>
        <v>0</v>
      </c>
      <c r="AD504">
        <v>2025</v>
      </c>
      <c r="AE504">
        <v>11</v>
      </c>
      <c r="AF504" t="s">
        <v>128</v>
      </c>
      <c r="AG504" t="s">
        <v>135</v>
      </c>
    </row>
    <row r="505" spans="1:33">
      <c r="A505" t="s">
        <v>656</v>
      </c>
      <c r="B505">
        <v>45486</v>
      </c>
      <c r="C505">
        <v>45495</v>
      </c>
      <c r="D505" t="s">
        <v>21</v>
      </c>
      <c r="E505">
        <v>150</v>
      </c>
      <c r="F505">
        <v>891.15</v>
      </c>
      <c r="G505">
        <v>2.0499999999999998</v>
      </c>
      <c r="H505">
        <v>130932.21</v>
      </c>
      <c r="I505" t="s">
        <v>1727</v>
      </c>
      <c r="J505">
        <v>662.54</v>
      </c>
      <c r="K505">
        <v>99381</v>
      </c>
      <c r="L505">
        <v>845.18</v>
      </c>
      <c r="M505">
        <v>701.31</v>
      </c>
      <c r="N505">
        <v>8276.4699999999993</v>
      </c>
      <c r="O505">
        <v>109203.96</v>
      </c>
      <c r="P505">
        <v>31551.21</v>
      </c>
      <c r="Q505">
        <v>21728.25</v>
      </c>
      <c r="R505" t="s">
        <v>65</v>
      </c>
      <c r="S505">
        <v>130932.21</v>
      </c>
      <c r="T505">
        <v>0</v>
      </c>
      <c r="U505" t="s">
        <v>66</v>
      </c>
      <c r="V505" t="s">
        <v>10</v>
      </c>
      <c r="W505" t="s">
        <v>74</v>
      </c>
      <c r="X505" t="s">
        <v>89</v>
      </c>
      <c r="Y505" t="s">
        <v>28</v>
      </c>
      <c r="Z505">
        <v>1.04</v>
      </c>
      <c r="AA505">
        <f t="shared" si="21"/>
        <v>21728.25</v>
      </c>
      <c r="AB505">
        <f t="shared" si="22"/>
        <v>0.16595037997143711</v>
      </c>
      <c r="AC505">
        <f t="shared" si="23"/>
        <v>0</v>
      </c>
      <c r="AD505">
        <v>2024</v>
      </c>
      <c r="AE505">
        <v>7</v>
      </c>
      <c r="AF505" t="s">
        <v>69</v>
      </c>
      <c r="AG505" t="s">
        <v>70</v>
      </c>
    </row>
    <row r="506" spans="1:33">
      <c r="A506" t="s">
        <v>657</v>
      </c>
      <c r="B506">
        <v>45904</v>
      </c>
      <c r="C506">
        <v>45911</v>
      </c>
      <c r="D506" t="s">
        <v>21</v>
      </c>
      <c r="E506">
        <v>100</v>
      </c>
      <c r="F506">
        <v>848.65</v>
      </c>
      <c r="G506">
        <v>0.18</v>
      </c>
      <c r="H506">
        <v>84712.24</v>
      </c>
      <c r="I506" t="s">
        <v>1728</v>
      </c>
      <c r="J506">
        <v>741.21</v>
      </c>
      <c r="K506">
        <v>74121</v>
      </c>
      <c r="L506">
        <v>975.68</v>
      </c>
      <c r="M506">
        <v>542.37</v>
      </c>
      <c r="N506">
        <v>9266.61</v>
      </c>
      <c r="O506">
        <v>84905.66</v>
      </c>
      <c r="P506">
        <v>10591.24</v>
      </c>
      <c r="Q506">
        <v>-193.42</v>
      </c>
      <c r="R506" t="s">
        <v>65</v>
      </c>
      <c r="S506">
        <v>84712.24</v>
      </c>
      <c r="T506">
        <v>0</v>
      </c>
      <c r="U506" t="s">
        <v>73</v>
      </c>
      <c r="V506" t="s">
        <v>6</v>
      </c>
      <c r="W506" t="s">
        <v>67</v>
      </c>
      <c r="X506" t="s">
        <v>127</v>
      </c>
      <c r="Y506" t="s">
        <v>22</v>
      </c>
      <c r="Z506">
        <v>0.54</v>
      </c>
      <c r="AA506">
        <f t="shared" si="21"/>
        <v>-193.42</v>
      </c>
      <c r="AB506">
        <f t="shared" si="22"/>
        <v>-2.2832591842690026E-3</v>
      </c>
      <c r="AC506">
        <f t="shared" si="23"/>
        <v>0</v>
      </c>
      <c r="AD506">
        <v>2025</v>
      </c>
      <c r="AE506">
        <v>9</v>
      </c>
      <c r="AF506" t="s">
        <v>131</v>
      </c>
      <c r="AG506" t="s">
        <v>132</v>
      </c>
    </row>
    <row r="507" spans="1:33">
      <c r="A507" t="s">
        <v>658</v>
      </c>
      <c r="B507">
        <v>45526</v>
      </c>
      <c r="C507">
        <v>45531</v>
      </c>
      <c r="D507" t="s">
        <v>21</v>
      </c>
      <c r="E507">
        <v>1200</v>
      </c>
      <c r="F507">
        <v>839.98</v>
      </c>
      <c r="G507">
        <v>1.26</v>
      </c>
      <c r="H507">
        <v>995275.5</v>
      </c>
      <c r="I507" t="s">
        <v>1727</v>
      </c>
      <c r="J507">
        <v>682.25</v>
      </c>
      <c r="K507">
        <v>818700</v>
      </c>
      <c r="L507">
        <v>16087.08</v>
      </c>
      <c r="M507">
        <v>2931.2</v>
      </c>
      <c r="N507">
        <v>1680.27</v>
      </c>
      <c r="O507">
        <v>839398.55</v>
      </c>
      <c r="P507">
        <v>176575.5</v>
      </c>
      <c r="Q507">
        <v>155876.95000000001</v>
      </c>
      <c r="R507" t="s">
        <v>65</v>
      </c>
      <c r="S507">
        <v>995275.5</v>
      </c>
      <c r="T507">
        <v>0</v>
      </c>
      <c r="U507" t="s">
        <v>66</v>
      </c>
      <c r="V507" t="s">
        <v>6</v>
      </c>
      <c r="W507" t="s">
        <v>74</v>
      </c>
      <c r="X507" t="s">
        <v>123</v>
      </c>
      <c r="Y507" t="s">
        <v>22</v>
      </c>
      <c r="Z507">
        <v>1.42</v>
      </c>
      <c r="AA507">
        <f t="shared" si="21"/>
        <v>155876.95000000001</v>
      </c>
      <c r="AB507">
        <f t="shared" si="22"/>
        <v>0.1566168864801756</v>
      </c>
      <c r="AC507">
        <f t="shared" si="23"/>
        <v>0</v>
      </c>
      <c r="AD507">
        <v>2024</v>
      </c>
      <c r="AE507">
        <v>8</v>
      </c>
      <c r="AF507" t="s">
        <v>82</v>
      </c>
      <c r="AG507" t="s">
        <v>83</v>
      </c>
    </row>
    <row r="508" spans="1:33">
      <c r="A508" t="s">
        <v>659</v>
      </c>
      <c r="B508">
        <v>45413</v>
      </c>
      <c r="C508">
        <v>45423</v>
      </c>
      <c r="D508" t="s">
        <v>21</v>
      </c>
      <c r="E508">
        <v>150</v>
      </c>
      <c r="F508">
        <v>894.16</v>
      </c>
      <c r="G508">
        <v>1.67</v>
      </c>
      <c r="H508">
        <v>131884.13</v>
      </c>
      <c r="I508" t="s">
        <v>1728</v>
      </c>
      <c r="J508">
        <v>669.68</v>
      </c>
      <c r="K508">
        <v>100452</v>
      </c>
      <c r="L508">
        <v>2784.36</v>
      </c>
      <c r="M508">
        <v>579.84</v>
      </c>
      <c r="N508">
        <v>4608.57</v>
      </c>
      <c r="O508">
        <v>108424.77</v>
      </c>
      <c r="P508">
        <v>31432.13</v>
      </c>
      <c r="Q508">
        <v>23459.360000000001</v>
      </c>
      <c r="R508" t="s">
        <v>65</v>
      </c>
      <c r="S508">
        <v>131884.13</v>
      </c>
      <c r="T508">
        <v>0</v>
      </c>
      <c r="U508" t="s">
        <v>66</v>
      </c>
      <c r="V508" t="s">
        <v>8</v>
      </c>
      <c r="W508" t="s">
        <v>74</v>
      </c>
      <c r="X508" t="s">
        <v>375</v>
      </c>
      <c r="Y508" t="s">
        <v>30</v>
      </c>
      <c r="Z508">
        <v>1.7</v>
      </c>
      <c r="AA508">
        <f t="shared" si="21"/>
        <v>23459.360000000001</v>
      </c>
      <c r="AB508">
        <f t="shared" si="22"/>
        <v>0.17787856658720044</v>
      </c>
      <c r="AC508">
        <f t="shared" si="23"/>
        <v>0</v>
      </c>
      <c r="AD508">
        <v>2024</v>
      </c>
      <c r="AE508">
        <v>5</v>
      </c>
      <c r="AF508" t="s">
        <v>76</v>
      </c>
      <c r="AG508" t="s">
        <v>77</v>
      </c>
    </row>
    <row r="509" spans="1:33">
      <c r="A509" t="s">
        <v>660</v>
      </c>
      <c r="B509">
        <v>45783</v>
      </c>
      <c r="D509" t="s">
        <v>23</v>
      </c>
      <c r="E509">
        <v>500</v>
      </c>
      <c r="F509">
        <v>1311.43</v>
      </c>
      <c r="G509">
        <v>0.04</v>
      </c>
      <c r="H509">
        <v>0</v>
      </c>
      <c r="I509" t="s">
        <v>1729</v>
      </c>
      <c r="J509">
        <v>1082.1400000000001</v>
      </c>
      <c r="K509">
        <v>0</v>
      </c>
      <c r="L509">
        <v>0</v>
      </c>
      <c r="M509">
        <v>0</v>
      </c>
      <c r="N509">
        <v>0</v>
      </c>
      <c r="O509">
        <v>0</v>
      </c>
      <c r="P509">
        <v>0</v>
      </c>
      <c r="Q509">
        <v>0</v>
      </c>
      <c r="R509" t="s">
        <v>65</v>
      </c>
      <c r="S509">
        <v>0</v>
      </c>
      <c r="T509">
        <v>0</v>
      </c>
      <c r="U509" t="s">
        <v>117</v>
      </c>
      <c r="V509" t="s">
        <v>14</v>
      </c>
      <c r="W509" t="s">
        <v>67</v>
      </c>
      <c r="X509" t="s">
        <v>375</v>
      </c>
      <c r="Y509" t="s">
        <v>30</v>
      </c>
      <c r="Z509">
        <v>1.51</v>
      </c>
      <c r="AA509">
        <f t="shared" si="21"/>
        <v>0</v>
      </c>
      <c r="AB509" t="e">
        <f t="shared" si="22"/>
        <v>#DIV/0!</v>
      </c>
      <c r="AC509">
        <f t="shared" si="23"/>
        <v>0</v>
      </c>
      <c r="AD509">
        <v>2025</v>
      </c>
      <c r="AE509">
        <v>5</v>
      </c>
      <c r="AF509" t="s">
        <v>76</v>
      </c>
      <c r="AG509" t="s">
        <v>94</v>
      </c>
    </row>
    <row r="510" spans="1:33">
      <c r="A510" t="s">
        <v>661</v>
      </c>
      <c r="B510">
        <v>45852</v>
      </c>
      <c r="C510">
        <v>45856</v>
      </c>
      <c r="D510" t="s">
        <v>21</v>
      </c>
      <c r="E510">
        <v>300</v>
      </c>
      <c r="F510">
        <v>882.79</v>
      </c>
      <c r="G510">
        <v>1.41</v>
      </c>
      <c r="H510">
        <v>261102.8</v>
      </c>
      <c r="I510" t="s">
        <v>1726</v>
      </c>
      <c r="J510">
        <v>742.72</v>
      </c>
      <c r="K510">
        <v>222816</v>
      </c>
      <c r="L510">
        <v>5563.05</v>
      </c>
      <c r="M510">
        <v>581.84</v>
      </c>
      <c r="N510">
        <v>8204.68</v>
      </c>
      <c r="O510">
        <v>237165.57</v>
      </c>
      <c r="P510">
        <v>38286.800000000003</v>
      </c>
      <c r="Q510">
        <v>23937.23</v>
      </c>
      <c r="R510" t="s">
        <v>65</v>
      </c>
      <c r="S510">
        <v>261102.8</v>
      </c>
      <c r="T510">
        <v>0</v>
      </c>
      <c r="U510" t="s">
        <v>66</v>
      </c>
      <c r="V510" t="s">
        <v>8</v>
      </c>
      <c r="W510" t="s">
        <v>141</v>
      </c>
      <c r="X510" t="s">
        <v>101</v>
      </c>
      <c r="Y510" t="s">
        <v>22</v>
      </c>
      <c r="Z510">
        <v>1.1299999999999999</v>
      </c>
      <c r="AA510">
        <f t="shared" si="21"/>
        <v>23937.23</v>
      </c>
      <c r="AB510">
        <f t="shared" si="22"/>
        <v>9.1677415944984117E-2</v>
      </c>
      <c r="AC510">
        <f t="shared" si="23"/>
        <v>0</v>
      </c>
      <c r="AD510">
        <v>2025</v>
      </c>
      <c r="AE510">
        <v>7</v>
      </c>
      <c r="AF510" t="s">
        <v>69</v>
      </c>
      <c r="AG510" t="s">
        <v>151</v>
      </c>
    </row>
    <row r="511" spans="1:33">
      <c r="A511" t="s">
        <v>662</v>
      </c>
      <c r="B511">
        <v>45747</v>
      </c>
      <c r="D511" t="s">
        <v>21</v>
      </c>
      <c r="E511">
        <v>250</v>
      </c>
      <c r="F511">
        <v>928.85</v>
      </c>
      <c r="G511">
        <v>2.46</v>
      </c>
      <c r="H511">
        <v>0</v>
      </c>
      <c r="I511" t="s">
        <v>1727</v>
      </c>
      <c r="J511">
        <v>750.4</v>
      </c>
      <c r="K511">
        <v>0</v>
      </c>
      <c r="L511">
        <v>0</v>
      </c>
      <c r="M511">
        <v>0</v>
      </c>
      <c r="N511">
        <v>0</v>
      </c>
      <c r="O511">
        <v>0</v>
      </c>
      <c r="P511">
        <v>0</v>
      </c>
      <c r="Q511">
        <v>0</v>
      </c>
      <c r="R511" t="s">
        <v>65</v>
      </c>
      <c r="S511">
        <v>0</v>
      </c>
      <c r="T511">
        <v>0</v>
      </c>
      <c r="U511" t="s">
        <v>117</v>
      </c>
      <c r="V511" t="s">
        <v>6</v>
      </c>
      <c r="W511" t="s">
        <v>74</v>
      </c>
      <c r="X511" t="s">
        <v>182</v>
      </c>
      <c r="Y511" t="s">
        <v>26</v>
      </c>
      <c r="Z511">
        <v>1.1000000000000001</v>
      </c>
      <c r="AA511">
        <f t="shared" si="21"/>
        <v>0</v>
      </c>
      <c r="AB511" t="e">
        <f t="shared" si="22"/>
        <v>#DIV/0!</v>
      </c>
      <c r="AC511">
        <f t="shared" si="23"/>
        <v>0</v>
      </c>
      <c r="AD511">
        <v>2025</v>
      </c>
      <c r="AE511">
        <v>3</v>
      </c>
      <c r="AF511" t="s">
        <v>105</v>
      </c>
      <c r="AG511" t="s">
        <v>106</v>
      </c>
    </row>
    <row r="512" spans="1:33">
      <c r="A512" t="s">
        <v>663</v>
      </c>
      <c r="B512">
        <v>45324</v>
      </c>
      <c r="C512">
        <v>45332</v>
      </c>
      <c r="D512" t="s">
        <v>23</v>
      </c>
      <c r="E512">
        <v>250</v>
      </c>
      <c r="F512">
        <v>1240.8900000000001</v>
      </c>
      <c r="G512">
        <v>2.08</v>
      </c>
      <c r="H512">
        <v>303769.87</v>
      </c>
      <c r="I512" t="s">
        <v>1728</v>
      </c>
      <c r="J512">
        <v>986.69</v>
      </c>
      <c r="K512">
        <v>246672.5</v>
      </c>
      <c r="L512">
        <v>1303.04</v>
      </c>
      <c r="M512">
        <v>820.55</v>
      </c>
      <c r="N512">
        <v>1691.45</v>
      </c>
      <c r="O512">
        <v>250487.54</v>
      </c>
      <c r="P512">
        <v>57097.37</v>
      </c>
      <c r="Q512">
        <v>53282.33</v>
      </c>
      <c r="R512" t="s">
        <v>65</v>
      </c>
      <c r="S512">
        <v>303769.87</v>
      </c>
      <c r="T512">
        <v>0</v>
      </c>
      <c r="U512" t="s">
        <v>66</v>
      </c>
      <c r="V512" t="s">
        <v>8</v>
      </c>
      <c r="W512" t="s">
        <v>74</v>
      </c>
      <c r="X512" t="s">
        <v>123</v>
      </c>
      <c r="Y512" t="s">
        <v>22</v>
      </c>
      <c r="Z512">
        <v>1.87</v>
      </c>
      <c r="AA512">
        <f t="shared" si="21"/>
        <v>53282.33</v>
      </c>
      <c r="AB512">
        <f t="shared" si="22"/>
        <v>0.1754036040506585</v>
      </c>
      <c r="AC512">
        <f t="shared" si="23"/>
        <v>0</v>
      </c>
      <c r="AD512">
        <v>2024</v>
      </c>
      <c r="AE512">
        <v>2</v>
      </c>
      <c r="AF512" t="s">
        <v>172</v>
      </c>
      <c r="AG512" t="s">
        <v>173</v>
      </c>
    </row>
    <row r="513" spans="1:33">
      <c r="A513" t="s">
        <v>664</v>
      </c>
      <c r="B513">
        <v>45362</v>
      </c>
      <c r="C513">
        <v>45375</v>
      </c>
      <c r="D513" t="s">
        <v>25</v>
      </c>
      <c r="E513">
        <v>500</v>
      </c>
      <c r="F513">
        <v>986.79</v>
      </c>
      <c r="G513">
        <v>2.5499999999999998</v>
      </c>
      <c r="H513">
        <v>480813.43</v>
      </c>
      <c r="I513" t="s">
        <v>1726</v>
      </c>
      <c r="J513">
        <v>783.51</v>
      </c>
      <c r="K513">
        <v>391755</v>
      </c>
      <c r="L513">
        <v>8814.19</v>
      </c>
      <c r="M513">
        <v>2229.71</v>
      </c>
      <c r="N513">
        <v>1044.45</v>
      </c>
      <c r="O513">
        <v>403843.35</v>
      </c>
      <c r="P513">
        <v>89058.43</v>
      </c>
      <c r="Q513">
        <v>76970.080000000002</v>
      </c>
      <c r="R513" t="s">
        <v>65</v>
      </c>
      <c r="S513">
        <v>480813.43</v>
      </c>
      <c r="T513">
        <v>0</v>
      </c>
      <c r="U513" t="s">
        <v>66</v>
      </c>
      <c r="V513" t="s">
        <v>6</v>
      </c>
      <c r="W513" t="s">
        <v>67</v>
      </c>
      <c r="X513" t="s">
        <v>195</v>
      </c>
      <c r="Y513" t="s">
        <v>26</v>
      </c>
      <c r="Z513">
        <v>2.0099999999999998</v>
      </c>
      <c r="AA513">
        <f t="shared" si="21"/>
        <v>76970.080000000002</v>
      </c>
      <c r="AB513">
        <f t="shared" si="22"/>
        <v>0.16008304926091604</v>
      </c>
      <c r="AC513">
        <f t="shared" si="23"/>
        <v>0</v>
      </c>
      <c r="AD513">
        <v>2024</v>
      </c>
      <c r="AE513">
        <v>3</v>
      </c>
      <c r="AF513" t="s">
        <v>105</v>
      </c>
      <c r="AG513" t="s">
        <v>120</v>
      </c>
    </row>
    <row r="514" spans="1:33">
      <c r="A514" t="s">
        <v>665</v>
      </c>
      <c r="B514">
        <v>45453</v>
      </c>
      <c r="C514">
        <v>45457</v>
      </c>
      <c r="D514" t="s">
        <v>21</v>
      </c>
      <c r="E514">
        <v>750</v>
      </c>
      <c r="F514">
        <v>864.8</v>
      </c>
      <c r="G514">
        <v>3.19</v>
      </c>
      <c r="H514">
        <v>627909.66</v>
      </c>
      <c r="I514" t="s">
        <v>1728</v>
      </c>
      <c r="J514">
        <v>701.45</v>
      </c>
      <c r="K514">
        <v>526087.5</v>
      </c>
      <c r="L514">
        <v>15146.34</v>
      </c>
      <c r="M514">
        <v>1512.66</v>
      </c>
      <c r="N514">
        <v>4737.1899999999996</v>
      </c>
      <c r="O514">
        <v>547483.68999999994</v>
      </c>
      <c r="P514">
        <v>101822.16</v>
      </c>
      <c r="Q514">
        <v>80425.97</v>
      </c>
      <c r="R514" t="s">
        <v>134</v>
      </c>
      <c r="S514">
        <v>0</v>
      </c>
      <c r="T514">
        <v>627909.66</v>
      </c>
      <c r="U514" t="s">
        <v>66</v>
      </c>
      <c r="V514" t="s">
        <v>6</v>
      </c>
      <c r="W514" t="s">
        <v>67</v>
      </c>
      <c r="X514" t="s">
        <v>127</v>
      </c>
      <c r="Y514" t="s">
        <v>22</v>
      </c>
      <c r="Z514">
        <v>1.1299999999999999</v>
      </c>
      <c r="AA514">
        <f t="shared" ref="AA514:AA577" si="24">ROUND(H514-O514,2)</f>
        <v>80425.97</v>
      </c>
      <c r="AB514">
        <f t="shared" ref="AB514:AB577" si="25">AA514/H514</f>
        <v>0.128085256723077</v>
      </c>
      <c r="AC514">
        <f t="shared" ref="AC514:AC577" si="26">ROUND(AA514-Q514,2)</f>
        <v>0</v>
      </c>
      <c r="AD514">
        <v>2024</v>
      </c>
      <c r="AE514">
        <v>6</v>
      </c>
      <c r="AF514" t="s">
        <v>111</v>
      </c>
      <c r="AG514" t="s">
        <v>148</v>
      </c>
    </row>
    <row r="515" spans="1:33">
      <c r="A515" t="s">
        <v>666</v>
      </c>
      <c r="B515">
        <v>45375</v>
      </c>
      <c r="C515">
        <v>45377</v>
      </c>
      <c r="D515" t="s">
        <v>21</v>
      </c>
      <c r="E515">
        <v>300</v>
      </c>
      <c r="F515">
        <v>933.78</v>
      </c>
      <c r="G515">
        <v>0.44</v>
      </c>
      <c r="H515">
        <v>278901.40999999997</v>
      </c>
      <c r="I515" t="s">
        <v>1727</v>
      </c>
      <c r="J515">
        <v>673.25</v>
      </c>
      <c r="K515">
        <v>201975</v>
      </c>
      <c r="L515">
        <v>6557.5</v>
      </c>
      <c r="M515">
        <v>577.34</v>
      </c>
      <c r="N515">
        <v>276.31</v>
      </c>
      <c r="O515">
        <v>209386.15</v>
      </c>
      <c r="P515">
        <v>76926.41</v>
      </c>
      <c r="Q515">
        <v>69515.259999999995</v>
      </c>
      <c r="R515" t="s">
        <v>65</v>
      </c>
      <c r="S515">
        <v>278901.40999999997</v>
      </c>
      <c r="T515">
        <v>0</v>
      </c>
      <c r="U515" t="s">
        <v>66</v>
      </c>
      <c r="V515" t="s">
        <v>16</v>
      </c>
      <c r="W515" t="s">
        <v>92</v>
      </c>
      <c r="X515" t="s">
        <v>375</v>
      </c>
      <c r="Y515" t="s">
        <v>30</v>
      </c>
      <c r="Z515">
        <v>0.6</v>
      </c>
      <c r="AA515">
        <f t="shared" si="24"/>
        <v>69515.259999999995</v>
      </c>
      <c r="AB515">
        <f t="shared" si="25"/>
        <v>0.2492467140987204</v>
      </c>
      <c r="AC515">
        <f t="shared" si="26"/>
        <v>0</v>
      </c>
      <c r="AD515">
        <v>2024</v>
      </c>
      <c r="AE515">
        <v>3</v>
      </c>
      <c r="AF515" t="s">
        <v>105</v>
      </c>
      <c r="AG515" t="s">
        <v>120</v>
      </c>
    </row>
    <row r="516" spans="1:33">
      <c r="A516" t="s">
        <v>667</v>
      </c>
      <c r="B516">
        <v>45941</v>
      </c>
      <c r="C516">
        <v>45945</v>
      </c>
      <c r="D516" t="s">
        <v>23</v>
      </c>
      <c r="E516">
        <v>200</v>
      </c>
      <c r="F516">
        <v>1333.45</v>
      </c>
      <c r="G516">
        <v>0.99</v>
      </c>
      <c r="H516">
        <v>264049.77</v>
      </c>
      <c r="I516" t="s">
        <v>1728</v>
      </c>
      <c r="J516">
        <v>976.42</v>
      </c>
      <c r="K516">
        <v>195284</v>
      </c>
      <c r="L516">
        <v>4646.96</v>
      </c>
      <c r="M516">
        <v>1133.29</v>
      </c>
      <c r="N516">
        <v>594.02</v>
      </c>
      <c r="O516">
        <v>201658.27</v>
      </c>
      <c r="P516">
        <v>68765.77</v>
      </c>
      <c r="Q516">
        <v>62391.5</v>
      </c>
      <c r="R516" t="s">
        <v>65</v>
      </c>
      <c r="S516">
        <v>264049.77</v>
      </c>
      <c r="T516">
        <v>0</v>
      </c>
      <c r="U516" t="s">
        <v>66</v>
      </c>
      <c r="V516" t="s">
        <v>14</v>
      </c>
      <c r="W516" t="s">
        <v>92</v>
      </c>
      <c r="X516" t="s">
        <v>101</v>
      </c>
      <c r="Y516" t="s">
        <v>22</v>
      </c>
      <c r="Z516">
        <v>1.84</v>
      </c>
      <c r="AA516">
        <f t="shared" si="24"/>
        <v>62391.5</v>
      </c>
      <c r="AB516">
        <f t="shared" si="25"/>
        <v>0.23628689394427421</v>
      </c>
      <c r="AC516">
        <f t="shared" si="26"/>
        <v>0</v>
      </c>
      <c r="AD516">
        <v>2025</v>
      </c>
      <c r="AE516">
        <v>10</v>
      </c>
      <c r="AF516" t="s">
        <v>138</v>
      </c>
      <c r="AG516" t="s">
        <v>160</v>
      </c>
    </row>
    <row r="517" spans="1:33">
      <c r="A517" t="s">
        <v>668</v>
      </c>
      <c r="B517">
        <v>45882</v>
      </c>
      <c r="C517">
        <v>45890</v>
      </c>
      <c r="D517" t="s">
        <v>25</v>
      </c>
      <c r="E517">
        <v>300</v>
      </c>
      <c r="F517">
        <v>1008.54</v>
      </c>
      <c r="G517">
        <v>2.37</v>
      </c>
      <c r="H517">
        <v>295391.28000000003</v>
      </c>
      <c r="I517" t="s">
        <v>1726</v>
      </c>
      <c r="J517">
        <v>778.26</v>
      </c>
      <c r="K517">
        <v>233478</v>
      </c>
      <c r="L517">
        <v>2993.56</v>
      </c>
      <c r="M517">
        <v>789.3</v>
      </c>
      <c r="N517">
        <v>328.74</v>
      </c>
      <c r="O517">
        <v>237589.6</v>
      </c>
      <c r="P517">
        <v>61913.279999999999</v>
      </c>
      <c r="Q517">
        <v>57801.68</v>
      </c>
      <c r="R517" t="s">
        <v>65</v>
      </c>
      <c r="S517">
        <v>295391.28000000003</v>
      </c>
      <c r="T517">
        <v>0</v>
      </c>
      <c r="U517" t="s">
        <v>66</v>
      </c>
      <c r="V517" t="s">
        <v>6</v>
      </c>
      <c r="W517" t="s">
        <v>74</v>
      </c>
      <c r="X517" t="s">
        <v>147</v>
      </c>
      <c r="Y517" t="s">
        <v>28</v>
      </c>
      <c r="Z517">
        <v>0.96</v>
      </c>
      <c r="AA517">
        <f t="shared" si="24"/>
        <v>57801.68</v>
      </c>
      <c r="AB517">
        <f t="shared" si="25"/>
        <v>0.19567835584042967</v>
      </c>
      <c r="AC517">
        <f t="shared" si="26"/>
        <v>0</v>
      </c>
      <c r="AD517">
        <v>2025</v>
      </c>
      <c r="AE517">
        <v>8</v>
      </c>
      <c r="AF517" t="s">
        <v>82</v>
      </c>
      <c r="AG517" t="s">
        <v>87</v>
      </c>
    </row>
    <row r="518" spans="1:33">
      <c r="A518" t="s">
        <v>669</v>
      </c>
      <c r="B518">
        <v>45625</v>
      </c>
      <c r="C518">
        <v>45635</v>
      </c>
      <c r="D518" t="s">
        <v>21</v>
      </c>
      <c r="E518">
        <v>200</v>
      </c>
      <c r="F518">
        <v>926.37</v>
      </c>
      <c r="G518">
        <v>2.21</v>
      </c>
      <c r="H518">
        <v>181179.44</v>
      </c>
      <c r="I518" t="s">
        <v>1728</v>
      </c>
      <c r="J518">
        <v>677.88</v>
      </c>
      <c r="K518">
        <v>135576</v>
      </c>
      <c r="L518">
        <v>4065.76</v>
      </c>
      <c r="M518">
        <v>520.88</v>
      </c>
      <c r="N518">
        <v>9584.6299999999992</v>
      </c>
      <c r="O518">
        <v>149747.26999999999</v>
      </c>
      <c r="P518">
        <v>45603.44</v>
      </c>
      <c r="Q518">
        <v>31432.17</v>
      </c>
      <c r="R518" t="s">
        <v>65</v>
      </c>
      <c r="S518">
        <v>181179.44</v>
      </c>
      <c r="T518">
        <v>0</v>
      </c>
      <c r="U518" t="s">
        <v>66</v>
      </c>
      <c r="V518" t="s">
        <v>12</v>
      </c>
      <c r="W518" t="s">
        <v>80</v>
      </c>
      <c r="X518" t="s">
        <v>89</v>
      </c>
      <c r="Y518" t="s">
        <v>28</v>
      </c>
      <c r="Z518">
        <v>1.95</v>
      </c>
      <c r="AA518">
        <f t="shared" si="24"/>
        <v>31432.17</v>
      </c>
      <c r="AB518">
        <f t="shared" si="25"/>
        <v>0.1734864066253875</v>
      </c>
      <c r="AC518">
        <f t="shared" si="26"/>
        <v>0</v>
      </c>
      <c r="AD518">
        <v>2024</v>
      </c>
      <c r="AE518">
        <v>11</v>
      </c>
      <c r="AF518" t="s">
        <v>128</v>
      </c>
      <c r="AG518" t="s">
        <v>129</v>
      </c>
    </row>
    <row r="519" spans="1:33">
      <c r="A519" t="s">
        <v>670</v>
      </c>
      <c r="B519">
        <v>45495</v>
      </c>
      <c r="C519">
        <v>45502</v>
      </c>
      <c r="D519" t="s">
        <v>21</v>
      </c>
      <c r="E519">
        <v>200</v>
      </c>
      <c r="F519">
        <v>832</v>
      </c>
      <c r="G519">
        <v>0.04</v>
      </c>
      <c r="H519">
        <v>166333.44</v>
      </c>
      <c r="I519" t="s">
        <v>1727</v>
      </c>
      <c r="J519">
        <v>731.9</v>
      </c>
      <c r="K519">
        <v>146380</v>
      </c>
      <c r="L519">
        <v>2275.44</v>
      </c>
      <c r="M519">
        <v>1052.1600000000001</v>
      </c>
      <c r="N519">
        <v>833.65</v>
      </c>
      <c r="O519">
        <v>150541.25</v>
      </c>
      <c r="P519">
        <v>19953.439999999999</v>
      </c>
      <c r="Q519">
        <v>15792.19</v>
      </c>
      <c r="R519" t="s">
        <v>65</v>
      </c>
      <c r="S519">
        <v>166333.44</v>
      </c>
      <c r="T519">
        <v>0</v>
      </c>
      <c r="U519" t="s">
        <v>66</v>
      </c>
      <c r="V519" t="s">
        <v>14</v>
      </c>
      <c r="W519" t="s">
        <v>74</v>
      </c>
      <c r="X519" t="s">
        <v>159</v>
      </c>
      <c r="Y519" t="s">
        <v>30</v>
      </c>
      <c r="Z519">
        <v>1.37</v>
      </c>
      <c r="AA519">
        <f t="shared" si="24"/>
        <v>15792.19</v>
      </c>
      <c r="AB519">
        <f t="shared" si="25"/>
        <v>9.4942965166835966E-2</v>
      </c>
      <c r="AC519">
        <f t="shared" si="26"/>
        <v>0</v>
      </c>
      <c r="AD519">
        <v>2024</v>
      </c>
      <c r="AE519">
        <v>7</v>
      </c>
      <c r="AF519" t="s">
        <v>69</v>
      </c>
      <c r="AG519" t="s">
        <v>70</v>
      </c>
    </row>
    <row r="520" spans="1:33">
      <c r="A520" t="s">
        <v>671</v>
      </c>
      <c r="B520">
        <v>45991</v>
      </c>
      <c r="C520">
        <v>45999</v>
      </c>
      <c r="D520" t="s">
        <v>25</v>
      </c>
      <c r="E520">
        <v>50</v>
      </c>
      <c r="F520">
        <v>1101.03</v>
      </c>
      <c r="G520">
        <v>1.08</v>
      </c>
      <c r="H520">
        <v>54456.94</v>
      </c>
      <c r="I520" t="s">
        <v>1726</v>
      </c>
      <c r="J520">
        <v>719.16</v>
      </c>
      <c r="K520">
        <v>35958</v>
      </c>
      <c r="L520">
        <v>966.84</v>
      </c>
      <c r="M520">
        <v>219.99</v>
      </c>
      <c r="N520">
        <v>6277.82</v>
      </c>
      <c r="O520">
        <v>43422.65</v>
      </c>
      <c r="P520">
        <v>18498.939999999999</v>
      </c>
      <c r="Q520">
        <v>11034.29</v>
      </c>
      <c r="R520" t="s">
        <v>65</v>
      </c>
      <c r="S520">
        <v>54456.94</v>
      </c>
      <c r="T520">
        <v>0</v>
      </c>
      <c r="U520" t="s">
        <v>66</v>
      </c>
      <c r="V520" t="s">
        <v>8</v>
      </c>
      <c r="W520" t="s">
        <v>92</v>
      </c>
      <c r="X520" t="s">
        <v>162</v>
      </c>
      <c r="Y520" t="s">
        <v>26</v>
      </c>
      <c r="Z520">
        <v>1.85</v>
      </c>
      <c r="AA520">
        <f t="shared" si="24"/>
        <v>11034.29</v>
      </c>
      <c r="AB520">
        <f t="shared" si="25"/>
        <v>0.20262412834801222</v>
      </c>
      <c r="AC520">
        <f t="shared" si="26"/>
        <v>0</v>
      </c>
      <c r="AD520">
        <v>2025</v>
      </c>
      <c r="AE520">
        <v>11</v>
      </c>
      <c r="AF520" t="s">
        <v>128</v>
      </c>
      <c r="AG520" t="s">
        <v>135</v>
      </c>
    </row>
    <row r="521" spans="1:33">
      <c r="A521" t="s">
        <v>672</v>
      </c>
      <c r="B521">
        <v>45430</v>
      </c>
      <c r="C521">
        <v>45444</v>
      </c>
      <c r="D521" t="s">
        <v>25</v>
      </c>
      <c r="E521">
        <v>250</v>
      </c>
      <c r="F521">
        <v>921.95</v>
      </c>
      <c r="G521">
        <v>1.93</v>
      </c>
      <c r="H521">
        <v>226039.09</v>
      </c>
      <c r="I521" t="s">
        <v>1726</v>
      </c>
      <c r="J521">
        <v>821.82</v>
      </c>
      <c r="K521">
        <v>205455</v>
      </c>
      <c r="L521">
        <v>1428.04</v>
      </c>
      <c r="M521">
        <v>840.59</v>
      </c>
      <c r="N521">
        <v>2057.06</v>
      </c>
      <c r="O521">
        <v>209780.69</v>
      </c>
      <c r="P521">
        <v>20584.09</v>
      </c>
      <c r="Q521">
        <v>16258.4</v>
      </c>
      <c r="R521" t="s">
        <v>65</v>
      </c>
      <c r="S521">
        <v>226039.09</v>
      </c>
      <c r="T521">
        <v>0</v>
      </c>
      <c r="U521" t="s">
        <v>73</v>
      </c>
      <c r="V521" t="s">
        <v>12</v>
      </c>
      <c r="W521" t="s">
        <v>141</v>
      </c>
      <c r="X521" t="s">
        <v>123</v>
      </c>
      <c r="Y521" t="s">
        <v>22</v>
      </c>
      <c r="Z521">
        <v>0.43</v>
      </c>
      <c r="AA521">
        <f t="shared" si="24"/>
        <v>16258.4</v>
      </c>
      <c r="AB521">
        <f t="shared" si="25"/>
        <v>7.192738211784519E-2</v>
      </c>
      <c r="AC521">
        <f t="shared" si="26"/>
        <v>0</v>
      </c>
      <c r="AD521">
        <v>2024</v>
      </c>
      <c r="AE521">
        <v>5</v>
      </c>
      <c r="AF521" t="s">
        <v>76</v>
      </c>
      <c r="AG521" t="s">
        <v>77</v>
      </c>
    </row>
    <row r="522" spans="1:33">
      <c r="A522" t="s">
        <v>673</v>
      </c>
      <c r="B522">
        <v>45867</v>
      </c>
      <c r="C522">
        <v>45873</v>
      </c>
      <c r="D522" t="s">
        <v>21</v>
      </c>
      <c r="E522">
        <v>1000</v>
      </c>
      <c r="F522">
        <v>858.65</v>
      </c>
      <c r="G522">
        <v>1.7</v>
      </c>
      <c r="H522">
        <v>844052.95</v>
      </c>
      <c r="I522" t="s">
        <v>1726</v>
      </c>
      <c r="J522">
        <v>708.88</v>
      </c>
      <c r="K522">
        <v>708880</v>
      </c>
      <c r="L522">
        <v>19553.89</v>
      </c>
      <c r="M522">
        <v>4556.62</v>
      </c>
      <c r="N522">
        <v>10270.790000000001</v>
      </c>
      <c r="O522">
        <v>743261.3</v>
      </c>
      <c r="P522">
        <v>135172.95000000001</v>
      </c>
      <c r="Q522">
        <v>100791.65</v>
      </c>
      <c r="R522" t="s">
        <v>65</v>
      </c>
      <c r="S522">
        <v>844052.95</v>
      </c>
      <c r="T522">
        <v>0</v>
      </c>
      <c r="U522" t="s">
        <v>66</v>
      </c>
      <c r="V522" t="s">
        <v>10</v>
      </c>
      <c r="W522" t="s">
        <v>74</v>
      </c>
      <c r="X522" t="s">
        <v>101</v>
      </c>
      <c r="Y522" t="s">
        <v>22</v>
      </c>
      <c r="Z522">
        <v>0.57999999999999996</v>
      </c>
      <c r="AA522">
        <f t="shared" si="24"/>
        <v>100791.65</v>
      </c>
      <c r="AB522">
        <f t="shared" si="25"/>
        <v>0.11941389459038085</v>
      </c>
      <c r="AC522">
        <f t="shared" si="26"/>
        <v>0</v>
      </c>
      <c r="AD522">
        <v>2025</v>
      </c>
      <c r="AE522">
        <v>7</v>
      </c>
      <c r="AF522" t="s">
        <v>69</v>
      </c>
      <c r="AG522" t="s">
        <v>151</v>
      </c>
    </row>
    <row r="523" spans="1:33">
      <c r="A523" t="s">
        <v>674</v>
      </c>
      <c r="B523">
        <v>45374</v>
      </c>
      <c r="C523">
        <v>45378</v>
      </c>
      <c r="D523" t="s">
        <v>27</v>
      </c>
      <c r="E523">
        <v>150</v>
      </c>
      <c r="F523">
        <v>723.02</v>
      </c>
      <c r="G523">
        <v>0.01</v>
      </c>
      <c r="H523">
        <v>108442.15</v>
      </c>
      <c r="I523" t="s">
        <v>1727</v>
      </c>
      <c r="J523">
        <v>554.76</v>
      </c>
      <c r="K523">
        <v>83214</v>
      </c>
      <c r="L523">
        <v>2272.46</v>
      </c>
      <c r="M523">
        <v>819.43</v>
      </c>
      <c r="N523">
        <v>7740.75</v>
      </c>
      <c r="O523">
        <v>94046.64</v>
      </c>
      <c r="P523">
        <v>25228.15</v>
      </c>
      <c r="Q523">
        <v>14395.51</v>
      </c>
      <c r="R523" t="s">
        <v>65</v>
      </c>
      <c r="S523">
        <v>108442.15</v>
      </c>
      <c r="T523">
        <v>0</v>
      </c>
      <c r="U523" t="s">
        <v>66</v>
      </c>
      <c r="V523" t="s">
        <v>6</v>
      </c>
      <c r="W523" t="s">
        <v>92</v>
      </c>
      <c r="X523" t="s">
        <v>115</v>
      </c>
      <c r="Y523" t="s">
        <v>22</v>
      </c>
      <c r="Z523">
        <v>1.57</v>
      </c>
      <c r="AA523">
        <f t="shared" si="24"/>
        <v>14395.51</v>
      </c>
      <c r="AB523">
        <f t="shared" si="25"/>
        <v>0.13274829021741086</v>
      </c>
      <c r="AC523">
        <f t="shared" si="26"/>
        <v>0</v>
      </c>
      <c r="AD523">
        <v>2024</v>
      </c>
      <c r="AE523">
        <v>3</v>
      </c>
      <c r="AF523" t="s">
        <v>105</v>
      </c>
      <c r="AG523" t="s">
        <v>120</v>
      </c>
    </row>
    <row r="524" spans="1:33">
      <c r="A524" t="s">
        <v>675</v>
      </c>
      <c r="B524">
        <v>45473</v>
      </c>
      <c r="C524">
        <v>45480</v>
      </c>
      <c r="D524" t="s">
        <v>21</v>
      </c>
      <c r="E524">
        <v>200</v>
      </c>
      <c r="F524">
        <v>882.28</v>
      </c>
      <c r="G524">
        <v>1.1200000000000001</v>
      </c>
      <c r="H524">
        <v>174479.69</v>
      </c>
      <c r="I524" t="s">
        <v>1727</v>
      </c>
      <c r="J524">
        <v>712.27</v>
      </c>
      <c r="K524">
        <v>142454</v>
      </c>
      <c r="L524">
        <v>1307.22</v>
      </c>
      <c r="M524">
        <v>316.66000000000003</v>
      </c>
      <c r="N524">
        <v>11564.06</v>
      </c>
      <c r="O524">
        <v>155641.94</v>
      </c>
      <c r="P524">
        <v>32025.69</v>
      </c>
      <c r="Q524">
        <v>18837.75</v>
      </c>
      <c r="R524" t="s">
        <v>134</v>
      </c>
      <c r="S524">
        <v>0</v>
      </c>
      <c r="T524">
        <v>174479.69</v>
      </c>
      <c r="U524" t="s">
        <v>73</v>
      </c>
      <c r="V524" t="s">
        <v>14</v>
      </c>
      <c r="W524" t="s">
        <v>74</v>
      </c>
      <c r="X524" t="s">
        <v>185</v>
      </c>
      <c r="Y524" t="s">
        <v>31</v>
      </c>
      <c r="Z524">
        <v>1.1000000000000001</v>
      </c>
      <c r="AA524">
        <f t="shared" si="24"/>
        <v>18837.75</v>
      </c>
      <c r="AB524">
        <f t="shared" si="25"/>
        <v>0.10796528810889107</v>
      </c>
      <c r="AC524">
        <f t="shared" si="26"/>
        <v>0</v>
      </c>
      <c r="AD524">
        <v>2024</v>
      </c>
      <c r="AE524">
        <v>6</v>
      </c>
      <c r="AF524" t="s">
        <v>111</v>
      </c>
      <c r="AG524" t="s">
        <v>148</v>
      </c>
    </row>
    <row r="525" spans="1:33">
      <c r="A525" t="s">
        <v>676</v>
      </c>
      <c r="B525">
        <v>45400</v>
      </c>
      <c r="C525">
        <v>45408</v>
      </c>
      <c r="D525" t="s">
        <v>21</v>
      </c>
      <c r="E525">
        <v>100</v>
      </c>
      <c r="F525">
        <v>903.75</v>
      </c>
      <c r="G525">
        <v>2.13</v>
      </c>
      <c r="H525">
        <v>88450.01</v>
      </c>
      <c r="I525" t="s">
        <v>1726</v>
      </c>
      <c r="J525">
        <v>714.18</v>
      </c>
      <c r="K525">
        <v>71418</v>
      </c>
      <c r="L525">
        <v>1286.3699999999999</v>
      </c>
      <c r="M525">
        <v>282.7</v>
      </c>
      <c r="N525">
        <v>10248.67</v>
      </c>
      <c r="O525">
        <v>83235.740000000005</v>
      </c>
      <c r="P525">
        <v>17032.009999999998</v>
      </c>
      <c r="Q525">
        <v>5214.2700000000004</v>
      </c>
      <c r="R525" t="s">
        <v>65</v>
      </c>
      <c r="S525">
        <v>88450.01</v>
      </c>
      <c r="T525">
        <v>0</v>
      </c>
      <c r="U525" t="s">
        <v>66</v>
      </c>
      <c r="V525" t="s">
        <v>10</v>
      </c>
      <c r="W525" t="s">
        <v>74</v>
      </c>
      <c r="X525" t="s">
        <v>164</v>
      </c>
      <c r="Y525" t="s">
        <v>24</v>
      </c>
      <c r="Z525">
        <v>0.3</v>
      </c>
      <c r="AA525">
        <f t="shared" si="24"/>
        <v>5214.2700000000004</v>
      </c>
      <c r="AB525">
        <f t="shared" si="25"/>
        <v>5.8951604414742301E-2</v>
      </c>
      <c r="AC525">
        <f t="shared" si="26"/>
        <v>0</v>
      </c>
      <c r="AD525">
        <v>2024</v>
      </c>
      <c r="AE525">
        <v>4</v>
      </c>
      <c r="AF525" t="s">
        <v>154</v>
      </c>
      <c r="AG525" t="s">
        <v>157</v>
      </c>
    </row>
    <row r="526" spans="1:33">
      <c r="A526" t="s">
        <v>677</v>
      </c>
      <c r="B526">
        <v>45401</v>
      </c>
      <c r="C526">
        <v>45412</v>
      </c>
      <c r="D526" t="s">
        <v>21</v>
      </c>
      <c r="E526">
        <v>100</v>
      </c>
      <c r="F526">
        <v>859.59</v>
      </c>
      <c r="G526">
        <v>1.17</v>
      </c>
      <c r="H526">
        <v>84953.279999999999</v>
      </c>
      <c r="I526" t="s">
        <v>1728</v>
      </c>
      <c r="J526">
        <v>729.02</v>
      </c>
      <c r="K526">
        <v>72902</v>
      </c>
      <c r="L526">
        <v>1650.12</v>
      </c>
      <c r="M526">
        <v>564.19000000000005</v>
      </c>
      <c r="N526">
        <v>6432.52</v>
      </c>
      <c r="O526">
        <v>81548.83</v>
      </c>
      <c r="P526">
        <v>12051.28</v>
      </c>
      <c r="Q526">
        <v>3404.45</v>
      </c>
      <c r="R526" t="s">
        <v>65</v>
      </c>
      <c r="S526">
        <v>84953.279999999999</v>
      </c>
      <c r="T526">
        <v>0</v>
      </c>
      <c r="U526" t="s">
        <v>73</v>
      </c>
      <c r="V526" t="s">
        <v>6</v>
      </c>
      <c r="W526" t="s">
        <v>74</v>
      </c>
      <c r="X526" t="s">
        <v>208</v>
      </c>
      <c r="Y526" t="s">
        <v>26</v>
      </c>
      <c r="Z526">
        <v>1.97</v>
      </c>
      <c r="AA526">
        <f t="shared" si="24"/>
        <v>3404.45</v>
      </c>
      <c r="AB526">
        <f t="shared" si="25"/>
        <v>4.007437970611611E-2</v>
      </c>
      <c r="AC526">
        <f t="shared" si="26"/>
        <v>0</v>
      </c>
      <c r="AD526">
        <v>2024</v>
      </c>
      <c r="AE526">
        <v>4</v>
      </c>
      <c r="AF526" t="s">
        <v>154</v>
      </c>
      <c r="AG526" t="s">
        <v>157</v>
      </c>
    </row>
    <row r="527" spans="1:33">
      <c r="A527" t="s">
        <v>678</v>
      </c>
      <c r="B527">
        <v>45484</v>
      </c>
      <c r="D527" t="s">
        <v>25</v>
      </c>
      <c r="E527">
        <v>100</v>
      </c>
      <c r="F527">
        <v>975.78</v>
      </c>
      <c r="G527">
        <v>1.87</v>
      </c>
      <c r="H527">
        <v>95753.29</v>
      </c>
      <c r="I527" t="s">
        <v>1729</v>
      </c>
      <c r="J527">
        <v>819.99</v>
      </c>
      <c r="K527">
        <v>81999</v>
      </c>
      <c r="L527">
        <v>1120.18</v>
      </c>
      <c r="M527">
        <v>335.12</v>
      </c>
      <c r="N527">
        <v>2486.86</v>
      </c>
      <c r="O527">
        <v>85941.16</v>
      </c>
      <c r="P527">
        <v>13754.29</v>
      </c>
      <c r="Q527">
        <v>9812.1299999999992</v>
      </c>
      <c r="R527" t="s">
        <v>65</v>
      </c>
      <c r="S527">
        <v>95753.29</v>
      </c>
      <c r="T527">
        <v>0</v>
      </c>
      <c r="U527" t="s">
        <v>91</v>
      </c>
      <c r="V527" t="s">
        <v>6</v>
      </c>
      <c r="W527" t="s">
        <v>67</v>
      </c>
      <c r="X527" t="s">
        <v>110</v>
      </c>
      <c r="Y527" t="s">
        <v>28</v>
      </c>
      <c r="Z527">
        <v>1.05</v>
      </c>
      <c r="AA527">
        <f t="shared" si="24"/>
        <v>9812.1299999999992</v>
      </c>
      <c r="AB527">
        <f t="shared" si="25"/>
        <v>0.10247303251930039</v>
      </c>
      <c r="AC527">
        <f t="shared" si="26"/>
        <v>0</v>
      </c>
      <c r="AD527">
        <v>2024</v>
      </c>
      <c r="AE527">
        <v>7</v>
      </c>
      <c r="AF527" t="s">
        <v>69</v>
      </c>
      <c r="AG527" t="s">
        <v>70</v>
      </c>
    </row>
    <row r="528" spans="1:33">
      <c r="A528" t="s">
        <v>679</v>
      </c>
      <c r="B528">
        <v>46008</v>
      </c>
      <c r="C528">
        <v>46010</v>
      </c>
      <c r="D528" t="s">
        <v>21</v>
      </c>
      <c r="E528">
        <v>200</v>
      </c>
      <c r="F528">
        <v>964.98</v>
      </c>
      <c r="G528">
        <v>1.64</v>
      </c>
      <c r="H528">
        <v>189830.87</v>
      </c>
      <c r="I528" t="s">
        <v>1727</v>
      </c>
      <c r="J528">
        <v>717.95</v>
      </c>
      <c r="K528">
        <v>143590</v>
      </c>
      <c r="L528">
        <v>1601.22</v>
      </c>
      <c r="M528">
        <v>759.18</v>
      </c>
      <c r="N528">
        <v>10024.34</v>
      </c>
      <c r="O528">
        <v>155974.74</v>
      </c>
      <c r="P528">
        <v>46240.87</v>
      </c>
      <c r="Q528">
        <v>33856.129999999997</v>
      </c>
      <c r="R528" t="s">
        <v>65</v>
      </c>
      <c r="S528">
        <v>189830.87</v>
      </c>
      <c r="T528">
        <v>0</v>
      </c>
      <c r="U528" t="s">
        <v>66</v>
      </c>
      <c r="V528" t="s">
        <v>6</v>
      </c>
      <c r="W528" t="s">
        <v>67</v>
      </c>
      <c r="X528" t="s">
        <v>101</v>
      </c>
      <c r="Y528" t="s">
        <v>22</v>
      </c>
      <c r="Z528">
        <v>1.53</v>
      </c>
      <c r="AA528">
        <f t="shared" si="24"/>
        <v>33856.129999999997</v>
      </c>
      <c r="AB528">
        <f t="shared" si="25"/>
        <v>0.17834891659085794</v>
      </c>
      <c r="AC528">
        <f t="shared" si="26"/>
        <v>0</v>
      </c>
      <c r="AD528">
        <v>2025</v>
      </c>
      <c r="AE528">
        <v>12</v>
      </c>
      <c r="AF528" t="s">
        <v>98</v>
      </c>
      <c r="AG528" t="s">
        <v>168</v>
      </c>
    </row>
    <row r="529" spans="1:33">
      <c r="A529" t="s">
        <v>680</v>
      </c>
      <c r="B529">
        <v>45475</v>
      </c>
      <c r="C529">
        <v>45486</v>
      </c>
      <c r="D529" t="s">
        <v>29</v>
      </c>
      <c r="E529">
        <v>150</v>
      </c>
      <c r="F529">
        <v>2829.7</v>
      </c>
      <c r="G529">
        <v>2.02</v>
      </c>
      <c r="H529">
        <v>415881.01</v>
      </c>
      <c r="I529" t="s">
        <v>1726</v>
      </c>
      <c r="J529">
        <v>2301.39</v>
      </c>
      <c r="K529">
        <v>345208.5</v>
      </c>
      <c r="L529">
        <v>1369.92</v>
      </c>
      <c r="M529">
        <v>589.94000000000005</v>
      </c>
      <c r="N529">
        <v>5015.1000000000004</v>
      </c>
      <c r="O529">
        <v>352183.46</v>
      </c>
      <c r="P529">
        <v>70672.509999999995</v>
      </c>
      <c r="Q529">
        <v>63697.55</v>
      </c>
      <c r="R529" t="s">
        <v>65</v>
      </c>
      <c r="S529">
        <v>415881.01</v>
      </c>
      <c r="T529">
        <v>0</v>
      </c>
      <c r="U529" t="s">
        <v>66</v>
      </c>
      <c r="V529" t="s">
        <v>8</v>
      </c>
      <c r="W529" t="s">
        <v>67</v>
      </c>
      <c r="X529" t="s">
        <v>193</v>
      </c>
      <c r="Y529" t="s">
        <v>30</v>
      </c>
      <c r="Z529">
        <v>1.66</v>
      </c>
      <c r="AA529">
        <f t="shared" si="24"/>
        <v>63697.55</v>
      </c>
      <c r="AB529">
        <f t="shared" si="25"/>
        <v>0.15316292032665788</v>
      </c>
      <c r="AC529">
        <f t="shared" si="26"/>
        <v>0</v>
      </c>
      <c r="AD529">
        <v>2024</v>
      </c>
      <c r="AE529">
        <v>7</v>
      </c>
      <c r="AF529" t="s">
        <v>69</v>
      </c>
      <c r="AG529" t="s">
        <v>70</v>
      </c>
    </row>
    <row r="530" spans="1:33">
      <c r="A530" t="s">
        <v>681</v>
      </c>
      <c r="B530">
        <v>45460</v>
      </c>
      <c r="C530">
        <v>45462</v>
      </c>
      <c r="D530" t="s">
        <v>23</v>
      </c>
      <c r="E530">
        <v>500</v>
      </c>
      <c r="F530">
        <v>1226.5899999999999</v>
      </c>
      <c r="G530">
        <v>2.66</v>
      </c>
      <c r="H530">
        <v>596981.35</v>
      </c>
      <c r="I530" t="s">
        <v>1726</v>
      </c>
      <c r="J530">
        <v>1102.47</v>
      </c>
      <c r="K530">
        <v>551235</v>
      </c>
      <c r="L530">
        <v>4955.1400000000003</v>
      </c>
      <c r="M530">
        <v>2434.33</v>
      </c>
      <c r="N530">
        <v>4444.83</v>
      </c>
      <c r="O530">
        <v>563069.30000000005</v>
      </c>
      <c r="P530">
        <v>45746.35</v>
      </c>
      <c r="Q530">
        <v>33912.050000000003</v>
      </c>
      <c r="R530" t="s">
        <v>65</v>
      </c>
      <c r="S530">
        <v>596981.35</v>
      </c>
      <c r="T530">
        <v>0</v>
      </c>
      <c r="U530" t="s">
        <v>66</v>
      </c>
      <c r="V530" t="s">
        <v>16</v>
      </c>
      <c r="W530" t="s">
        <v>92</v>
      </c>
      <c r="X530" t="s">
        <v>205</v>
      </c>
      <c r="Y530" t="s">
        <v>24</v>
      </c>
      <c r="Z530">
        <v>0.22</v>
      </c>
      <c r="AA530">
        <f t="shared" si="24"/>
        <v>33912.050000000003</v>
      </c>
      <c r="AB530">
        <f t="shared" si="25"/>
        <v>5.6805878441596215E-2</v>
      </c>
      <c r="AC530">
        <f t="shared" si="26"/>
        <v>0</v>
      </c>
      <c r="AD530">
        <v>2024</v>
      </c>
      <c r="AE530">
        <v>6</v>
      </c>
      <c r="AF530" t="s">
        <v>111</v>
      </c>
      <c r="AG530" t="s">
        <v>148</v>
      </c>
    </row>
    <row r="531" spans="1:33">
      <c r="A531" t="s">
        <v>682</v>
      </c>
      <c r="B531">
        <v>45819</v>
      </c>
      <c r="C531">
        <v>45823</v>
      </c>
      <c r="D531" t="s">
        <v>25</v>
      </c>
      <c r="E531">
        <v>300</v>
      </c>
      <c r="F531">
        <v>934.35</v>
      </c>
      <c r="G531">
        <v>1.48</v>
      </c>
      <c r="H531">
        <v>276156.49</v>
      </c>
      <c r="I531" t="s">
        <v>1729</v>
      </c>
      <c r="J531">
        <v>800.15</v>
      </c>
      <c r="K531">
        <v>240045</v>
      </c>
      <c r="L531">
        <v>2629.52</v>
      </c>
      <c r="M531">
        <v>568.80999999999995</v>
      </c>
      <c r="N531">
        <v>7604.66</v>
      </c>
      <c r="O531">
        <v>250847.99</v>
      </c>
      <c r="P531">
        <v>36111.49</v>
      </c>
      <c r="Q531">
        <v>25308.5</v>
      </c>
      <c r="R531" t="s">
        <v>65</v>
      </c>
      <c r="S531">
        <v>276156.49</v>
      </c>
      <c r="T531">
        <v>0</v>
      </c>
      <c r="U531" t="s">
        <v>66</v>
      </c>
      <c r="V531" t="s">
        <v>16</v>
      </c>
      <c r="W531" t="s">
        <v>92</v>
      </c>
      <c r="X531" t="s">
        <v>123</v>
      </c>
      <c r="Y531" t="s">
        <v>22</v>
      </c>
      <c r="Z531">
        <v>1.59</v>
      </c>
      <c r="AA531">
        <f t="shared" si="24"/>
        <v>25308.5</v>
      </c>
      <c r="AB531">
        <f t="shared" si="25"/>
        <v>9.164550143290133E-2</v>
      </c>
      <c r="AC531">
        <f t="shared" si="26"/>
        <v>0</v>
      </c>
      <c r="AD531">
        <v>2025</v>
      </c>
      <c r="AE531">
        <v>6</v>
      </c>
      <c r="AF531" t="s">
        <v>111</v>
      </c>
      <c r="AG531" t="s">
        <v>112</v>
      </c>
    </row>
    <row r="532" spans="1:33">
      <c r="A532" t="s">
        <v>683</v>
      </c>
      <c r="B532">
        <v>45600</v>
      </c>
      <c r="C532">
        <v>45605</v>
      </c>
      <c r="D532" t="s">
        <v>21</v>
      </c>
      <c r="E532">
        <v>200</v>
      </c>
      <c r="F532">
        <v>877.98</v>
      </c>
      <c r="G532">
        <v>0.51</v>
      </c>
      <c r="H532">
        <v>174700.46</v>
      </c>
      <c r="I532" t="s">
        <v>1726</v>
      </c>
      <c r="J532">
        <v>695.66</v>
      </c>
      <c r="K532">
        <v>139132</v>
      </c>
      <c r="L532">
        <v>1283.4100000000001</v>
      </c>
      <c r="M532">
        <v>440.89</v>
      </c>
      <c r="N532">
        <v>11371.02</v>
      </c>
      <c r="O532">
        <v>152227.32</v>
      </c>
      <c r="P532">
        <v>35568.46</v>
      </c>
      <c r="Q532">
        <v>22473.14</v>
      </c>
      <c r="R532" t="s">
        <v>65</v>
      </c>
      <c r="S532">
        <v>174700.46</v>
      </c>
      <c r="T532">
        <v>0</v>
      </c>
      <c r="U532" t="s">
        <v>73</v>
      </c>
      <c r="V532" t="s">
        <v>16</v>
      </c>
      <c r="W532" t="s">
        <v>80</v>
      </c>
      <c r="X532" t="s">
        <v>162</v>
      </c>
      <c r="Y532" t="s">
        <v>26</v>
      </c>
      <c r="Z532">
        <v>0.85</v>
      </c>
      <c r="AA532">
        <f t="shared" si="24"/>
        <v>22473.14</v>
      </c>
      <c r="AB532">
        <f t="shared" si="25"/>
        <v>0.12863812722645379</v>
      </c>
      <c r="AC532">
        <f t="shared" si="26"/>
        <v>0</v>
      </c>
      <c r="AD532">
        <v>2024</v>
      </c>
      <c r="AE532">
        <v>11</v>
      </c>
      <c r="AF532" t="s">
        <v>128</v>
      </c>
      <c r="AG532" t="s">
        <v>129</v>
      </c>
    </row>
    <row r="533" spans="1:33">
      <c r="A533" t="s">
        <v>684</v>
      </c>
      <c r="B533">
        <v>45821</v>
      </c>
      <c r="D533" t="s">
        <v>25</v>
      </c>
      <c r="E533">
        <v>200</v>
      </c>
      <c r="F533">
        <v>956.7</v>
      </c>
      <c r="G533">
        <v>0.17</v>
      </c>
      <c r="H533">
        <v>191014.72</v>
      </c>
      <c r="I533" t="s">
        <v>1728</v>
      </c>
      <c r="J533">
        <v>755.72</v>
      </c>
      <c r="K533">
        <v>151144</v>
      </c>
      <c r="L533">
        <v>2158.85</v>
      </c>
      <c r="M533">
        <v>979.01</v>
      </c>
      <c r="N533">
        <v>11858.11</v>
      </c>
      <c r="O533">
        <v>166139.97</v>
      </c>
      <c r="P533">
        <v>39870.720000000001</v>
      </c>
      <c r="Q533">
        <v>24874.75</v>
      </c>
      <c r="R533" t="s">
        <v>65</v>
      </c>
      <c r="S533">
        <v>191014.72</v>
      </c>
      <c r="T533">
        <v>0</v>
      </c>
      <c r="U533" t="s">
        <v>91</v>
      </c>
      <c r="V533" t="s">
        <v>12</v>
      </c>
      <c r="W533" t="s">
        <v>67</v>
      </c>
      <c r="X533" t="s">
        <v>115</v>
      </c>
      <c r="Y533" t="s">
        <v>22</v>
      </c>
      <c r="Z533">
        <v>0.46</v>
      </c>
      <c r="AA533">
        <f t="shared" si="24"/>
        <v>24874.75</v>
      </c>
      <c r="AB533">
        <f t="shared" si="25"/>
        <v>0.13022425706249235</v>
      </c>
      <c r="AC533">
        <f t="shared" si="26"/>
        <v>0</v>
      </c>
      <c r="AD533">
        <v>2025</v>
      </c>
      <c r="AE533">
        <v>6</v>
      </c>
      <c r="AF533" t="s">
        <v>111</v>
      </c>
      <c r="AG533" t="s">
        <v>112</v>
      </c>
    </row>
    <row r="534" spans="1:33">
      <c r="A534" t="s">
        <v>685</v>
      </c>
      <c r="B534">
        <v>45487</v>
      </c>
      <c r="C534">
        <v>45499</v>
      </c>
      <c r="D534" t="s">
        <v>21</v>
      </c>
      <c r="E534">
        <v>100</v>
      </c>
      <c r="F534">
        <v>902.27</v>
      </c>
      <c r="G534">
        <v>1.91</v>
      </c>
      <c r="H534">
        <v>88503.66</v>
      </c>
      <c r="I534" t="s">
        <v>1726</v>
      </c>
      <c r="J534">
        <v>727.81</v>
      </c>
      <c r="K534">
        <v>72781</v>
      </c>
      <c r="L534">
        <v>611.11</v>
      </c>
      <c r="M534">
        <v>152.88999999999999</v>
      </c>
      <c r="N534">
        <v>10845.38</v>
      </c>
      <c r="O534">
        <v>84390.38</v>
      </c>
      <c r="P534">
        <v>15722.66</v>
      </c>
      <c r="Q534">
        <v>4113.28</v>
      </c>
      <c r="R534" t="s">
        <v>65</v>
      </c>
      <c r="S534">
        <v>88503.66</v>
      </c>
      <c r="T534">
        <v>0</v>
      </c>
      <c r="U534" t="s">
        <v>66</v>
      </c>
      <c r="V534" t="s">
        <v>6</v>
      </c>
      <c r="W534" t="s">
        <v>74</v>
      </c>
      <c r="X534" t="s">
        <v>101</v>
      </c>
      <c r="Y534" t="s">
        <v>22</v>
      </c>
      <c r="Z534">
        <v>0.06</v>
      </c>
      <c r="AA534">
        <f t="shared" si="24"/>
        <v>4113.28</v>
      </c>
      <c r="AB534">
        <f t="shared" si="25"/>
        <v>4.6475818062213466E-2</v>
      </c>
      <c r="AC534">
        <f t="shared" si="26"/>
        <v>0</v>
      </c>
      <c r="AD534">
        <v>2024</v>
      </c>
      <c r="AE534">
        <v>7</v>
      </c>
      <c r="AF534" t="s">
        <v>69</v>
      </c>
      <c r="AG534" t="s">
        <v>70</v>
      </c>
    </row>
    <row r="535" spans="1:33">
      <c r="A535" t="s">
        <v>686</v>
      </c>
      <c r="B535">
        <v>45340</v>
      </c>
      <c r="C535">
        <v>45352</v>
      </c>
      <c r="D535" t="s">
        <v>23</v>
      </c>
      <c r="E535">
        <v>1000</v>
      </c>
      <c r="F535">
        <v>1259.5</v>
      </c>
      <c r="G535">
        <v>2.81</v>
      </c>
      <c r="H535">
        <v>1224108.05</v>
      </c>
      <c r="I535" t="s">
        <v>1726</v>
      </c>
      <c r="J535">
        <v>1065.78</v>
      </c>
      <c r="K535">
        <v>1065780</v>
      </c>
      <c r="L535">
        <v>10266.61</v>
      </c>
      <c r="M535">
        <v>2439.75</v>
      </c>
      <c r="N535">
        <v>10736.39</v>
      </c>
      <c r="O535">
        <v>1089222.75</v>
      </c>
      <c r="P535">
        <v>158328.04999999999</v>
      </c>
      <c r="Q535">
        <v>134885.29999999999</v>
      </c>
      <c r="R535" t="s">
        <v>85</v>
      </c>
      <c r="S535">
        <v>352867</v>
      </c>
      <c r="T535">
        <v>871241.05</v>
      </c>
      <c r="U535" t="s">
        <v>73</v>
      </c>
      <c r="V535" t="s">
        <v>8</v>
      </c>
      <c r="W535" t="s">
        <v>92</v>
      </c>
      <c r="X535" t="s">
        <v>176</v>
      </c>
      <c r="Y535" t="s">
        <v>22</v>
      </c>
      <c r="Z535">
        <v>2.31</v>
      </c>
      <c r="AA535">
        <f t="shared" si="24"/>
        <v>134885.29999999999</v>
      </c>
      <c r="AB535">
        <f t="shared" si="25"/>
        <v>0.1101906812883062</v>
      </c>
      <c r="AC535">
        <f t="shared" si="26"/>
        <v>0</v>
      </c>
      <c r="AD535">
        <v>2024</v>
      </c>
      <c r="AE535">
        <v>2</v>
      </c>
      <c r="AF535" t="s">
        <v>172</v>
      </c>
      <c r="AG535" t="s">
        <v>173</v>
      </c>
    </row>
    <row r="536" spans="1:33">
      <c r="A536" t="s">
        <v>687</v>
      </c>
      <c r="B536">
        <v>45428</v>
      </c>
      <c r="D536" t="s">
        <v>27</v>
      </c>
      <c r="E536">
        <v>500</v>
      </c>
      <c r="F536">
        <v>752.89</v>
      </c>
      <c r="G536">
        <v>1.17</v>
      </c>
      <c r="H536">
        <v>0</v>
      </c>
      <c r="I536" t="s">
        <v>1726</v>
      </c>
      <c r="J536">
        <v>580</v>
      </c>
      <c r="K536">
        <v>0</v>
      </c>
      <c r="L536">
        <v>0</v>
      </c>
      <c r="M536">
        <v>0</v>
      </c>
      <c r="N536">
        <v>0</v>
      </c>
      <c r="O536">
        <v>0</v>
      </c>
      <c r="P536">
        <v>0</v>
      </c>
      <c r="Q536">
        <v>0</v>
      </c>
      <c r="R536" t="s">
        <v>65</v>
      </c>
      <c r="S536">
        <v>0</v>
      </c>
      <c r="T536">
        <v>0</v>
      </c>
      <c r="U536" t="s">
        <v>117</v>
      </c>
      <c r="V536" t="s">
        <v>16</v>
      </c>
      <c r="W536" t="s">
        <v>141</v>
      </c>
      <c r="X536" t="s">
        <v>81</v>
      </c>
      <c r="Y536" t="s">
        <v>24</v>
      </c>
      <c r="Z536">
        <v>2.35</v>
      </c>
      <c r="AA536">
        <f t="shared" si="24"/>
        <v>0</v>
      </c>
      <c r="AB536" t="e">
        <f t="shared" si="25"/>
        <v>#DIV/0!</v>
      </c>
      <c r="AC536">
        <f t="shared" si="26"/>
        <v>0</v>
      </c>
      <c r="AD536">
        <v>2024</v>
      </c>
      <c r="AE536">
        <v>5</v>
      </c>
      <c r="AF536" t="s">
        <v>76</v>
      </c>
      <c r="AG536" t="s">
        <v>77</v>
      </c>
    </row>
    <row r="537" spans="1:33">
      <c r="A537" t="s">
        <v>688</v>
      </c>
      <c r="B537">
        <v>45398</v>
      </c>
      <c r="C537">
        <v>45400</v>
      </c>
      <c r="D537" t="s">
        <v>21</v>
      </c>
      <c r="E537">
        <v>200</v>
      </c>
      <c r="F537">
        <v>946.67</v>
      </c>
      <c r="G537">
        <v>1.02</v>
      </c>
      <c r="H537">
        <v>187402.79</v>
      </c>
      <c r="I537" t="s">
        <v>1727</v>
      </c>
      <c r="J537">
        <v>747.25</v>
      </c>
      <c r="K537">
        <v>149450</v>
      </c>
      <c r="L537">
        <v>2410.79</v>
      </c>
      <c r="M537">
        <v>496.82</v>
      </c>
      <c r="N537">
        <v>6323.74</v>
      </c>
      <c r="O537">
        <v>158681.35</v>
      </c>
      <c r="P537">
        <v>37952.79</v>
      </c>
      <c r="Q537">
        <v>28721.439999999999</v>
      </c>
      <c r="R537" t="s">
        <v>65</v>
      </c>
      <c r="S537">
        <v>187402.79</v>
      </c>
      <c r="T537">
        <v>0</v>
      </c>
      <c r="U537" t="s">
        <v>73</v>
      </c>
      <c r="V537" t="s">
        <v>8</v>
      </c>
      <c r="W537" t="s">
        <v>92</v>
      </c>
      <c r="X537" t="s">
        <v>164</v>
      </c>
      <c r="Y537" t="s">
        <v>24</v>
      </c>
      <c r="Z537">
        <v>1.1299999999999999</v>
      </c>
      <c r="AA537">
        <f t="shared" si="24"/>
        <v>28721.439999999999</v>
      </c>
      <c r="AB537">
        <f t="shared" si="25"/>
        <v>0.15326047173577298</v>
      </c>
      <c r="AC537">
        <f t="shared" si="26"/>
        <v>0</v>
      </c>
      <c r="AD537">
        <v>2024</v>
      </c>
      <c r="AE537">
        <v>4</v>
      </c>
      <c r="AF537" t="s">
        <v>154</v>
      </c>
      <c r="AG537" t="s">
        <v>157</v>
      </c>
    </row>
    <row r="538" spans="1:33">
      <c r="A538" t="s">
        <v>689</v>
      </c>
      <c r="B538">
        <v>45664</v>
      </c>
      <c r="C538">
        <v>45676</v>
      </c>
      <c r="D538" t="s">
        <v>23</v>
      </c>
      <c r="E538">
        <v>1000</v>
      </c>
      <c r="F538">
        <v>1354.9</v>
      </c>
      <c r="G538">
        <v>0.93</v>
      </c>
      <c r="H538">
        <v>1342299.43</v>
      </c>
      <c r="I538" t="s">
        <v>1728</v>
      </c>
      <c r="J538">
        <v>1015.32</v>
      </c>
      <c r="K538">
        <v>1015320</v>
      </c>
      <c r="L538">
        <v>11830.86</v>
      </c>
      <c r="M538">
        <v>4801.5600000000004</v>
      </c>
      <c r="N538">
        <v>10828.96</v>
      </c>
      <c r="O538">
        <v>1042781.38</v>
      </c>
      <c r="P538">
        <v>326979.43</v>
      </c>
      <c r="Q538">
        <v>299518.05</v>
      </c>
      <c r="R538" t="s">
        <v>65</v>
      </c>
      <c r="S538">
        <v>1342299.43</v>
      </c>
      <c r="T538">
        <v>0</v>
      </c>
      <c r="U538" t="s">
        <v>66</v>
      </c>
      <c r="V538" t="s">
        <v>8</v>
      </c>
      <c r="W538" t="s">
        <v>92</v>
      </c>
      <c r="X538" t="s">
        <v>68</v>
      </c>
      <c r="Y538" t="s">
        <v>31</v>
      </c>
      <c r="Z538">
        <v>1.32</v>
      </c>
      <c r="AA538">
        <f t="shared" si="24"/>
        <v>299518.05</v>
      </c>
      <c r="AB538">
        <f t="shared" si="25"/>
        <v>0.22313802964216412</v>
      </c>
      <c r="AC538">
        <f t="shared" si="26"/>
        <v>0</v>
      </c>
      <c r="AD538">
        <v>2025</v>
      </c>
      <c r="AE538">
        <v>1</v>
      </c>
      <c r="AF538" t="s">
        <v>102</v>
      </c>
      <c r="AG538" t="s">
        <v>118</v>
      </c>
    </row>
    <row r="539" spans="1:33">
      <c r="A539" t="s">
        <v>690</v>
      </c>
      <c r="B539">
        <v>45889</v>
      </c>
      <c r="D539" t="s">
        <v>21</v>
      </c>
      <c r="E539">
        <v>50</v>
      </c>
      <c r="F539">
        <v>853.73</v>
      </c>
      <c r="G539">
        <v>1.08</v>
      </c>
      <c r="H539">
        <v>42225.49</v>
      </c>
      <c r="I539" t="s">
        <v>1729</v>
      </c>
      <c r="J539">
        <v>695.85</v>
      </c>
      <c r="K539">
        <v>34792.5</v>
      </c>
      <c r="L539">
        <v>635.26</v>
      </c>
      <c r="M539">
        <v>79.31</v>
      </c>
      <c r="N539">
        <v>3975.32</v>
      </c>
      <c r="O539">
        <v>39482.39</v>
      </c>
      <c r="P539">
        <v>7432.99</v>
      </c>
      <c r="Q539">
        <v>2743.1</v>
      </c>
      <c r="R539" t="s">
        <v>65</v>
      </c>
      <c r="S539">
        <v>42225.49</v>
      </c>
      <c r="T539">
        <v>0</v>
      </c>
      <c r="U539" t="s">
        <v>91</v>
      </c>
      <c r="V539" t="s">
        <v>10</v>
      </c>
      <c r="W539" t="s">
        <v>74</v>
      </c>
      <c r="X539" t="s">
        <v>208</v>
      </c>
      <c r="Y539" t="s">
        <v>26</v>
      </c>
      <c r="Z539">
        <v>0.41</v>
      </c>
      <c r="AA539">
        <f t="shared" si="24"/>
        <v>2743.1</v>
      </c>
      <c r="AB539">
        <f t="shared" si="25"/>
        <v>6.4963130090379059E-2</v>
      </c>
      <c r="AC539">
        <f t="shared" si="26"/>
        <v>0</v>
      </c>
      <c r="AD539">
        <v>2025</v>
      </c>
      <c r="AE539">
        <v>8</v>
      </c>
      <c r="AF539" t="s">
        <v>82</v>
      </c>
      <c r="AG539" t="s">
        <v>87</v>
      </c>
    </row>
    <row r="540" spans="1:33">
      <c r="A540" t="s">
        <v>691</v>
      </c>
      <c r="B540">
        <v>45613</v>
      </c>
      <c r="C540">
        <v>45615</v>
      </c>
      <c r="D540" t="s">
        <v>25</v>
      </c>
      <c r="E540">
        <v>100</v>
      </c>
      <c r="F540">
        <v>957.99</v>
      </c>
      <c r="G540">
        <v>1.97</v>
      </c>
      <c r="H540">
        <v>93911.76</v>
      </c>
      <c r="I540" t="s">
        <v>1726</v>
      </c>
      <c r="J540">
        <v>782.28</v>
      </c>
      <c r="K540">
        <v>78228</v>
      </c>
      <c r="L540">
        <v>2219.46</v>
      </c>
      <c r="M540">
        <v>247.11</v>
      </c>
      <c r="N540">
        <v>6864.37</v>
      </c>
      <c r="O540">
        <v>87558.94</v>
      </c>
      <c r="P540">
        <v>15683.76</v>
      </c>
      <c r="Q540">
        <v>6352.82</v>
      </c>
      <c r="R540" t="s">
        <v>134</v>
      </c>
      <c r="S540">
        <v>0</v>
      </c>
      <c r="T540">
        <v>93911.76</v>
      </c>
      <c r="U540" t="s">
        <v>66</v>
      </c>
      <c r="V540" t="s">
        <v>6</v>
      </c>
      <c r="W540" t="s">
        <v>74</v>
      </c>
      <c r="X540" t="s">
        <v>275</v>
      </c>
      <c r="Y540" t="s">
        <v>31</v>
      </c>
      <c r="Z540">
        <v>0.55000000000000004</v>
      </c>
      <c r="AA540">
        <f t="shared" si="24"/>
        <v>6352.82</v>
      </c>
      <c r="AB540">
        <f t="shared" si="25"/>
        <v>6.7646693023323171E-2</v>
      </c>
      <c r="AC540">
        <f t="shared" si="26"/>
        <v>0</v>
      </c>
      <c r="AD540">
        <v>2024</v>
      </c>
      <c r="AE540">
        <v>11</v>
      </c>
      <c r="AF540" t="s">
        <v>128</v>
      </c>
      <c r="AG540" t="s">
        <v>129</v>
      </c>
    </row>
    <row r="541" spans="1:33">
      <c r="A541" t="s">
        <v>692</v>
      </c>
      <c r="B541">
        <v>45446</v>
      </c>
      <c r="C541">
        <v>45455</v>
      </c>
      <c r="D541" t="s">
        <v>27</v>
      </c>
      <c r="E541">
        <v>150</v>
      </c>
      <c r="F541">
        <v>676.21</v>
      </c>
      <c r="G541">
        <v>2.38</v>
      </c>
      <c r="H541">
        <v>99017.43</v>
      </c>
      <c r="I541" t="s">
        <v>1726</v>
      </c>
      <c r="J541">
        <v>603.41</v>
      </c>
      <c r="K541">
        <v>90511.5</v>
      </c>
      <c r="L541">
        <v>954.46</v>
      </c>
      <c r="M541">
        <v>888.32</v>
      </c>
      <c r="N541">
        <v>722.43</v>
      </c>
      <c r="O541">
        <v>93076.71</v>
      </c>
      <c r="P541">
        <v>8505.93</v>
      </c>
      <c r="Q541">
        <v>5940.72</v>
      </c>
      <c r="R541" t="s">
        <v>134</v>
      </c>
      <c r="S541">
        <v>0</v>
      </c>
      <c r="T541">
        <v>99017.43</v>
      </c>
      <c r="U541" t="s">
        <v>66</v>
      </c>
      <c r="V541" t="s">
        <v>8</v>
      </c>
      <c r="W541" t="s">
        <v>67</v>
      </c>
      <c r="X541" t="s">
        <v>110</v>
      </c>
      <c r="Y541" t="s">
        <v>28</v>
      </c>
      <c r="Z541">
        <v>1.76</v>
      </c>
      <c r="AA541">
        <f t="shared" si="24"/>
        <v>5940.72</v>
      </c>
      <c r="AB541">
        <f t="shared" si="25"/>
        <v>5.9996709670206552E-2</v>
      </c>
      <c r="AC541">
        <f t="shared" si="26"/>
        <v>0</v>
      </c>
      <c r="AD541">
        <v>2024</v>
      </c>
      <c r="AE541">
        <v>6</v>
      </c>
      <c r="AF541" t="s">
        <v>111</v>
      </c>
      <c r="AG541" t="s">
        <v>148</v>
      </c>
    </row>
    <row r="542" spans="1:33">
      <c r="A542" t="s">
        <v>693</v>
      </c>
      <c r="B542">
        <v>45383</v>
      </c>
      <c r="C542">
        <v>45386</v>
      </c>
      <c r="D542" t="s">
        <v>25</v>
      </c>
      <c r="E542">
        <v>750</v>
      </c>
      <c r="F542">
        <v>950.6</v>
      </c>
      <c r="G542">
        <v>4.24</v>
      </c>
      <c r="H542">
        <v>682720.92</v>
      </c>
      <c r="I542" t="s">
        <v>1726</v>
      </c>
      <c r="J542">
        <v>721.96</v>
      </c>
      <c r="K542">
        <v>541470</v>
      </c>
      <c r="L542">
        <v>17987.22</v>
      </c>
      <c r="M542">
        <v>2955.11</v>
      </c>
      <c r="N542">
        <v>983.07</v>
      </c>
      <c r="O542">
        <v>563395.4</v>
      </c>
      <c r="P542">
        <v>141250.92000000001</v>
      </c>
      <c r="Q542">
        <v>119325.52</v>
      </c>
      <c r="R542" t="s">
        <v>65</v>
      </c>
      <c r="S542">
        <v>682720.92</v>
      </c>
      <c r="T542">
        <v>0</v>
      </c>
      <c r="U542" t="s">
        <v>66</v>
      </c>
      <c r="V542" t="s">
        <v>14</v>
      </c>
      <c r="W542" t="s">
        <v>80</v>
      </c>
      <c r="X542" t="s">
        <v>327</v>
      </c>
      <c r="Y542" t="s">
        <v>26</v>
      </c>
      <c r="Z542">
        <v>0.39</v>
      </c>
      <c r="AA542">
        <f t="shared" si="24"/>
        <v>119325.52</v>
      </c>
      <c r="AB542">
        <f t="shared" si="25"/>
        <v>0.17477935200813827</v>
      </c>
      <c r="AC542">
        <f t="shared" si="26"/>
        <v>0</v>
      </c>
      <c r="AD542">
        <v>2024</v>
      </c>
      <c r="AE542">
        <v>4</v>
      </c>
      <c r="AF542" t="s">
        <v>154</v>
      </c>
      <c r="AG542" t="s">
        <v>157</v>
      </c>
    </row>
    <row r="543" spans="1:33">
      <c r="A543" t="s">
        <v>694</v>
      </c>
      <c r="B543">
        <v>45534</v>
      </c>
      <c r="C543">
        <v>45544</v>
      </c>
      <c r="D543" t="s">
        <v>21</v>
      </c>
      <c r="E543">
        <v>300</v>
      </c>
      <c r="F543">
        <v>904.64</v>
      </c>
      <c r="G543">
        <v>1.68</v>
      </c>
      <c r="H543">
        <v>266832.61</v>
      </c>
      <c r="I543" t="s">
        <v>1726</v>
      </c>
      <c r="J543">
        <v>677.89</v>
      </c>
      <c r="K543">
        <v>203367</v>
      </c>
      <c r="L543">
        <v>3983.59</v>
      </c>
      <c r="M543">
        <v>1118.27</v>
      </c>
      <c r="N543">
        <v>38.26</v>
      </c>
      <c r="O543">
        <v>208507.12</v>
      </c>
      <c r="P543">
        <v>63465.61</v>
      </c>
      <c r="Q543">
        <v>58325.49</v>
      </c>
      <c r="R543" t="s">
        <v>65</v>
      </c>
      <c r="S543">
        <v>266832.61</v>
      </c>
      <c r="T543">
        <v>0</v>
      </c>
      <c r="U543" t="s">
        <v>66</v>
      </c>
      <c r="V543" t="s">
        <v>14</v>
      </c>
      <c r="W543" t="s">
        <v>74</v>
      </c>
      <c r="X543" t="s">
        <v>86</v>
      </c>
      <c r="Y543" t="s">
        <v>30</v>
      </c>
      <c r="Z543">
        <v>0.56999999999999995</v>
      </c>
      <c r="AA543">
        <f t="shared" si="24"/>
        <v>58325.49</v>
      </c>
      <c r="AB543">
        <f t="shared" si="25"/>
        <v>0.21858456505747181</v>
      </c>
      <c r="AC543">
        <f t="shared" si="26"/>
        <v>0</v>
      </c>
      <c r="AD543">
        <v>2024</v>
      </c>
      <c r="AE543">
        <v>8</v>
      </c>
      <c r="AF543" t="s">
        <v>82</v>
      </c>
      <c r="AG543" t="s">
        <v>83</v>
      </c>
    </row>
    <row r="544" spans="1:33">
      <c r="A544" t="s">
        <v>695</v>
      </c>
      <c r="B544">
        <v>45784</v>
      </c>
      <c r="C544">
        <v>45795</v>
      </c>
      <c r="D544" t="s">
        <v>21</v>
      </c>
      <c r="E544">
        <v>300</v>
      </c>
      <c r="F544">
        <v>889.95</v>
      </c>
      <c r="G544">
        <v>0.44</v>
      </c>
      <c r="H544">
        <v>265810.27</v>
      </c>
      <c r="I544" t="s">
        <v>1726</v>
      </c>
      <c r="J544">
        <v>706.47</v>
      </c>
      <c r="K544">
        <v>211941</v>
      </c>
      <c r="L544">
        <v>4748.99</v>
      </c>
      <c r="M544">
        <v>1769.45</v>
      </c>
      <c r="N544">
        <v>3844.09</v>
      </c>
      <c r="O544">
        <v>222303.53</v>
      </c>
      <c r="P544">
        <v>53869.27</v>
      </c>
      <c r="Q544">
        <v>43506.74</v>
      </c>
      <c r="R544" t="s">
        <v>65</v>
      </c>
      <c r="S544">
        <v>265810.27</v>
      </c>
      <c r="T544">
        <v>0</v>
      </c>
      <c r="U544" t="s">
        <v>73</v>
      </c>
      <c r="V544" t="s">
        <v>16</v>
      </c>
      <c r="W544" t="s">
        <v>67</v>
      </c>
      <c r="X544" t="s">
        <v>123</v>
      </c>
      <c r="Y544" t="s">
        <v>22</v>
      </c>
      <c r="Z544">
        <v>0.22</v>
      </c>
      <c r="AA544">
        <f t="shared" si="24"/>
        <v>43506.74</v>
      </c>
      <c r="AB544">
        <f t="shared" si="25"/>
        <v>0.16367591816523866</v>
      </c>
      <c r="AC544">
        <f t="shared" si="26"/>
        <v>0</v>
      </c>
      <c r="AD544">
        <v>2025</v>
      </c>
      <c r="AE544">
        <v>5</v>
      </c>
      <c r="AF544" t="s">
        <v>76</v>
      </c>
      <c r="AG544" t="s">
        <v>94</v>
      </c>
    </row>
    <row r="545" spans="1:33">
      <c r="A545" t="s">
        <v>696</v>
      </c>
      <c r="B545">
        <v>45865</v>
      </c>
      <c r="C545">
        <v>45875</v>
      </c>
      <c r="D545" t="s">
        <v>25</v>
      </c>
      <c r="E545">
        <v>100</v>
      </c>
      <c r="F545">
        <v>1006.33</v>
      </c>
      <c r="G545">
        <v>0.25</v>
      </c>
      <c r="H545">
        <v>100381.42</v>
      </c>
      <c r="I545" t="s">
        <v>1727</v>
      </c>
      <c r="J545">
        <v>747.13</v>
      </c>
      <c r="K545">
        <v>74713</v>
      </c>
      <c r="L545">
        <v>1910.66</v>
      </c>
      <c r="M545">
        <v>406.99</v>
      </c>
      <c r="N545">
        <v>9913.69</v>
      </c>
      <c r="O545">
        <v>86944.34</v>
      </c>
      <c r="P545">
        <v>25668.42</v>
      </c>
      <c r="Q545">
        <v>13437.08</v>
      </c>
      <c r="R545" t="s">
        <v>65</v>
      </c>
      <c r="S545">
        <v>100381.42</v>
      </c>
      <c r="T545">
        <v>0</v>
      </c>
      <c r="U545" t="s">
        <v>66</v>
      </c>
      <c r="V545" t="s">
        <v>14</v>
      </c>
      <c r="W545" t="s">
        <v>74</v>
      </c>
      <c r="X545" t="s">
        <v>101</v>
      </c>
      <c r="Y545" t="s">
        <v>22</v>
      </c>
      <c r="Z545">
        <v>2.2799999999999998</v>
      </c>
      <c r="AA545">
        <f t="shared" si="24"/>
        <v>13437.08</v>
      </c>
      <c r="AB545">
        <f t="shared" si="25"/>
        <v>0.1338602303095533</v>
      </c>
      <c r="AC545">
        <f t="shared" si="26"/>
        <v>0</v>
      </c>
      <c r="AD545">
        <v>2025</v>
      </c>
      <c r="AE545">
        <v>7</v>
      </c>
      <c r="AF545" t="s">
        <v>69</v>
      </c>
      <c r="AG545" t="s">
        <v>151</v>
      </c>
    </row>
    <row r="546" spans="1:33">
      <c r="A546" t="s">
        <v>697</v>
      </c>
      <c r="B546">
        <v>45839</v>
      </c>
      <c r="C546">
        <v>45847</v>
      </c>
      <c r="D546" t="s">
        <v>21</v>
      </c>
      <c r="E546">
        <v>200</v>
      </c>
      <c r="F546">
        <v>848.31</v>
      </c>
      <c r="G546">
        <v>0.97</v>
      </c>
      <c r="H546">
        <v>168016.28</v>
      </c>
      <c r="I546" t="s">
        <v>1726</v>
      </c>
      <c r="J546">
        <v>662.78</v>
      </c>
      <c r="K546">
        <v>132556</v>
      </c>
      <c r="L546">
        <v>2341.9899999999998</v>
      </c>
      <c r="M546">
        <v>598.86</v>
      </c>
      <c r="N546">
        <v>6521.14</v>
      </c>
      <c r="O546">
        <v>142017.99</v>
      </c>
      <c r="P546">
        <v>35460.28</v>
      </c>
      <c r="Q546">
        <v>25998.29</v>
      </c>
      <c r="R546" t="s">
        <v>65</v>
      </c>
      <c r="S546">
        <v>168016.28</v>
      </c>
      <c r="T546">
        <v>0</v>
      </c>
      <c r="U546" t="s">
        <v>66</v>
      </c>
      <c r="V546" t="s">
        <v>12</v>
      </c>
      <c r="W546" t="s">
        <v>74</v>
      </c>
      <c r="X546" t="s">
        <v>230</v>
      </c>
      <c r="Y546" t="s">
        <v>31</v>
      </c>
      <c r="Z546">
        <v>1.91</v>
      </c>
      <c r="AA546">
        <f t="shared" si="24"/>
        <v>25998.29</v>
      </c>
      <c r="AB546">
        <f t="shared" si="25"/>
        <v>0.15473673146435571</v>
      </c>
      <c r="AC546">
        <f t="shared" si="26"/>
        <v>0</v>
      </c>
      <c r="AD546">
        <v>2025</v>
      </c>
      <c r="AE546">
        <v>7</v>
      </c>
      <c r="AF546" t="s">
        <v>69</v>
      </c>
      <c r="AG546" t="s">
        <v>151</v>
      </c>
    </row>
    <row r="547" spans="1:33">
      <c r="A547" t="s">
        <v>698</v>
      </c>
      <c r="B547">
        <v>45617</v>
      </c>
      <c r="D547" t="s">
        <v>23</v>
      </c>
      <c r="E547">
        <v>300</v>
      </c>
      <c r="F547">
        <v>1290.83</v>
      </c>
      <c r="G547">
        <v>1.9</v>
      </c>
      <c r="H547">
        <v>379891.27</v>
      </c>
      <c r="I547" t="s">
        <v>1726</v>
      </c>
      <c r="J547">
        <v>1112.55</v>
      </c>
      <c r="K547">
        <v>333765</v>
      </c>
      <c r="L547">
        <v>7167.05</v>
      </c>
      <c r="M547">
        <v>1602.85</v>
      </c>
      <c r="N547">
        <v>4812.58</v>
      </c>
      <c r="O547">
        <v>347347.48</v>
      </c>
      <c r="P547">
        <v>46126.27</v>
      </c>
      <c r="Q547">
        <v>32543.79</v>
      </c>
      <c r="R547" t="s">
        <v>85</v>
      </c>
      <c r="S547">
        <v>261351.11</v>
      </c>
      <c r="T547">
        <v>118540.16</v>
      </c>
      <c r="U547" t="s">
        <v>91</v>
      </c>
      <c r="V547" t="s">
        <v>10</v>
      </c>
      <c r="W547" t="s">
        <v>141</v>
      </c>
      <c r="X547" t="s">
        <v>127</v>
      </c>
      <c r="Y547" t="s">
        <v>22</v>
      </c>
      <c r="Z547">
        <v>2.14</v>
      </c>
      <c r="AA547">
        <f t="shared" si="24"/>
        <v>32543.79</v>
      </c>
      <c r="AB547">
        <f t="shared" si="25"/>
        <v>8.5666064397847311E-2</v>
      </c>
      <c r="AC547">
        <f t="shared" si="26"/>
        <v>0</v>
      </c>
      <c r="AD547">
        <v>2024</v>
      </c>
      <c r="AE547">
        <v>11</v>
      </c>
      <c r="AF547" t="s">
        <v>128</v>
      </c>
      <c r="AG547" t="s">
        <v>129</v>
      </c>
    </row>
    <row r="548" spans="1:33">
      <c r="A548" t="s">
        <v>699</v>
      </c>
      <c r="B548">
        <v>45389</v>
      </c>
      <c r="D548" t="s">
        <v>25</v>
      </c>
      <c r="E548">
        <v>750</v>
      </c>
      <c r="F548">
        <v>1055.6099999999999</v>
      </c>
      <c r="G548">
        <v>3.23</v>
      </c>
      <c r="H548">
        <v>766135.35</v>
      </c>
      <c r="I548" t="s">
        <v>1726</v>
      </c>
      <c r="J548">
        <v>731.78</v>
      </c>
      <c r="K548">
        <v>548835</v>
      </c>
      <c r="L548">
        <v>11474.45</v>
      </c>
      <c r="M548">
        <v>2411.0300000000002</v>
      </c>
      <c r="N548">
        <v>11821.04</v>
      </c>
      <c r="O548">
        <v>574541.52</v>
      </c>
      <c r="P548">
        <v>217300.35</v>
      </c>
      <c r="Q548">
        <v>191593.83</v>
      </c>
      <c r="R548" t="s">
        <v>65</v>
      </c>
      <c r="S548">
        <v>766135.35</v>
      </c>
      <c r="T548">
        <v>0</v>
      </c>
      <c r="U548" t="s">
        <v>91</v>
      </c>
      <c r="V548" t="s">
        <v>6</v>
      </c>
      <c r="W548" t="s">
        <v>74</v>
      </c>
      <c r="X548" t="s">
        <v>224</v>
      </c>
      <c r="Y548" t="s">
        <v>31</v>
      </c>
      <c r="Z548">
        <v>7.0000000000000007E-2</v>
      </c>
      <c r="AA548">
        <f t="shared" si="24"/>
        <v>191593.83</v>
      </c>
      <c r="AB548">
        <f t="shared" si="25"/>
        <v>0.25007830535426934</v>
      </c>
      <c r="AC548">
        <f t="shared" si="26"/>
        <v>0</v>
      </c>
      <c r="AD548">
        <v>2024</v>
      </c>
      <c r="AE548">
        <v>4</v>
      </c>
      <c r="AF548" t="s">
        <v>154</v>
      </c>
      <c r="AG548" t="s">
        <v>157</v>
      </c>
    </row>
    <row r="549" spans="1:33">
      <c r="A549" t="s">
        <v>700</v>
      </c>
      <c r="B549">
        <v>45356</v>
      </c>
      <c r="D549" t="s">
        <v>23</v>
      </c>
      <c r="E549">
        <v>250</v>
      </c>
      <c r="F549">
        <v>1288.54</v>
      </c>
      <c r="G549">
        <v>0.77</v>
      </c>
      <c r="H549">
        <v>319654.56</v>
      </c>
      <c r="I549" t="s">
        <v>1727</v>
      </c>
      <c r="J549">
        <v>1025.3699999999999</v>
      </c>
      <c r="K549">
        <v>256342.5</v>
      </c>
      <c r="L549">
        <v>5279.41</v>
      </c>
      <c r="M549">
        <v>632.25</v>
      </c>
      <c r="N549">
        <v>5261.33</v>
      </c>
      <c r="O549">
        <v>267515.49</v>
      </c>
      <c r="P549">
        <v>63312.06</v>
      </c>
      <c r="Q549">
        <v>52139.07</v>
      </c>
      <c r="R549" t="s">
        <v>65</v>
      </c>
      <c r="S549">
        <v>319654.56</v>
      </c>
      <c r="T549">
        <v>0</v>
      </c>
      <c r="U549" t="s">
        <v>91</v>
      </c>
      <c r="V549" t="s">
        <v>8</v>
      </c>
      <c r="W549" t="s">
        <v>67</v>
      </c>
      <c r="X549" t="s">
        <v>89</v>
      </c>
      <c r="Y549" t="s">
        <v>28</v>
      </c>
      <c r="Z549">
        <v>1.91</v>
      </c>
      <c r="AA549">
        <f t="shared" si="24"/>
        <v>52139.07</v>
      </c>
      <c r="AB549">
        <f t="shared" si="25"/>
        <v>0.16311067172012186</v>
      </c>
      <c r="AC549">
        <f t="shared" si="26"/>
        <v>0</v>
      </c>
      <c r="AD549">
        <v>2024</v>
      </c>
      <c r="AE549">
        <v>3</v>
      </c>
      <c r="AF549" t="s">
        <v>105</v>
      </c>
      <c r="AG549" t="s">
        <v>120</v>
      </c>
    </row>
    <row r="550" spans="1:33">
      <c r="A550" t="s">
        <v>701</v>
      </c>
      <c r="B550">
        <v>45344</v>
      </c>
      <c r="C550">
        <v>45350</v>
      </c>
      <c r="D550" t="s">
        <v>27</v>
      </c>
      <c r="E550">
        <v>250</v>
      </c>
      <c r="F550">
        <v>673.11</v>
      </c>
      <c r="G550">
        <v>1.34</v>
      </c>
      <c r="H550">
        <v>166022.57999999999</v>
      </c>
      <c r="I550" t="s">
        <v>1726</v>
      </c>
      <c r="J550">
        <v>527.87</v>
      </c>
      <c r="K550">
        <v>131967.5</v>
      </c>
      <c r="L550">
        <v>3752.85</v>
      </c>
      <c r="M550">
        <v>466.78</v>
      </c>
      <c r="N550">
        <v>1640.98</v>
      </c>
      <c r="O550">
        <v>137828.10999999999</v>
      </c>
      <c r="P550">
        <v>34055.08</v>
      </c>
      <c r="Q550">
        <v>28194.47</v>
      </c>
      <c r="R550" t="s">
        <v>65</v>
      </c>
      <c r="S550">
        <v>166022.57999999999</v>
      </c>
      <c r="T550">
        <v>0</v>
      </c>
      <c r="U550" t="s">
        <v>66</v>
      </c>
      <c r="V550" t="s">
        <v>12</v>
      </c>
      <c r="W550" t="s">
        <v>74</v>
      </c>
      <c r="X550" t="s">
        <v>75</v>
      </c>
      <c r="Y550" t="s">
        <v>28</v>
      </c>
      <c r="Z550">
        <v>0.24</v>
      </c>
      <c r="AA550">
        <f t="shared" si="24"/>
        <v>28194.47</v>
      </c>
      <c r="AB550">
        <f t="shared" si="25"/>
        <v>0.16982310478490337</v>
      </c>
      <c r="AC550">
        <f t="shared" si="26"/>
        <v>0</v>
      </c>
      <c r="AD550">
        <v>2024</v>
      </c>
      <c r="AE550">
        <v>2</v>
      </c>
      <c r="AF550" t="s">
        <v>172</v>
      </c>
      <c r="AG550" t="s">
        <v>173</v>
      </c>
    </row>
    <row r="551" spans="1:33">
      <c r="A551" t="s">
        <v>702</v>
      </c>
      <c r="B551">
        <v>45446</v>
      </c>
      <c r="C551">
        <v>45448</v>
      </c>
      <c r="D551" t="s">
        <v>21</v>
      </c>
      <c r="E551">
        <v>750</v>
      </c>
      <c r="F551">
        <v>874.39</v>
      </c>
      <c r="G551">
        <v>1.25</v>
      </c>
      <c r="H551">
        <v>647595.09</v>
      </c>
      <c r="I551" t="s">
        <v>1728</v>
      </c>
      <c r="J551">
        <v>699.05</v>
      </c>
      <c r="K551">
        <v>524287.5</v>
      </c>
      <c r="L551">
        <v>4824.32</v>
      </c>
      <c r="M551">
        <v>1552.01</v>
      </c>
      <c r="N551">
        <v>2590.31</v>
      </c>
      <c r="O551">
        <v>533254.14</v>
      </c>
      <c r="P551">
        <v>123307.59</v>
      </c>
      <c r="Q551">
        <v>114340.95</v>
      </c>
      <c r="R551" t="s">
        <v>65</v>
      </c>
      <c r="S551">
        <v>647595.09</v>
      </c>
      <c r="T551">
        <v>0</v>
      </c>
      <c r="U551" t="s">
        <v>66</v>
      </c>
      <c r="V551" t="s">
        <v>12</v>
      </c>
      <c r="W551" t="s">
        <v>74</v>
      </c>
      <c r="X551" t="s">
        <v>375</v>
      </c>
      <c r="Y551" t="s">
        <v>30</v>
      </c>
      <c r="Z551">
        <v>2.0699999999999998</v>
      </c>
      <c r="AA551">
        <f t="shared" si="24"/>
        <v>114340.95</v>
      </c>
      <c r="AB551">
        <f t="shared" si="25"/>
        <v>0.17656241031722461</v>
      </c>
      <c r="AC551">
        <f t="shared" si="26"/>
        <v>0</v>
      </c>
      <c r="AD551">
        <v>2024</v>
      </c>
      <c r="AE551">
        <v>6</v>
      </c>
      <c r="AF551" t="s">
        <v>111</v>
      </c>
      <c r="AG551" t="s">
        <v>148</v>
      </c>
    </row>
    <row r="552" spans="1:33">
      <c r="A552" t="s">
        <v>703</v>
      </c>
      <c r="B552">
        <v>45576</v>
      </c>
      <c r="C552">
        <v>45585</v>
      </c>
      <c r="D552" t="s">
        <v>23</v>
      </c>
      <c r="E552">
        <v>300</v>
      </c>
      <c r="F552">
        <v>1274.82</v>
      </c>
      <c r="G552">
        <v>2.37</v>
      </c>
      <c r="H552">
        <v>373382.03</v>
      </c>
      <c r="I552" t="s">
        <v>1727</v>
      </c>
      <c r="J552">
        <v>987.32</v>
      </c>
      <c r="K552">
        <v>296196</v>
      </c>
      <c r="L552">
        <v>1985.21</v>
      </c>
      <c r="M552">
        <v>1386.51</v>
      </c>
      <c r="N552">
        <v>5231.7299999999996</v>
      </c>
      <c r="O552">
        <v>304799.45</v>
      </c>
      <c r="P552">
        <v>77186.03</v>
      </c>
      <c r="Q552">
        <v>68582.58</v>
      </c>
      <c r="R552" t="s">
        <v>65</v>
      </c>
      <c r="S552">
        <v>373382.03</v>
      </c>
      <c r="T552">
        <v>0</v>
      </c>
      <c r="U552" t="s">
        <v>66</v>
      </c>
      <c r="V552" t="s">
        <v>6</v>
      </c>
      <c r="W552" t="s">
        <v>74</v>
      </c>
      <c r="X552" t="s">
        <v>97</v>
      </c>
      <c r="Y552" t="s">
        <v>24</v>
      </c>
      <c r="Z552">
        <v>1.24</v>
      </c>
      <c r="AA552">
        <f t="shared" si="24"/>
        <v>68582.58</v>
      </c>
      <c r="AB552">
        <f t="shared" si="25"/>
        <v>0.1836793806065064</v>
      </c>
      <c r="AC552">
        <f t="shared" si="26"/>
        <v>0</v>
      </c>
      <c r="AD552">
        <v>2024</v>
      </c>
      <c r="AE552">
        <v>10</v>
      </c>
      <c r="AF552" t="s">
        <v>138</v>
      </c>
      <c r="AG552" t="s">
        <v>139</v>
      </c>
    </row>
    <row r="553" spans="1:33">
      <c r="A553" t="s">
        <v>704</v>
      </c>
      <c r="B553">
        <v>45823</v>
      </c>
      <c r="C553">
        <v>45835</v>
      </c>
      <c r="D553" t="s">
        <v>21</v>
      </c>
      <c r="E553">
        <v>200</v>
      </c>
      <c r="F553">
        <v>820.32</v>
      </c>
      <c r="G553">
        <v>2.14</v>
      </c>
      <c r="H553">
        <v>160553.03</v>
      </c>
      <c r="I553" t="s">
        <v>1726</v>
      </c>
      <c r="J553">
        <v>680.16</v>
      </c>
      <c r="K553">
        <v>136032</v>
      </c>
      <c r="L553">
        <v>2925.66</v>
      </c>
      <c r="M553">
        <v>396.76</v>
      </c>
      <c r="N553">
        <v>10609.76</v>
      </c>
      <c r="O553">
        <v>149964.18</v>
      </c>
      <c r="P553">
        <v>24521.03</v>
      </c>
      <c r="Q553">
        <v>10588.85</v>
      </c>
      <c r="R553" t="s">
        <v>65</v>
      </c>
      <c r="S553">
        <v>160553.03</v>
      </c>
      <c r="T553">
        <v>0</v>
      </c>
      <c r="U553" t="s">
        <v>66</v>
      </c>
      <c r="V553" t="s">
        <v>6</v>
      </c>
      <c r="W553" t="s">
        <v>74</v>
      </c>
      <c r="X553" t="s">
        <v>108</v>
      </c>
      <c r="Y553" t="s">
        <v>22</v>
      </c>
      <c r="Z553">
        <v>0.9</v>
      </c>
      <c r="AA553">
        <f t="shared" si="24"/>
        <v>10588.85</v>
      </c>
      <c r="AB553">
        <f t="shared" si="25"/>
        <v>6.5952352316240942E-2</v>
      </c>
      <c r="AC553">
        <f t="shared" si="26"/>
        <v>0</v>
      </c>
      <c r="AD553">
        <v>2025</v>
      </c>
      <c r="AE553">
        <v>6</v>
      </c>
      <c r="AF553" t="s">
        <v>111</v>
      </c>
      <c r="AG553" t="s">
        <v>112</v>
      </c>
    </row>
    <row r="554" spans="1:33">
      <c r="A554" t="s">
        <v>705</v>
      </c>
      <c r="B554">
        <v>45443</v>
      </c>
      <c r="C554">
        <v>45451</v>
      </c>
      <c r="D554" t="s">
        <v>21</v>
      </c>
      <c r="E554">
        <v>300</v>
      </c>
      <c r="F554">
        <v>863.19</v>
      </c>
      <c r="G554">
        <v>2.0299999999999998</v>
      </c>
      <c r="H554">
        <v>253700.17</v>
      </c>
      <c r="I554" t="s">
        <v>1728</v>
      </c>
      <c r="J554">
        <v>722.42</v>
      </c>
      <c r="K554">
        <v>216726</v>
      </c>
      <c r="L554">
        <v>4648.01</v>
      </c>
      <c r="M554">
        <v>1561.25</v>
      </c>
      <c r="N554">
        <v>2303.3200000000002</v>
      </c>
      <c r="O554">
        <v>225238.58</v>
      </c>
      <c r="P554">
        <v>36974.17</v>
      </c>
      <c r="Q554">
        <v>28461.59</v>
      </c>
      <c r="R554" t="s">
        <v>65</v>
      </c>
      <c r="S554">
        <v>253700.17</v>
      </c>
      <c r="T554">
        <v>0</v>
      </c>
      <c r="U554" t="s">
        <v>66</v>
      </c>
      <c r="V554" t="s">
        <v>16</v>
      </c>
      <c r="W554" t="s">
        <v>80</v>
      </c>
      <c r="X554" t="s">
        <v>150</v>
      </c>
      <c r="Y554" t="s">
        <v>30</v>
      </c>
      <c r="Z554">
        <v>1.85</v>
      </c>
      <c r="AA554">
        <f t="shared" si="24"/>
        <v>28461.59</v>
      </c>
      <c r="AB554">
        <f t="shared" si="25"/>
        <v>0.11218593192113352</v>
      </c>
      <c r="AC554">
        <f t="shared" si="26"/>
        <v>0</v>
      </c>
      <c r="AD554">
        <v>2024</v>
      </c>
      <c r="AE554">
        <v>5</v>
      </c>
      <c r="AF554" t="s">
        <v>76</v>
      </c>
      <c r="AG554" t="s">
        <v>77</v>
      </c>
    </row>
    <row r="555" spans="1:33">
      <c r="A555" t="s">
        <v>706</v>
      </c>
      <c r="B555">
        <v>45833</v>
      </c>
      <c r="C555">
        <v>45840</v>
      </c>
      <c r="D555" t="s">
        <v>23</v>
      </c>
      <c r="E555">
        <v>250</v>
      </c>
      <c r="F555">
        <v>1306.96</v>
      </c>
      <c r="G555">
        <v>2.1800000000000002</v>
      </c>
      <c r="H555">
        <v>319617.07</v>
      </c>
      <c r="I555" t="s">
        <v>1727</v>
      </c>
      <c r="J555">
        <v>1041.02</v>
      </c>
      <c r="K555">
        <v>260255</v>
      </c>
      <c r="L555">
        <v>1628.5</v>
      </c>
      <c r="M555">
        <v>542.24</v>
      </c>
      <c r="N555">
        <v>8799.09</v>
      </c>
      <c r="O555">
        <v>271224.83</v>
      </c>
      <c r="P555">
        <v>59362.07</v>
      </c>
      <c r="Q555">
        <v>48392.24</v>
      </c>
      <c r="R555" t="s">
        <v>65</v>
      </c>
      <c r="S555">
        <v>319617.07</v>
      </c>
      <c r="T555">
        <v>0</v>
      </c>
      <c r="U555" t="s">
        <v>66</v>
      </c>
      <c r="V555" t="s">
        <v>14</v>
      </c>
      <c r="W555" t="s">
        <v>80</v>
      </c>
      <c r="X555" t="s">
        <v>115</v>
      </c>
      <c r="Y555" t="s">
        <v>22</v>
      </c>
      <c r="Z555">
        <v>2.27</v>
      </c>
      <c r="AA555">
        <f t="shared" si="24"/>
        <v>48392.24</v>
      </c>
      <c r="AB555">
        <f t="shared" si="25"/>
        <v>0.15140693205153277</v>
      </c>
      <c r="AC555">
        <f t="shared" si="26"/>
        <v>0</v>
      </c>
      <c r="AD555">
        <v>2025</v>
      </c>
      <c r="AE555">
        <v>6</v>
      </c>
      <c r="AF555" t="s">
        <v>111</v>
      </c>
      <c r="AG555" t="s">
        <v>112</v>
      </c>
    </row>
    <row r="556" spans="1:33">
      <c r="A556" t="s">
        <v>707</v>
      </c>
      <c r="B556">
        <v>45909</v>
      </c>
      <c r="D556" t="s">
        <v>25</v>
      </c>
      <c r="E556">
        <v>750</v>
      </c>
      <c r="F556">
        <v>1051.01</v>
      </c>
      <c r="G556">
        <v>0.14000000000000001</v>
      </c>
      <c r="H556">
        <v>787153.94</v>
      </c>
      <c r="I556" t="s">
        <v>1727</v>
      </c>
      <c r="J556">
        <v>726.1</v>
      </c>
      <c r="K556">
        <v>544575</v>
      </c>
      <c r="L556">
        <v>4226.84</v>
      </c>
      <c r="M556">
        <v>2012.2</v>
      </c>
      <c r="N556">
        <v>6236.79</v>
      </c>
      <c r="O556">
        <v>557050.82999999996</v>
      </c>
      <c r="P556">
        <v>242578.94</v>
      </c>
      <c r="Q556">
        <v>230103.11</v>
      </c>
      <c r="R556" t="s">
        <v>65</v>
      </c>
      <c r="S556">
        <v>787153.94</v>
      </c>
      <c r="T556">
        <v>0</v>
      </c>
      <c r="U556" t="s">
        <v>91</v>
      </c>
      <c r="V556" t="s">
        <v>16</v>
      </c>
      <c r="W556" t="s">
        <v>67</v>
      </c>
      <c r="X556" t="s">
        <v>108</v>
      </c>
      <c r="Y556" t="s">
        <v>22</v>
      </c>
      <c r="Z556">
        <v>1.45</v>
      </c>
      <c r="AA556">
        <f t="shared" si="24"/>
        <v>230103.11</v>
      </c>
      <c r="AB556">
        <f t="shared" si="25"/>
        <v>0.29232288413623386</v>
      </c>
      <c r="AC556">
        <f t="shared" si="26"/>
        <v>0</v>
      </c>
      <c r="AD556">
        <v>2025</v>
      </c>
      <c r="AE556">
        <v>9</v>
      </c>
      <c r="AF556" t="s">
        <v>131</v>
      </c>
      <c r="AG556" t="s">
        <v>132</v>
      </c>
    </row>
    <row r="557" spans="1:33">
      <c r="A557" t="s">
        <v>708</v>
      </c>
      <c r="B557">
        <v>45832</v>
      </c>
      <c r="D557" t="s">
        <v>23</v>
      </c>
      <c r="E557">
        <v>200</v>
      </c>
      <c r="F557">
        <v>1233.73</v>
      </c>
      <c r="G557">
        <v>1.99</v>
      </c>
      <c r="H557">
        <v>241835.75</v>
      </c>
      <c r="I557" t="s">
        <v>1727</v>
      </c>
      <c r="J557">
        <v>1104.46</v>
      </c>
      <c r="K557">
        <v>220892</v>
      </c>
      <c r="L557">
        <v>4029.64</v>
      </c>
      <c r="M557">
        <v>378.43</v>
      </c>
      <c r="N557">
        <v>3690.88</v>
      </c>
      <c r="O557">
        <v>228990.95</v>
      </c>
      <c r="P557">
        <v>20943.75</v>
      </c>
      <c r="Q557">
        <v>12844.8</v>
      </c>
      <c r="R557" t="s">
        <v>65</v>
      </c>
      <c r="S557">
        <v>241835.75</v>
      </c>
      <c r="T557">
        <v>0</v>
      </c>
      <c r="U557" t="s">
        <v>91</v>
      </c>
      <c r="V557" t="s">
        <v>6</v>
      </c>
      <c r="W557" t="s">
        <v>74</v>
      </c>
      <c r="X557" t="s">
        <v>230</v>
      </c>
      <c r="Y557" t="s">
        <v>31</v>
      </c>
      <c r="Z557">
        <v>1.9</v>
      </c>
      <c r="AA557">
        <f t="shared" si="24"/>
        <v>12844.8</v>
      </c>
      <c r="AB557">
        <f t="shared" si="25"/>
        <v>5.3113735252128765E-2</v>
      </c>
      <c r="AC557">
        <f t="shared" si="26"/>
        <v>0</v>
      </c>
      <c r="AD557">
        <v>2025</v>
      </c>
      <c r="AE557">
        <v>6</v>
      </c>
      <c r="AF557" t="s">
        <v>111</v>
      </c>
      <c r="AG557" t="s">
        <v>112</v>
      </c>
    </row>
    <row r="558" spans="1:33">
      <c r="A558" t="s">
        <v>709</v>
      </c>
      <c r="B558">
        <v>45692</v>
      </c>
      <c r="C558">
        <v>45697</v>
      </c>
      <c r="D558" t="s">
        <v>25</v>
      </c>
      <c r="E558">
        <v>100</v>
      </c>
      <c r="F558">
        <v>962.16</v>
      </c>
      <c r="G558">
        <v>1.24</v>
      </c>
      <c r="H558">
        <v>95022.92</v>
      </c>
      <c r="I558" t="s">
        <v>1728</v>
      </c>
      <c r="J558">
        <v>789.7</v>
      </c>
      <c r="K558">
        <v>78970</v>
      </c>
      <c r="L558">
        <v>697.85</v>
      </c>
      <c r="M558">
        <v>303.23</v>
      </c>
      <c r="N558">
        <v>4825.84</v>
      </c>
      <c r="O558">
        <v>84796.92</v>
      </c>
      <c r="P558">
        <v>16052.92</v>
      </c>
      <c r="Q558">
        <v>10226</v>
      </c>
      <c r="R558" t="s">
        <v>65</v>
      </c>
      <c r="S558">
        <v>95022.92</v>
      </c>
      <c r="T558">
        <v>0</v>
      </c>
      <c r="U558" t="s">
        <v>66</v>
      </c>
      <c r="V558" t="s">
        <v>14</v>
      </c>
      <c r="W558" t="s">
        <v>80</v>
      </c>
      <c r="X558" t="s">
        <v>285</v>
      </c>
      <c r="Y558" t="s">
        <v>28</v>
      </c>
      <c r="Z558">
        <v>0.57999999999999996</v>
      </c>
      <c r="AA558">
        <f t="shared" si="24"/>
        <v>10226</v>
      </c>
      <c r="AB558">
        <f t="shared" si="25"/>
        <v>0.10761614145303049</v>
      </c>
      <c r="AC558">
        <f t="shared" si="26"/>
        <v>0</v>
      </c>
      <c r="AD558">
        <v>2025</v>
      </c>
      <c r="AE558">
        <v>2</v>
      </c>
      <c r="AF558" t="s">
        <v>172</v>
      </c>
      <c r="AG558" t="s">
        <v>244</v>
      </c>
    </row>
    <row r="559" spans="1:33">
      <c r="A559" t="s">
        <v>710</v>
      </c>
      <c r="B559">
        <v>45308</v>
      </c>
      <c r="C559">
        <v>45313</v>
      </c>
      <c r="D559" t="s">
        <v>21</v>
      </c>
      <c r="E559">
        <v>100</v>
      </c>
      <c r="F559">
        <v>909.12</v>
      </c>
      <c r="G559">
        <v>1.2</v>
      </c>
      <c r="H559">
        <v>89821.06</v>
      </c>
      <c r="I559" t="s">
        <v>1728</v>
      </c>
      <c r="J559">
        <v>694.81</v>
      </c>
      <c r="K559">
        <v>69481</v>
      </c>
      <c r="L559">
        <v>602.16999999999996</v>
      </c>
      <c r="M559">
        <v>493.43</v>
      </c>
      <c r="N559">
        <v>9033.4699999999993</v>
      </c>
      <c r="O559">
        <v>79610.070000000007</v>
      </c>
      <c r="P559">
        <v>20340.060000000001</v>
      </c>
      <c r="Q559">
        <v>10210.99</v>
      </c>
      <c r="R559" t="s">
        <v>65</v>
      </c>
      <c r="S559">
        <v>89821.06</v>
      </c>
      <c r="T559">
        <v>0</v>
      </c>
      <c r="U559" t="s">
        <v>66</v>
      </c>
      <c r="V559" t="s">
        <v>6</v>
      </c>
      <c r="W559" t="s">
        <v>74</v>
      </c>
      <c r="X559" t="s">
        <v>142</v>
      </c>
      <c r="Y559" t="s">
        <v>28</v>
      </c>
      <c r="Z559">
        <v>1.84</v>
      </c>
      <c r="AA559">
        <f t="shared" si="24"/>
        <v>10210.99</v>
      </c>
      <c r="AB559">
        <f t="shared" si="25"/>
        <v>0.113681468466304</v>
      </c>
      <c r="AC559">
        <f t="shared" si="26"/>
        <v>0</v>
      </c>
      <c r="AD559">
        <v>2024</v>
      </c>
      <c r="AE559">
        <v>1</v>
      </c>
      <c r="AF559" t="s">
        <v>102</v>
      </c>
      <c r="AG559" t="s">
        <v>103</v>
      </c>
    </row>
    <row r="560" spans="1:33">
      <c r="A560" t="s">
        <v>711</v>
      </c>
      <c r="B560">
        <v>45919</v>
      </c>
      <c r="C560">
        <v>45929</v>
      </c>
      <c r="D560" t="s">
        <v>21</v>
      </c>
      <c r="E560">
        <v>750</v>
      </c>
      <c r="F560">
        <v>934.19</v>
      </c>
      <c r="G560">
        <v>1.65</v>
      </c>
      <c r="H560">
        <v>689081.9</v>
      </c>
      <c r="I560" t="s">
        <v>1726</v>
      </c>
      <c r="J560">
        <v>727.47</v>
      </c>
      <c r="K560">
        <v>545602.5</v>
      </c>
      <c r="L560">
        <v>7291.13</v>
      </c>
      <c r="M560">
        <v>4386.5</v>
      </c>
      <c r="N560">
        <v>4911.63</v>
      </c>
      <c r="O560">
        <v>562191.76</v>
      </c>
      <c r="P560">
        <v>143479.4</v>
      </c>
      <c r="Q560">
        <v>126890.14</v>
      </c>
      <c r="R560" t="s">
        <v>65</v>
      </c>
      <c r="S560">
        <v>689081.9</v>
      </c>
      <c r="T560">
        <v>0</v>
      </c>
      <c r="U560" t="s">
        <v>66</v>
      </c>
      <c r="V560" t="s">
        <v>14</v>
      </c>
      <c r="W560" t="s">
        <v>74</v>
      </c>
      <c r="X560" t="s">
        <v>89</v>
      </c>
      <c r="Y560" t="s">
        <v>28</v>
      </c>
      <c r="Z560">
        <v>1.22</v>
      </c>
      <c r="AA560">
        <f t="shared" si="24"/>
        <v>126890.14</v>
      </c>
      <c r="AB560">
        <f t="shared" si="25"/>
        <v>0.18414377158941483</v>
      </c>
      <c r="AC560">
        <f t="shared" si="26"/>
        <v>0</v>
      </c>
      <c r="AD560">
        <v>2025</v>
      </c>
      <c r="AE560">
        <v>9</v>
      </c>
      <c r="AF560" t="s">
        <v>131</v>
      </c>
      <c r="AG560" t="s">
        <v>132</v>
      </c>
    </row>
    <row r="561" spans="1:33">
      <c r="A561" t="s">
        <v>712</v>
      </c>
      <c r="B561">
        <v>45405</v>
      </c>
      <c r="C561">
        <v>45409</v>
      </c>
      <c r="D561" t="s">
        <v>21</v>
      </c>
      <c r="E561">
        <v>100</v>
      </c>
      <c r="F561">
        <v>861.51</v>
      </c>
      <c r="G561">
        <v>0.25</v>
      </c>
      <c r="H561">
        <v>85935.62</v>
      </c>
      <c r="I561" t="s">
        <v>1726</v>
      </c>
      <c r="J561">
        <v>742.65</v>
      </c>
      <c r="K561">
        <v>74265</v>
      </c>
      <c r="L561">
        <v>933.9</v>
      </c>
      <c r="M561">
        <v>355.99</v>
      </c>
      <c r="N561">
        <v>1368.62</v>
      </c>
      <c r="O561">
        <v>76923.509999999995</v>
      </c>
      <c r="P561">
        <v>11670.62</v>
      </c>
      <c r="Q561">
        <v>9012.11</v>
      </c>
      <c r="R561" t="s">
        <v>85</v>
      </c>
      <c r="S561">
        <v>29605.4</v>
      </c>
      <c r="T561">
        <v>56330.22</v>
      </c>
      <c r="U561" t="s">
        <v>73</v>
      </c>
      <c r="V561" t="s">
        <v>14</v>
      </c>
      <c r="W561" t="s">
        <v>92</v>
      </c>
      <c r="X561" t="s">
        <v>108</v>
      </c>
      <c r="Y561" t="s">
        <v>22</v>
      </c>
      <c r="Z561">
        <v>0.55000000000000004</v>
      </c>
      <c r="AA561">
        <f t="shared" si="24"/>
        <v>9012.11</v>
      </c>
      <c r="AB561">
        <f t="shared" si="25"/>
        <v>0.10487048327573596</v>
      </c>
      <c r="AC561">
        <f t="shared" si="26"/>
        <v>0</v>
      </c>
      <c r="AD561">
        <v>2024</v>
      </c>
      <c r="AE561">
        <v>4</v>
      </c>
      <c r="AF561" t="s">
        <v>154</v>
      </c>
      <c r="AG561" t="s">
        <v>157</v>
      </c>
    </row>
    <row r="562" spans="1:33">
      <c r="A562" t="s">
        <v>713</v>
      </c>
      <c r="B562">
        <v>45297</v>
      </c>
      <c r="C562">
        <v>45304</v>
      </c>
      <c r="D562" t="s">
        <v>23</v>
      </c>
      <c r="E562">
        <v>100</v>
      </c>
      <c r="F562">
        <v>1207.7</v>
      </c>
      <c r="G562">
        <v>2.31</v>
      </c>
      <c r="H562">
        <v>117980.21</v>
      </c>
      <c r="I562" t="s">
        <v>1729</v>
      </c>
      <c r="J562">
        <v>1058</v>
      </c>
      <c r="K562">
        <v>105800</v>
      </c>
      <c r="L562">
        <v>1071.55</v>
      </c>
      <c r="M562">
        <v>568.66999999999996</v>
      </c>
      <c r="N562">
        <v>10668.25</v>
      </c>
      <c r="O562">
        <v>118108.47</v>
      </c>
      <c r="P562">
        <v>12180.21</v>
      </c>
      <c r="Q562">
        <v>-128.26</v>
      </c>
      <c r="R562" t="s">
        <v>134</v>
      </c>
      <c r="S562">
        <v>0</v>
      </c>
      <c r="T562">
        <v>117980.21</v>
      </c>
      <c r="U562" t="s">
        <v>66</v>
      </c>
      <c r="V562" t="s">
        <v>14</v>
      </c>
      <c r="W562" t="s">
        <v>92</v>
      </c>
      <c r="X562" t="s">
        <v>162</v>
      </c>
      <c r="Y562" t="s">
        <v>26</v>
      </c>
      <c r="Z562">
        <v>0.71</v>
      </c>
      <c r="AA562">
        <f t="shared" si="24"/>
        <v>-128.26</v>
      </c>
      <c r="AB562">
        <f t="shared" si="25"/>
        <v>-1.0871314773893009E-3</v>
      </c>
      <c r="AC562">
        <f t="shared" si="26"/>
        <v>0</v>
      </c>
      <c r="AD562">
        <v>2024</v>
      </c>
      <c r="AE562">
        <v>1</v>
      </c>
      <c r="AF562" t="s">
        <v>102</v>
      </c>
      <c r="AG562" t="s">
        <v>103</v>
      </c>
    </row>
    <row r="563" spans="1:33">
      <c r="A563" t="s">
        <v>714</v>
      </c>
      <c r="B563">
        <v>45462</v>
      </c>
      <c r="C563">
        <v>45475</v>
      </c>
      <c r="D563" t="s">
        <v>23</v>
      </c>
      <c r="E563">
        <v>150</v>
      </c>
      <c r="F563">
        <v>1297.27</v>
      </c>
      <c r="G563">
        <v>1.44</v>
      </c>
      <c r="H563">
        <v>191788.4</v>
      </c>
      <c r="I563" t="s">
        <v>1728</v>
      </c>
      <c r="J563">
        <v>1011.71</v>
      </c>
      <c r="K563">
        <v>151756.5</v>
      </c>
      <c r="L563">
        <v>1811</v>
      </c>
      <c r="M563">
        <v>290.82</v>
      </c>
      <c r="N563">
        <v>9480.0300000000007</v>
      </c>
      <c r="O563">
        <v>163338.35</v>
      </c>
      <c r="P563">
        <v>40031.9</v>
      </c>
      <c r="Q563">
        <v>28450.05</v>
      </c>
      <c r="R563" t="s">
        <v>85</v>
      </c>
      <c r="S563">
        <v>94401.11</v>
      </c>
      <c r="T563">
        <v>97387.29</v>
      </c>
      <c r="U563" t="s">
        <v>66</v>
      </c>
      <c r="V563" t="s">
        <v>6</v>
      </c>
      <c r="W563" t="s">
        <v>74</v>
      </c>
      <c r="X563" t="s">
        <v>93</v>
      </c>
      <c r="Y563" t="s">
        <v>26</v>
      </c>
      <c r="Z563">
        <v>1.59</v>
      </c>
      <c r="AA563">
        <f t="shared" si="24"/>
        <v>28450.05</v>
      </c>
      <c r="AB563">
        <f t="shared" si="25"/>
        <v>0.14834082770386531</v>
      </c>
      <c r="AC563">
        <f t="shared" si="26"/>
        <v>0</v>
      </c>
      <c r="AD563">
        <v>2024</v>
      </c>
      <c r="AE563">
        <v>6</v>
      </c>
      <c r="AF563" t="s">
        <v>111</v>
      </c>
      <c r="AG563" t="s">
        <v>148</v>
      </c>
    </row>
    <row r="564" spans="1:33">
      <c r="A564" t="s">
        <v>715</v>
      </c>
      <c r="B564">
        <v>45313</v>
      </c>
      <c r="D564" t="s">
        <v>25</v>
      </c>
      <c r="E564">
        <v>1000</v>
      </c>
      <c r="F564">
        <v>993.45</v>
      </c>
      <c r="G564">
        <v>2.82</v>
      </c>
      <c r="H564">
        <v>965434.71</v>
      </c>
      <c r="I564" t="s">
        <v>1728</v>
      </c>
      <c r="J564">
        <v>744.85</v>
      </c>
      <c r="K564">
        <v>744850</v>
      </c>
      <c r="L564">
        <v>8622.07</v>
      </c>
      <c r="M564">
        <v>5864.61</v>
      </c>
      <c r="N564">
        <v>8824.41</v>
      </c>
      <c r="O564">
        <v>768161.09</v>
      </c>
      <c r="P564">
        <v>220584.71</v>
      </c>
      <c r="Q564">
        <v>197273.62</v>
      </c>
      <c r="R564" t="s">
        <v>65</v>
      </c>
      <c r="S564">
        <v>965434.71</v>
      </c>
      <c r="T564">
        <v>0</v>
      </c>
      <c r="U564" t="s">
        <v>91</v>
      </c>
      <c r="V564" t="s">
        <v>14</v>
      </c>
      <c r="W564" t="s">
        <v>67</v>
      </c>
      <c r="X564" t="s">
        <v>108</v>
      </c>
      <c r="Y564" t="s">
        <v>22</v>
      </c>
      <c r="Z564">
        <v>0.8</v>
      </c>
      <c r="AA564">
        <f t="shared" si="24"/>
        <v>197273.62</v>
      </c>
      <c r="AB564">
        <f t="shared" si="25"/>
        <v>0.20433657289989088</v>
      </c>
      <c r="AC564">
        <f t="shared" si="26"/>
        <v>0</v>
      </c>
      <c r="AD564">
        <v>2024</v>
      </c>
      <c r="AE564">
        <v>1</v>
      </c>
      <c r="AF564" t="s">
        <v>102</v>
      </c>
      <c r="AG564" t="s">
        <v>103</v>
      </c>
    </row>
    <row r="565" spans="1:33">
      <c r="A565" t="s">
        <v>716</v>
      </c>
      <c r="B565">
        <v>45602</v>
      </c>
      <c r="D565" t="s">
        <v>21</v>
      </c>
      <c r="E565">
        <v>100</v>
      </c>
      <c r="F565">
        <v>862.35</v>
      </c>
      <c r="G565">
        <v>2.21</v>
      </c>
      <c r="H565">
        <v>84329.21</v>
      </c>
      <c r="I565" t="s">
        <v>1727</v>
      </c>
      <c r="J565">
        <v>725.3</v>
      </c>
      <c r="K565">
        <v>72530</v>
      </c>
      <c r="L565">
        <v>579.36</v>
      </c>
      <c r="M565">
        <v>438.61</v>
      </c>
      <c r="N565">
        <v>11543.81</v>
      </c>
      <c r="O565">
        <v>85091.78</v>
      </c>
      <c r="P565">
        <v>11799.21</v>
      </c>
      <c r="Q565">
        <v>-762.57</v>
      </c>
      <c r="R565" t="s">
        <v>65</v>
      </c>
      <c r="S565">
        <v>84329.21</v>
      </c>
      <c r="T565">
        <v>0</v>
      </c>
      <c r="U565" t="s">
        <v>91</v>
      </c>
      <c r="V565" t="s">
        <v>8</v>
      </c>
      <c r="W565" t="s">
        <v>74</v>
      </c>
      <c r="X565" t="s">
        <v>86</v>
      </c>
      <c r="Y565" t="s">
        <v>30</v>
      </c>
      <c r="Z565">
        <v>1.87</v>
      </c>
      <c r="AA565">
        <f t="shared" si="24"/>
        <v>-762.57</v>
      </c>
      <c r="AB565">
        <f t="shared" si="25"/>
        <v>-9.0427741467043275E-3</v>
      </c>
      <c r="AC565">
        <f t="shared" si="26"/>
        <v>0</v>
      </c>
      <c r="AD565">
        <v>2024</v>
      </c>
      <c r="AE565">
        <v>11</v>
      </c>
      <c r="AF565" t="s">
        <v>128</v>
      </c>
      <c r="AG565" t="s">
        <v>129</v>
      </c>
    </row>
    <row r="566" spans="1:33">
      <c r="A566" t="s">
        <v>717</v>
      </c>
      <c r="B566">
        <v>45587</v>
      </c>
      <c r="C566">
        <v>45592</v>
      </c>
      <c r="D566" t="s">
        <v>21</v>
      </c>
      <c r="E566">
        <v>100</v>
      </c>
      <c r="F566">
        <v>867.56</v>
      </c>
      <c r="G566">
        <v>0.44</v>
      </c>
      <c r="H566">
        <v>86374.27</v>
      </c>
      <c r="I566" t="s">
        <v>1728</v>
      </c>
      <c r="J566">
        <v>691.43</v>
      </c>
      <c r="K566">
        <v>69143</v>
      </c>
      <c r="L566">
        <v>1095.32</v>
      </c>
      <c r="M566">
        <v>256.08</v>
      </c>
      <c r="N566">
        <v>6477.19</v>
      </c>
      <c r="O566">
        <v>76971.59</v>
      </c>
      <c r="P566">
        <v>17231.27</v>
      </c>
      <c r="Q566">
        <v>9402.68</v>
      </c>
      <c r="R566" t="s">
        <v>85</v>
      </c>
      <c r="S566">
        <v>35525.74</v>
      </c>
      <c r="T566">
        <v>50848.53</v>
      </c>
      <c r="U566" t="s">
        <v>66</v>
      </c>
      <c r="V566" t="s">
        <v>6</v>
      </c>
      <c r="W566" t="s">
        <v>80</v>
      </c>
      <c r="X566" t="s">
        <v>93</v>
      </c>
      <c r="Y566" t="s">
        <v>26</v>
      </c>
      <c r="Z566">
        <v>0.1</v>
      </c>
      <c r="AA566">
        <f t="shared" si="24"/>
        <v>9402.68</v>
      </c>
      <c r="AB566">
        <f t="shared" si="25"/>
        <v>0.10885973334420077</v>
      </c>
      <c r="AC566">
        <f t="shared" si="26"/>
        <v>0</v>
      </c>
      <c r="AD566">
        <v>2024</v>
      </c>
      <c r="AE566">
        <v>10</v>
      </c>
      <c r="AF566" t="s">
        <v>138</v>
      </c>
      <c r="AG566" t="s">
        <v>139</v>
      </c>
    </row>
    <row r="567" spans="1:33">
      <c r="A567" t="s">
        <v>718</v>
      </c>
      <c r="B567">
        <v>45958</v>
      </c>
      <c r="C567">
        <v>45968</v>
      </c>
      <c r="D567" t="s">
        <v>25</v>
      </c>
      <c r="E567">
        <v>300</v>
      </c>
      <c r="F567">
        <v>1010.36</v>
      </c>
      <c r="G567">
        <v>0.35</v>
      </c>
      <c r="H567">
        <v>302047.12</v>
      </c>
      <c r="I567" t="s">
        <v>1727</v>
      </c>
      <c r="J567">
        <v>738.71</v>
      </c>
      <c r="K567">
        <v>221613</v>
      </c>
      <c r="L567">
        <v>5978.91</v>
      </c>
      <c r="M567">
        <v>1363.98</v>
      </c>
      <c r="N567">
        <v>11916.2</v>
      </c>
      <c r="O567">
        <v>240872.09</v>
      </c>
      <c r="P567">
        <v>80434.12</v>
      </c>
      <c r="Q567">
        <v>61175.03</v>
      </c>
      <c r="R567" t="s">
        <v>65</v>
      </c>
      <c r="S567">
        <v>302047.12</v>
      </c>
      <c r="T567">
        <v>0</v>
      </c>
      <c r="U567" t="s">
        <v>73</v>
      </c>
      <c r="V567" t="s">
        <v>14</v>
      </c>
      <c r="W567" t="s">
        <v>74</v>
      </c>
      <c r="X567" t="s">
        <v>145</v>
      </c>
      <c r="Y567" t="s">
        <v>30</v>
      </c>
      <c r="Z567">
        <v>2.27</v>
      </c>
      <c r="AA567">
        <f t="shared" si="24"/>
        <v>61175.03</v>
      </c>
      <c r="AB567">
        <f t="shared" si="25"/>
        <v>0.2025347237212525</v>
      </c>
      <c r="AC567">
        <f t="shared" si="26"/>
        <v>0</v>
      </c>
      <c r="AD567">
        <v>2025</v>
      </c>
      <c r="AE567">
        <v>10</v>
      </c>
      <c r="AF567" t="s">
        <v>138</v>
      </c>
      <c r="AG567" t="s">
        <v>160</v>
      </c>
    </row>
    <row r="568" spans="1:33">
      <c r="A568" t="s">
        <v>719</v>
      </c>
      <c r="B568">
        <v>45291</v>
      </c>
      <c r="C568">
        <v>45303</v>
      </c>
      <c r="D568" t="s">
        <v>21</v>
      </c>
      <c r="E568">
        <v>500</v>
      </c>
      <c r="F568">
        <v>929.4</v>
      </c>
      <c r="G568">
        <v>1.06</v>
      </c>
      <c r="H568">
        <v>459774.18</v>
      </c>
      <c r="I568" t="s">
        <v>1726</v>
      </c>
      <c r="J568">
        <v>727.91</v>
      </c>
      <c r="K568">
        <v>363955</v>
      </c>
      <c r="L568">
        <v>9321.0300000000007</v>
      </c>
      <c r="M568">
        <v>1649.57</v>
      </c>
      <c r="N568">
        <v>6578.09</v>
      </c>
      <c r="O568">
        <v>381503.69</v>
      </c>
      <c r="P568">
        <v>95819.18</v>
      </c>
      <c r="Q568">
        <v>78270.490000000005</v>
      </c>
      <c r="R568" t="s">
        <v>134</v>
      </c>
      <c r="S568">
        <v>0</v>
      </c>
      <c r="T568">
        <v>459774.18</v>
      </c>
      <c r="U568" t="s">
        <v>66</v>
      </c>
      <c r="V568" t="s">
        <v>16</v>
      </c>
      <c r="W568" t="s">
        <v>80</v>
      </c>
      <c r="X568" t="s">
        <v>93</v>
      </c>
      <c r="Y568" t="s">
        <v>26</v>
      </c>
      <c r="Z568">
        <v>1.32</v>
      </c>
      <c r="AA568">
        <f t="shared" si="24"/>
        <v>78270.490000000005</v>
      </c>
      <c r="AB568">
        <f t="shared" si="25"/>
        <v>0.17023681060123907</v>
      </c>
      <c r="AC568">
        <f t="shared" si="26"/>
        <v>0</v>
      </c>
      <c r="AD568">
        <v>2023</v>
      </c>
      <c r="AE568">
        <v>12</v>
      </c>
      <c r="AF568" t="s">
        <v>98</v>
      </c>
      <c r="AG568" t="s">
        <v>232</v>
      </c>
    </row>
    <row r="569" spans="1:33">
      <c r="A569" t="s">
        <v>720</v>
      </c>
      <c r="B569">
        <v>45440</v>
      </c>
      <c r="C569">
        <v>45445</v>
      </c>
      <c r="D569" t="s">
        <v>21</v>
      </c>
      <c r="E569">
        <v>500</v>
      </c>
      <c r="F569">
        <v>807.84</v>
      </c>
      <c r="G569">
        <v>3.37</v>
      </c>
      <c r="H569">
        <v>390307.9</v>
      </c>
      <c r="I569" t="s">
        <v>1727</v>
      </c>
      <c r="J569">
        <v>660.06</v>
      </c>
      <c r="K569">
        <v>330030</v>
      </c>
      <c r="L569">
        <v>10636.87</v>
      </c>
      <c r="M569">
        <v>2713.83</v>
      </c>
      <c r="N569">
        <v>10927.97</v>
      </c>
      <c r="O569">
        <v>354308.67</v>
      </c>
      <c r="P569">
        <v>60277.9</v>
      </c>
      <c r="Q569">
        <v>35999.230000000003</v>
      </c>
      <c r="R569" t="s">
        <v>65</v>
      </c>
      <c r="S569">
        <v>390307.9</v>
      </c>
      <c r="T569">
        <v>0</v>
      </c>
      <c r="U569" t="s">
        <v>73</v>
      </c>
      <c r="V569" t="s">
        <v>6</v>
      </c>
      <c r="W569" t="s">
        <v>92</v>
      </c>
      <c r="X569" t="s">
        <v>108</v>
      </c>
      <c r="Y569" t="s">
        <v>22</v>
      </c>
      <c r="Z569">
        <v>0.86</v>
      </c>
      <c r="AA569">
        <f t="shared" si="24"/>
        <v>35999.230000000003</v>
      </c>
      <c r="AB569">
        <f t="shared" si="25"/>
        <v>9.2232901255649716E-2</v>
      </c>
      <c r="AC569">
        <f t="shared" si="26"/>
        <v>0</v>
      </c>
      <c r="AD569">
        <v>2024</v>
      </c>
      <c r="AE569">
        <v>5</v>
      </c>
      <c r="AF569" t="s">
        <v>76</v>
      </c>
      <c r="AG569" t="s">
        <v>77</v>
      </c>
    </row>
    <row r="570" spans="1:33">
      <c r="A570" t="s">
        <v>721</v>
      </c>
      <c r="B570">
        <v>45626</v>
      </c>
      <c r="D570" t="s">
        <v>27</v>
      </c>
      <c r="E570">
        <v>200</v>
      </c>
      <c r="F570">
        <v>812.56</v>
      </c>
      <c r="G570">
        <v>0.03</v>
      </c>
      <c r="H570">
        <v>162463.25</v>
      </c>
      <c r="I570" t="s">
        <v>1726</v>
      </c>
      <c r="J570">
        <v>579.65</v>
      </c>
      <c r="K570">
        <v>115930</v>
      </c>
      <c r="L570">
        <v>2904.13</v>
      </c>
      <c r="M570">
        <v>545.63</v>
      </c>
      <c r="N570">
        <v>9620.15</v>
      </c>
      <c r="O570">
        <v>128999.91</v>
      </c>
      <c r="P570">
        <v>46533.25</v>
      </c>
      <c r="Q570">
        <v>33463.339999999997</v>
      </c>
      <c r="R570" t="s">
        <v>65</v>
      </c>
      <c r="S570">
        <v>162463.25</v>
      </c>
      <c r="T570">
        <v>0</v>
      </c>
      <c r="U570" t="s">
        <v>91</v>
      </c>
      <c r="V570" t="s">
        <v>12</v>
      </c>
      <c r="W570" t="s">
        <v>141</v>
      </c>
      <c r="X570" t="s">
        <v>108</v>
      </c>
      <c r="Y570" t="s">
        <v>22</v>
      </c>
      <c r="Z570">
        <v>0.97</v>
      </c>
      <c r="AA570">
        <f t="shared" si="24"/>
        <v>33463.339999999997</v>
      </c>
      <c r="AB570">
        <f t="shared" si="25"/>
        <v>0.20597482815344392</v>
      </c>
      <c r="AC570">
        <f t="shared" si="26"/>
        <v>0</v>
      </c>
      <c r="AD570">
        <v>2024</v>
      </c>
      <c r="AE570">
        <v>11</v>
      </c>
      <c r="AF570" t="s">
        <v>128</v>
      </c>
      <c r="AG570" t="s">
        <v>129</v>
      </c>
    </row>
    <row r="571" spans="1:33">
      <c r="A571" t="s">
        <v>722</v>
      </c>
      <c r="B571">
        <v>45680</v>
      </c>
      <c r="C571">
        <v>45683</v>
      </c>
      <c r="D571" t="s">
        <v>21</v>
      </c>
      <c r="E571">
        <v>300</v>
      </c>
      <c r="F571">
        <v>887.66</v>
      </c>
      <c r="G571">
        <v>0.23</v>
      </c>
      <c r="H571">
        <v>265685.51</v>
      </c>
      <c r="I571" t="s">
        <v>1726</v>
      </c>
      <c r="J571">
        <v>736.26</v>
      </c>
      <c r="K571">
        <v>220878</v>
      </c>
      <c r="L571">
        <v>2979.85</v>
      </c>
      <c r="M571">
        <v>1083.9000000000001</v>
      </c>
      <c r="N571">
        <v>1602.01</v>
      </c>
      <c r="O571">
        <v>226543.76</v>
      </c>
      <c r="P571">
        <v>44807.51</v>
      </c>
      <c r="Q571">
        <v>39141.75</v>
      </c>
      <c r="R571" t="s">
        <v>65</v>
      </c>
      <c r="S571">
        <v>265685.51</v>
      </c>
      <c r="T571">
        <v>0</v>
      </c>
      <c r="U571" t="s">
        <v>73</v>
      </c>
      <c r="V571" t="s">
        <v>10</v>
      </c>
      <c r="W571" t="s">
        <v>141</v>
      </c>
      <c r="X571" t="s">
        <v>193</v>
      </c>
      <c r="Y571" t="s">
        <v>30</v>
      </c>
      <c r="Z571">
        <v>0.83</v>
      </c>
      <c r="AA571">
        <f t="shared" si="24"/>
        <v>39141.75</v>
      </c>
      <c r="AB571">
        <f t="shared" si="25"/>
        <v>0.14732361580426423</v>
      </c>
      <c r="AC571">
        <f t="shared" si="26"/>
        <v>0</v>
      </c>
      <c r="AD571">
        <v>2025</v>
      </c>
      <c r="AE571">
        <v>1</v>
      </c>
      <c r="AF571" t="s">
        <v>102</v>
      </c>
      <c r="AG571" t="s">
        <v>118</v>
      </c>
    </row>
    <row r="572" spans="1:33">
      <c r="A572" t="s">
        <v>723</v>
      </c>
      <c r="B572">
        <v>45591</v>
      </c>
      <c r="C572">
        <v>45601</v>
      </c>
      <c r="D572" t="s">
        <v>21</v>
      </c>
      <c r="E572">
        <v>1000</v>
      </c>
      <c r="F572">
        <v>849.98</v>
      </c>
      <c r="G572">
        <v>3.58</v>
      </c>
      <c r="H572">
        <v>819550.71999999997</v>
      </c>
      <c r="I572" t="s">
        <v>1726</v>
      </c>
      <c r="J572">
        <v>695.23</v>
      </c>
      <c r="K572">
        <v>695230</v>
      </c>
      <c r="L572">
        <v>21106.81</v>
      </c>
      <c r="M572">
        <v>1833.56</v>
      </c>
      <c r="N572">
        <v>1741.33</v>
      </c>
      <c r="O572">
        <v>719911.7</v>
      </c>
      <c r="P572">
        <v>124320.72</v>
      </c>
      <c r="Q572">
        <v>99639.02</v>
      </c>
      <c r="R572" t="s">
        <v>134</v>
      </c>
      <c r="S572">
        <v>0</v>
      </c>
      <c r="T572">
        <v>819550.71999999997</v>
      </c>
      <c r="U572" t="s">
        <v>66</v>
      </c>
      <c r="V572" t="s">
        <v>10</v>
      </c>
      <c r="W572" t="s">
        <v>74</v>
      </c>
      <c r="X572" t="s">
        <v>123</v>
      </c>
      <c r="Y572" t="s">
        <v>22</v>
      </c>
      <c r="Z572">
        <v>2.37</v>
      </c>
      <c r="AA572">
        <f t="shared" si="24"/>
        <v>99639.02</v>
      </c>
      <c r="AB572">
        <f t="shared" si="25"/>
        <v>0.12157761267051295</v>
      </c>
      <c r="AC572">
        <f t="shared" si="26"/>
        <v>0</v>
      </c>
      <c r="AD572">
        <v>2024</v>
      </c>
      <c r="AE572">
        <v>10</v>
      </c>
      <c r="AF572" t="s">
        <v>138</v>
      </c>
      <c r="AG572" t="s">
        <v>139</v>
      </c>
    </row>
    <row r="573" spans="1:33">
      <c r="A573" t="s">
        <v>724</v>
      </c>
      <c r="B573">
        <v>45334</v>
      </c>
      <c r="C573">
        <v>45338</v>
      </c>
      <c r="D573" t="s">
        <v>23</v>
      </c>
      <c r="E573">
        <v>150</v>
      </c>
      <c r="F573">
        <v>1194.1199999999999</v>
      </c>
      <c r="G573">
        <v>0.28000000000000003</v>
      </c>
      <c r="H573">
        <v>178616.47</v>
      </c>
      <c r="I573" t="s">
        <v>1728</v>
      </c>
      <c r="J573">
        <v>1116.28</v>
      </c>
      <c r="K573">
        <v>167442</v>
      </c>
      <c r="L573">
        <v>1646.24</v>
      </c>
      <c r="M573">
        <v>316.89999999999998</v>
      </c>
      <c r="N573">
        <v>10095.530000000001</v>
      </c>
      <c r="O573">
        <v>179500.67</v>
      </c>
      <c r="P573">
        <v>11174.47</v>
      </c>
      <c r="Q573">
        <v>-884.2</v>
      </c>
      <c r="R573" t="s">
        <v>65</v>
      </c>
      <c r="S573">
        <v>178616.47</v>
      </c>
      <c r="T573">
        <v>0</v>
      </c>
      <c r="U573" t="s">
        <v>73</v>
      </c>
      <c r="V573" t="s">
        <v>6</v>
      </c>
      <c r="W573" t="s">
        <v>80</v>
      </c>
      <c r="X573" t="s">
        <v>81</v>
      </c>
      <c r="Y573" t="s">
        <v>24</v>
      </c>
      <c r="Z573">
        <v>0.86</v>
      </c>
      <c r="AA573">
        <f t="shared" si="24"/>
        <v>-884.2</v>
      </c>
      <c r="AB573">
        <f t="shared" si="25"/>
        <v>-4.950271383148486E-3</v>
      </c>
      <c r="AC573">
        <f t="shared" si="26"/>
        <v>0</v>
      </c>
      <c r="AD573">
        <v>2024</v>
      </c>
      <c r="AE573">
        <v>2</v>
      </c>
      <c r="AF573" t="s">
        <v>172</v>
      </c>
      <c r="AG573" t="s">
        <v>173</v>
      </c>
    </row>
    <row r="574" spans="1:33">
      <c r="A574" t="s">
        <v>725</v>
      </c>
      <c r="B574">
        <v>45981</v>
      </c>
      <c r="C574">
        <v>45987</v>
      </c>
      <c r="D574" t="s">
        <v>21</v>
      </c>
      <c r="E574">
        <v>500</v>
      </c>
      <c r="F574">
        <v>891.13</v>
      </c>
      <c r="G574">
        <v>2.2200000000000002</v>
      </c>
      <c r="H574">
        <v>435673.46</v>
      </c>
      <c r="I574" t="s">
        <v>1727</v>
      </c>
      <c r="J574">
        <v>724.85</v>
      </c>
      <c r="K574">
        <v>362425</v>
      </c>
      <c r="L574">
        <v>10431.82</v>
      </c>
      <c r="M574">
        <v>2305.36</v>
      </c>
      <c r="N574">
        <v>11549.25</v>
      </c>
      <c r="O574">
        <v>386711.43</v>
      </c>
      <c r="P574">
        <v>73248.460000000006</v>
      </c>
      <c r="Q574">
        <v>48962.03</v>
      </c>
      <c r="R574" t="s">
        <v>65</v>
      </c>
      <c r="S574">
        <v>435673.46</v>
      </c>
      <c r="T574">
        <v>0</v>
      </c>
      <c r="U574" t="s">
        <v>66</v>
      </c>
      <c r="V574" t="s">
        <v>8</v>
      </c>
      <c r="W574" t="s">
        <v>80</v>
      </c>
      <c r="X574" t="s">
        <v>224</v>
      </c>
      <c r="Y574" t="s">
        <v>31</v>
      </c>
      <c r="Z574">
        <v>1.72</v>
      </c>
      <c r="AA574">
        <f t="shared" si="24"/>
        <v>48962.03</v>
      </c>
      <c r="AB574">
        <f t="shared" si="25"/>
        <v>0.11238240217799816</v>
      </c>
      <c r="AC574">
        <f t="shared" si="26"/>
        <v>0</v>
      </c>
      <c r="AD574">
        <v>2025</v>
      </c>
      <c r="AE574">
        <v>11</v>
      </c>
      <c r="AF574" t="s">
        <v>128</v>
      </c>
      <c r="AG574" t="s">
        <v>135</v>
      </c>
    </row>
    <row r="575" spans="1:33">
      <c r="A575" t="s">
        <v>726</v>
      </c>
      <c r="B575">
        <v>45643</v>
      </c>
      <c r="C575">
        <v>45657</v>
      </c>
      <c r="D575" t="s">
        <v>25</v>
      </c>
      <c r="E575">
        <v>100</v>
      </c>
      <c r="F575">
        <v>1001.22</v>
      </c>
      <c r="G575">
        <v>2.41</v>
      </c>
      <c r="H575">
        <v>97709.06</v>
      </c>
      <c r="I575" t="s">
        <v>1729</v>
      </c>
      <c r="J575">
        <v>730</v>
      </c>
      <c r="K575">
        <v>73000</v>
      </c>
      <c r="L575">
        <v>955.04</v>
      </c>
      <c r="M575">
        <v>401.23</v>
      </c>
      <c r="N575">
        <v>883.34</v>
      </c>
      <c r="O575">
        <v>75239.61</v>
      </c>
      <c r="P575">
        <v>24709.06</v>
      </c>
      <c r="Q575">
        <v>22469.45</v>
      </c>
      <c r="R575" t="s">
        <v>65</v>
      </c>
      <c r="S575">
        <v>97709.06</v>
      </c>
      <c r="T575">
        <v>0</v>
      </c>
      <c r="U575" t="s">
        <v>66</v>
      </c>
      <c r="V575" t="s">
        <v>8</v>
      </c>
      <c r="W575" t="s">
        <v>74</v>
      </c>
      <c r="X575" t="s">
        <v>93</v>
      </c>
      <c r="Y575" t="s">
        <v>26</v>
      </c>
      <c r="Z575">
        <v>2.3199999999999998</v>
      </c>
      <c r="AA575">
        <f t="shared" si="24"/>
        <v>22469.45</v>
      </c>
      <c r="AB575">
        <f t="shared" si="25"/>
        <v>0.22996280999940028</v>
      </c>
      <c r="AC575">
        <f t="shared" si="26"/>
        <v>0</v>
      </c>
      <c r="AD575">
        <v>2024</v>
      </c>
      <c r="AE575">
        <v>12</v>
      </c>
      <c r="AF575" t="s">
        <v>98</v>
      </c>
      <c r="AG575" t="s">
        <v>99</v>
      </c>
    </row>
    <row r="576" spans="1:33">
      <c r="A576" t="s">
        <v>727</v>
      </c>
      <c r="B576">
        <v>45955</v>
      </c>
      <c r="C576">
        <v>45955</v>
      </c>
      <c r="D576" t="s">
        <v>23</v>
      </c>
      <c r="E576">
        <v>150</v>
      </c>
      <c r="F576">
        <v>1407.21</v>
      </c>
      <c r="G576">
        <v>0.12</v>
      </c>
      <c r="H576">
        <v>210828.2</v>
      </c>
      <c r="I576" t="s">
        <v>1726</v>
      </c>
      <c r="J576">
        <v>1096.78</v>
      </c>
      <c r="K576">
        <v>164517</v>
      </c>
      <c r="L576">
        <v>2267.08</v>
      </c>
      <c r="M576">
        <v>858.01</v>
      </c>
      <c r="N576">
        <v>11266.94</v>
      </c>
      <c r="O576">
        <v>178909.03</v>
      </c>
      <c r="P576">
        <v>46311.199999999997</v>
      </c>
      <c r="Q576">
        <v>31919.17</v>
      </c>
      <c r="R576" t="s">
        <v>85</v>
      </c>
      <c r="S576">
        <v>94035.42</v>
      </c>
      <c r="T576">
        <v>116792.78</v>
      </c>
      <c r="U576" t="s">
        <v>66</v>
      </c>
      <c r="V576" t="s">
        <v>6</v>
      </c>
      <c r="W576" t="s">
        <v>74</v>
      </c>
      <c r="X576" t="s">
        <v>275</v>
      </c>
      <c r="Y576" t="s">
        <v>31</v>
      </c>
      <c r="Z576">
        <v>1.73</v>
      </c>
      <c r="AA576">
        <f t="shared" si="24"/>
        <v>31919.17</v>
      </c>
      <c r="AB576">
        <f t="shared" si="25"/>
        <v>0.15139895896279529</v>
      </c>
      <c r="AC576">
        <f t="shared" si="26"/>
        <v>0</v>
      </c>
      <c r="AD576">
        <v>2025</v>
      </c>
      <c r="AE576">
        <v>10</v>
      </c>
      <c r="AF576" t="s">
        <v>138</v>
      </c>
      <c r="AG576" t="s">
        <v>160</v>
      </c>
    </row>
    <row r="577" spans="1:33">
      <c r="A577" t="s">
        <v>728</v>
      </c>
      <c r="B577">
        <v>45349</v>
      </c>
      <c r="C577">
        <v>45356</v>
      </c>
      <c r="D577" t="s">
        <v>21</v>
      </c>
      <c r="E577">
        <v>500</v>
      </c>
      <c r="F577">
        <v>930.82</v>
      </c>
      <c r="G577">
        <v>2.34</v>
      </c>
      <c r="H577">
        <v>454519.41</v>
      </c>
      <c r="I577" t="s">
        <v>1726</v>
      </c>
      <c r="J577">
        <v>696.85</v>
      </c>
      <c r="K577">
        <v>348425</v>
      </c>
      <c r="L577">
        <v>5653.1</v>
      </c>
      <c r="M577">
        <v>2110.0300000000002</v>
      </c>
      <c r="N577">
        <v>4255.1400000000003</v>
      </c>
      <c r="O577">
        <v>360443.27</v>
      </c>
      <c r="P577">
        <v>106094.41</v>
      </c>
      <c r="Q577">
        <v>94076.14</v>
      </c>
      <c r="R577" t="s">
        <v>65</v>
      </c>
      <c r="S577">
        <v>454519.41</v>
      </c>
      <c r="T577">
        <v>0</v>
      </c>
      <c r="U577" t="s">
        <v>73</v>
      </c>
      <c r="V577" t="s">
        <v>8</v>
      </c>
      <c r="W577" t="s">
        <v>74</v>
      </c>
      <c r="X577" t="s">
        <v>115</v>
      </c>
      <c r="Y577" t="s">
        <v>22</v>
      </c>
      <c r="Z577">
        <v>1.76</v>
      </c>
      <c r="AA577">
        <f t="shared" si="24"/>
        <v>94076.14</v>
      </c>
      <c r="AB577">
        <f t="shared" si="25"/>
        <v>0.20697936750379925</v>
      </c>
      <c r="AC577">
        <f t="shared" si="26"/>
        <v>0</v>
      </c>
      <c r="AD577">
        <v>2024</v>
      </c>
      <c r="AE577">
        <v>2</v>
      </c>
      <c r="AF577" t="s">
        <v>172</v>
      </c>
      <c r="AG577" t="s">
        <v>173</v>
      </c>
    </row>
    <row r="578" spans="1:33">
      <c r="A578" t="s">
        <v>729</v>
      </c>
      <c r="B578">
        <v>45572</v>
      </c>
      <c r="C578">
        <v>45585</v>
      </c>
      <c r="D578" t="s">
        <v>27</v>
      </c>
      <c r="E578">
        <v>200</v>
      </c>
      <c r="F578">
        <v>785.01</v>
      </c>
      <c r="G578">
        <v>1.47</v>
      </c>
      <c r="H578">
        <v>154694.07</v>
      </c>
      <c r="I578" t="s">
        <v>1729</v>
      </c>
      <c r="J578">
        <v>529.17999999999995</v>
      </c>
      <c r="K578">
        <v>105836</v>
      </c>
      <c r="L578">
        <v>1944.03</v>
      </c>
      <c r="M578">
        <v>1071.03</v>
      </c>
      <c r="N578">
        <v>6334.63</v>
      </c>
      <c r="O578">
        <v>115185.69</v>
      </c>
      <c r="P578">
        <v>48858.07</v>
      </c>
      <c r="Q578">
        <v>39508.379999999997</v>
      </c>
      <c r="R578" t="s">
        <v>65</v>
      </c>
      <c r="S578">
        <v>154694.07</v>
      </c>
      <c r="T578">
        <v>0</v>
      </c>
      <c r="U578" t="s">
        <v>66</v>
      </c>
      <c r="V578" t="s">
        <v>8</v>
      </c>
      <c r="W578" t="s">
        <v>80</v>
      </c>
      <c r="X578" t="s">
        <v>239</v>
      </c>
      <c r="Y578" t="s">
        <v>28</v>
      </c>
      <c r="Z578">
        <v>2.39</v>
      </c>
      <c r="AA578">
        <f t="shared" ref="AA578:AA641" si="27">ROUND(H578-O578,2)</f>
        <v>39508.379999999997</v>
      </c>
      <c r="AB578">
        <f t="shared" ref="AB578:AB641" si="28">AA578/H578</f>
        <v>0.2553968616896562</v>
      </c>
      <c r="AC578">
        <f t="shared" ref="AC578:AC641" si="29">ROUND(AA578-Q578,2)</f>
        <v>0</v>
      </c>
      <c r="AD578">
        <v>2024</v>
      </c>
      <c r="AE578">
        <v>10</v>
      </c>
      <c r="AF578" t="s">
        <v>138</v>
      </c>
      <c r="AG578" t="s">
        <v>139</v>
      </c>
    </row>
    <row r="579" spans="1:33">
      <c r="A579" t="s">
        <v>730</v>
      </c>
      <c r="B579">
        <v>45821</v>
      </c>
      <c r="C579">
        <v>45834</v>
      </c>
      <c r="D579" t="s">
        <v>21</v>
      </c>
      <c r="E579">
        <v>250</v>
      </c>
      <c r="F579">
        <v>884.32</v>
      </c>
      <c r="G579">
        <v>0.8</v>
      </c>
      <c r="H579">
        <v>219311.35999999999</v>
      </c>
      <c r="I579" t="s">
        <v>1726</v>
      </c>
      <c r="J579">
        <v>730.99</v>
      </c>
      <c r="K579">
        <v>182747.5</v>
      </c>
      <c r="L579">
        <v>4457.78</v>
      </c>
      <c r="M579">
        <v>465.4</v>
      </c>
      <c r="N579">
        <v>1038.1199999999999</v>
      </c>
      <c r="O579">
        <v>188708.8</v>
      </c>
      <c r="P579">
        <v>36563.86</v>
      </c>
      <c r="Q579">
        <v>30602.560000000001</v>
      </c>
      <c r="R579" t="s">
        <v>85</v>
      </c>
      <c r="S579">
        <v>165723.12</v>
      </c>
      <c r="T579">
        <v>53588.24</v>
      </c>
      <c r="U579" t="s">
        <v>73</v>
      </c>
      <c r="V579" t="s">
        <v>10</v>
      </c>
      <c r="W579" t="s">
        <v>80</v>
      </c>
      <c r="X579" t="s">
        <v>176</v>
      </c>
      <c r="Y579" t="s">
        <v>22</v>
      </c>
      <c r="Z579">
        <v>0.99</v>
      </c>
      <c r="AA579">
        <f t="shared" si="27"/>
        <v>30602.560000000001</v>
      </c>
      <c r="AB579">
        <f t="shared" si="28"/>
        <v>0.1395393289248674</v>
      </c>
      <c r="AC579">
        <f t="shared" si="29"/>
        <v>0</v>
      </c>
      <c r="AD579">
        <v>2025</v>
      </c>
      <c r="AE579">
        <v>6</v>
      </c>
      <c r="AF579" t="s">
        <v>111</v>
      </c>
      <c r="AG579" t="s">
        <v>112</v>
      </c>
    </row>
    <row r="580" spans="1:33">
      <c r="A580" t="s">
        <v>731</v>
      </c>
      <c r="B580">
        <v>45989</v>
      </c>
      <c r="C580">
        <v>46000</v>
      </c>
      <c r="D580" t="s">
        <v>23</v>
      </c>
      <c r="E580">
        <v>500</v>
      </c>
      <c r="F580">
        <v>1306.07</v>
      </c>
      <c r="G580">
        <v>2.59</v>
      </c>
      <c r="H580">
        <v>636121.39</v>
      </c>
      <c r="I580" t="s">
        <v>1728</v>
      </c>
      <c r="J580">
        <v>1070.82</v>
      </c>
      <c r="K580">
        <v>535410</v>
      </c>
      <c r="L580">
        <v>4838.1000000000004</v>
      </c>
      <c r="M580">
        <v>959.36</v>
      </c>
      <c r="N580">
        <v>1609.71</v>
      </c>
      <c r="O580">
        <v>542817.17000000004</v>
      </c>
      <c r="P580">
        <v>100711.39</v>
      </c>
      <c r="Q580">
        <v>93304.22</v>
      </c>
      <c r="R580" t="s">
        <v>65</v>
      </c>
      <c r="S580">
        <v>636121.39</v>
      </c>
      <c r="T580">
        <v>0</v>
      </c>
      <c r="U580" t="s">
        <v>66</v>
      </c>
      <c r="V580" t="s">
        <v>10</v>
      </c>
      <c r="W580" t="s">
        <v>74</v>
      </c>
      <c r="X580" t="s">
        <v>127</v>
      </c>
      <c r="Y580" t="s">
        <v>22</v>
      </c>
      <c r="Z580">
        <v>1.48</v>
      </c>
      <c r="AA580">
        <f t="shared" si="27"/>
        <v>93304.22</v>
      </c>
      <c r="AB580">
        <f t="shared" si="28"/>
        <v>0.14667675300149866</v>
      </c>
      <c r="AC580">
        <f t="shared" si="29"/>
        <v>0</v>
      </c>
      <c r="AD580">
        <v>2025</v>
      </c>
      <c r="AE580">
        <v>11</v>
      </c>
      <c r="AF580" t="s">
        <v>128</v>
      </c>
      <c r="AG580" t="s">
        <v>135</v>
      </c>
    </row>
    <row r="581" spans="1:33">
      <c r="A581" t="s">
        <v>732</v>
      </c>
      <c r="B581">
        <v>45703</v>
      </c>
      <c r="C581">
        <v>45708</v>
      </c>
      <c r="D581" t="s">
        <v>29</v>
      </c>
      <c r="E581">
        <v>300</v>
      </c>
      <c r="F581">
        <v>2847.33</v>
      </c>
      <c r="G581">
        <v>1.46</v>
      </c>
      <c r="H581">
        <v>841727.69</v>
      </c>
      <c r="I581" t="s">
        <v>1726</v>
      </c>
      <c r="J581">
        <v>2253.02</v>
      </c>
      <c r="K581">
        <v>675906</v>
      </c>
      <c r="L581">
        <v>6223.47</v>
      </c>
      <c r="M581">
        <v>930.99</v>
      </c>
      <c r="N581">
        <v>1642.06</v>
      </c>
      <c r="O581">
        <v>684702.52</v>
      </c>
      <c r="P581">
        <v>165821.69</v>
      </c>
      <c r="Q581">
        <v>157025.17000000001</v>
      </c>
      <c r="R581" t="s">
        <v>85</v>
      </c>
      <c r="S581">
        <v>690874.5</v>
      </c>
      <c r="T581">
        <v>150853.19</v>
      </c>
      <c r="U581" t="s">
        <v>73</v>
      </c>
      <c r="V581" t="s">
        <v>6</v>
      </c>
      <c r="W581" t="s">
        <v>80</v>
      </c>
      <c r="X581" t="s">
        <v>89</v>
      </c>
      <c r="Y581" t="s">
        <v>28</v>
      </c>
      <c r="Z581">
        <v>1.51</v>
      </c>
      <c r="AA581">
        <f t="shared" si="27"/>
        <v>157025.17000000001</v>
      </c>
      <c r="AB581">
        <f t="shared" si="28"/>
        <v>0.18655103291184352</v>
      </c>
      <c r="AC581">
        <f t="shared" si="29"/>
        <v>0</v>
      </c>
      <c r="AD581">
        <v>2025</v>
      </c>
      <c r="AE581">
        <v>2</v>
      </c>
      <c r="AF581" t="s">
        <v>172</v>
      </c>
      <c r="AG581" t="s">
        <v>244</v>
      </c>
    </row>
    <row r="582" spans="1:33">
      <c r="A582" t="s">
        <v>733</v>
      </c>
      <c r="B582">
        <v>45839</v>
      </c>
      <c r="C582">
        <v>45843</v>
      </c>
      <c r="D582" t="s">
        <v>23</v>
      </c>
      <c r="E582">
        <v>500</v>
      </c>
      <c r="F582">
        <v>1291.8699999999999</v>
      </c>
      <c r="G582">
        <v>0.61</v>
      </c>
      <c r="H582">
        <v>641994.80000000005</v>
      </c>
      <c r="I582" t="s">
        <v>1727</v>
      </c>
      <c r="J582">
        <v>1103.18</v>
      </c>
      <c r="K582">
        <v>551590</v>
      </c>
      <c r="L582">
        <v>5429.16</v>
      </c>
      <c r="M582">
        <v>1723.34</v>
      </c>
      <c r="N582">
        <v>11742.75</v>
      </c>
      <c r="O582">
        <v>570485.25</v>
      </c>
      <c r="P582">
        <v>90404.800000000003</v>
      </c>
      <c r="Q582">
        <v>71509.55</v>
      </c>
      <c r="R582" t="s">
        <v>85</v>
      </c>
      <c r="S582">
        <v>296753.93</v>
      </c>
      <c r="T582">
        <v>345240.87</v>
      </c>
      <c r="U582" t="s">
        <v>73</v>
      </c>
      <c r="V582" t="s">
        <v>6</v>
      </c>
      <c r="W582" t="s">
        <v>67</v>
      </c>
      <c r="X582" t="s">
        <v>176</v>
      </c>
      <c r="Y582" t="s">
        <v>22</v>
      </c>
      <c r="Z582">
        <v>1.35</v>
      </c>
      <c r="AA582">
        <f t="shared" si="27"/>
        <v>71509.55</v>
      </c>
      <c r="AB582">
        <f t="shared" si="28"/>
        <v>0.11138649409621386</v>
      </c>
      <c r="AC582">
        <f t="shared" si="29"/>
        <v>0</v>
      </c>
      <c r="AD582">
        <v>2025</v>
      </c>
      <c r="AE582">
        <v>7</v>
      </c>
      <c r="AF582" t="s">
        <v>69</v>
      </c>
      <c r="AG582" t="s">
        <v>151</v>
      </c>
    </row>
    <row r="583" spans="1:33">
      <c r="A583" t="s">
        <v>734</v>
      </c>
      <c r="B583">
        <v>45662</v>
      </c>
      <c r="C583">
        <v>45662</v>
      </c>
      <c r="D583" t="s">
        <v>25</v>
      </c>
      <c r="E583">
        <v>1000</v>
      </c>
      <c r="F583">
        <v>994.65</v>
      </c>
      <c r="G583">
        <v>0.49</v>
      </c>
      <c r="H583">
        <v>989776.22</v>
      </c>
      <c r="I583" t="s">
        <v>1727</v>
      </c>
      <c r="J583">
        <v>793.84</v>
      </c>
      <c r="K583">
        <v>793840</v>
      </c>
      <c r="L583">
        <v>19444.66</v>
      </c>
      <c r="M583">
        <v>5730.6</v>
      </c>
      <c r="N583">
        <v>11340.76</v>
      </c>
      <c r="O583">
        <v>830356.02</v>
      </c>
      <c r="P583">
        <v>195936.22</v>
      </c>
      <c r="Q583">
        <v>159420.20000000001</v>
      </c>
      <c r="R583" t="s">
        <v>85</v>
      </c>
      <c r="S583">
        <v>619968.48</v>
      </c>
      <c r="T583">
        <v>369807.74</v>
      </c>
      <c r="U583" t="s">
        <v>73</v>
      </c>
      <c r="V583" t="s">
        <v>8</v>
      </c>
      <c r="W583" t="s">
        <v>80</v>
      </c>
      <c r="X583" t="s">
        <v>371</v>
      </c>
      <c r="Y583" t="s">
        <v>26</v>
      </c>
      <c r="Z583">
        <v>1.55</v>
      </c>
      <c r="AA583">
        <f t="shared" si="27"/>
        <v>159420.20000000001</v>
      </c>
      <c r="AB583">
        <f t="shared" si="28"/>
        <v>0.16106691268052492</v>
      </c>
      <c r="AC583">
        <f t="shared" si="29"/>
        <v>0</v>
      </c>
      <c r="AD583">
        <v>2025</v>
      </c>
      <c r="AE583">
        <v>1</v>
      </c>
      <c r="AF583" t="s">
        <v>102</v>
      </c>
      <c r="AG583" t="s">
        <v>118</v>
      </c>
    </row>
    <row r="584" spans="1:33">
      <c r="A584" t="s">
        <v>735</v>
      </c>
      <c r="B584">
        <v>45477</v>
      </c>
      <c r="C584">
        <v>45479</v>
      </c>
      <c r="D584" t="s">
        <v>23</v>
      </c>
      <c r="E584">
        <v>300</v>
      </c>
      <c r="F584">
        <v>1174.29</v>
      </c>
      <c r="G584">
        <v>2.16</v>
      </c>
      <c r="H584">
        <v>344677.6</v>
      </c>
      <c r="I584" t="s">
        <v>1727</v>
      </c>
      <c r="J584">
        <v>1108.67</v>
      </c>
      <c r="K584">
        <v>332601</v>
      </c>
      <c r="L584">
        <v>3222.86</v>
      </c>
      <c r="M584">
        <v>1753.96</v>
      </c>
      <c r="N584">
        <v>1858.95</v>
      </c>
      <c r="O584">
        <v>339436.77</v>
      </c>
      <c r="P584">
        <v>12076.6</v>
      </c>
      <c r="Q584">
        <v>5240.83</v>
      </c>
      <c r="R584" t="s">
        <v>65</v>
      </c>
      <c r="S584">
        <v>344677.6</v>
      </c>
      <c r="T584">
        <v>0</v>
      </c>
      <c r="U584" t="s">
        <v>73</v>
      </c>
      <c r="V584" t="s">
        <v>10</v>
      </c>
      <c r="W584" t="s">
        <v>80</v>
      </c>
      <c r="X584" t="s">
        <v>285</v>
      </c>
      <c r="Y584" t="s">
        <v>28</v>
      </c>
      <c r="Z584">
        <v>1.89</v>
      </c>
      <c r="AA584">
        <f t="shared" si="27"/>
        <v>5240.83</v>
      </c>
      <c r="AB584">
        <f t="shared" si="28"/>
        <v>1.5205020575749628E-2</v>
      </c>
      <c r="AC584">
        <f t="shared" si="29"/>
        <v>0</v>
      </c>
      <c r="AD584">
        <v>2024</v>
      </c>
      <c r="AE584">
        <v>7</v>
      </c>
      <c r="AF584" t="s">
        <v>69</v>
      </c>
      <c r="AG584" t="s">
        <v>70</v>
      </c>
    </row>
    <row r="585" spans="1:33">
      <c r="A585" t="s">
        <v>736</v>
      </c>
      <c r="B585">
        <v>45438</v>
      </c>
      <c r="C585">
        <v>45440</v>
      </c>
      <c r="D585" t="s">
        <v>21</v>
      </c>
      <c r="E585">
        <v>750</v>
      </c>
      <c r="F585">
        <v>884.69</v>
      </c>
      <c r="G585">
        <v>0.04</v>
      </c>
      <c r="H585">
        <v>663252.09</v>
      </c>
      <c r="I585" t="s">
        <v>1726</v>
      </c>
      <c r="J585">
        <v>662.37</v>
      </c>
      <c r="K585">
        <v>496777.5</v>
      </c>
      <c r="L585">
        <v>16802.150000000001</v>
      </c>
      <c r="M585">
        <v>1830.73</v>
      </c>
      <c r="N585">
        <v>2164.75</v>
      </c>
      <c r="O585">
        <v>517575.13</v>
      </c>
      <c r="P585">
        <v>166474.59</v>
      </c>
      <c r="Q585">
        <v>145676.96</v>
      </c>
      <c r="R585" t="s">
        <v>85</v>
      </c>
      <c r="S585">
        <v>214968.73</v>
      </c>
      <c r="T585">
        <v>448283.36</v>
      </c>
      <c r="U585" t="s">
        <v>66</v>
      </c>
      <c r="V585" t="s">
        <v>16</v>
      </c>
      <c r="W585" t="s">
        <v>141</v>
      </c>
      <c r="X585" t="s">
        <v>127</v>
      </c>
      <c r="Y585" t="s">
        <v>22</v>
      </c>
      <c r="Z585">
        <v>1.07</v>
      </c>
      <c r="AA585">
        <f t="shared" si="27"/>
        <v>145676.96</v>
      </c>
      <c r="AB585">
        <f t="shared" si="28"/>
        <v>0.21964040852098934</v>
      </c>
      <c r="AC585">
        <f t="shared" si="29"/>
        <v>0</v>
      </c>
      <c r="AD585">
        <v>2024</v>
      </c>
      <c r="AE585">
        <v>5</v>
      </c>
      <c r="AF585" t="s">
        <v>76</v>
      </c>
      <c r="AG585" t="s">
        <v>77</v>
      </c>
    </row>
    <row r="586" spans="1:33">
      <c r="A586" t="s">
        <v>737</v>
      </c>
      <c r="B586">
        <v>45651</v>
      </c>
      <c r="C586">
        <v>45653</v>
      </c>
      <c r="D586" t="s">
        <v>21</v>
      </c>
      <c r="E586">
        <v>100</v>
      </c>
      <c r="F586">
        <v>890.43</v>
      </c>
      <c r="G586">
        <v>1.9</v>
      </c>
      <c r="H586">
        <v>87351.18</v>
      </c>
      <c r="I586" t="s">
        <v>1727</v>
      </c>
      <c r="J586">
        <v>668.62</v>
      </c>
      <c r="K586">
        <v>66862</v>
      </c>
      <c r="L586">
        <v>1614.77</v>
      </c>
      <c r="M586">
        <v>368.51</v>
      </c>
      <c r="N586">
        <v>4570.7</v>
      </c>
      <c r="O586">
        <v>73415.98</v>
      </c>
      <c r="P586">
        <v>20489.18</v>
      </c>
      <c r="Q586">
        <v>13935.2</v>
      </c>
      <c r="R586" t="s">
        <v>65</v>
      </c>
      <c r="S586">
        <v>87351.18</v>
      </c>
      <c r="T586">
        <v>0</v>
      </c>
      <c r="U586" t="s">
        <v>66</v>
      </c>
      <c r="V586" t="s">
        <v>6</v>
      </c>
      <c r="W586" t="s">
        <v>92</v>
      </c>
      <c r="X586" t="s">
        <v>97</v>
      </c>
      <c r="Y586" t="s">
        <v>24</v>
      </c>
      <c r="Z586">
        <v>1.04</v>
      </c>
      <c r="AA586">
        <f t="shared" si="27"/>
        <v>13935.2</v>
      </c>
      <c r="AB586">
        <f t="shared" si="28"/>
        <v>0.15953075848546067</v>
      </c>
      <c r="AC586">
        <f t="shared" si="29"/>
        <v>0</v>
      </c>
      <c r="AD586">
        <v>2024</v>
      </c>
      <c r="AE586">
        <v>12</v>
      </c>
      <c r="AF586" t="s">
        <v>98</v>
      </c>
      <c r="AG586" t="s">
        <v>99</v>
      </c>
    </row>
    <row r="587" spans="1:33">
      <c r="A587" t="s">
        <v>738</v>
      </c>
      <c r="B587">
        <v>45931</v>
      </c>
      <c r="C587">
        <v>45939</v>
      </c>
      <c r="D587" t="s">
        <v>27</v>
      </c>
      <c r="E587">
        <v>150</v>
      </c>
      <c r="F587">
        <v>760.13</v>
      </c>
      <c r="G587">
        <v>1.05</v>
      </c>
      <c r="H587">
        <v>112822.3</v>
      </c>
      <c r="I587" t="s">
        <v>1727</v>
      </c>
      <c r="J587">
        <v>572.86</v>
      </c>
      <c r="K587">
        <v>85929</v>
      </c>
      <c r="L587">
        <v>1221.31</v>
      </c>
      <c r="M587">
        <v>420.66</v>
      </c>
      <c r="N587">
        <v>9297.4699999999993</v>
      </c>
      <c r="O587">
        <v>96868.44</v>
      </c>
      <c r="P587">
        <v>26893.3</v>
      </c>
      <c r="Q587">
        <v>15953.86</v>
      </c>
      <c r="R587" t="s">
        <v>65</v>
      </c>
      <c r="S587">
        <v>112822.3</v>
      </c>
      <c r="T587">
        <v>0</v>
      </c>
      <c r="U587" t="s">
        <v>73</v>
      </c>
      <c r="V587" t="s">
        <v>6</v>
      </c>
      <c r="W587" t="s">
        <v>74</v>
      </c>
      <c r="X587" t="s">
        <v>125</v>
      </c>
      <c r="Y587" t="s">
        <v>24</v>
      </c>
      <c r="Z587">
        <v>0.66</v>
      </c>
      <c r="AA587">
        <f t="shared" si="27"/>
        <v>15953.86</v>
      </c>
      <c r="AB587">
        <f t="shared" si="28"/>
        <v>0.14140697362134969</v>
      </c>
      <c r="AC587">
        <f t="shared" si="29"/>
        <v>0</v>
      </c>
      <c r="AD587">
        <v>2025</v>
      </c>
      <c r="AE587">
        <v>10</v>
      </c>
      <c r="AF587" t="s">
        <v>138</v>
      </c>
      <c r="AG587" t="s">
        <v>160</v>
      </c>
    </row>
    <row r="588" spans="1:33">
      <c r="A588" t="s">
        <v>739</v>
      </c>
      <c r="B588">
        <v>45311</v>
      </c>
      <c r="C588">
        <v>45325</v>
      </c>
      <c r="D588" t="s">
        <v>25</v>
      </c>
      <c r="E588">
        <v>150</v>
      </c>
      <c r="F588">
        <v>900.44</v>
      </c>
      <c r="G588">
        <v>0.42</v>
      </c>
      <c r="H588">
        <v>134498.72</v>
      </c>
      <c r="I588" t="s">
        <v>1726</v>
      </c>
      <c r="J588">
        <v>738.19</v>
      </c>
      <c r="K588">
        <v>110728.5</v>
      </c>
      <c r="L588">
        <v>1748.55</v>
      </c>
      <c r="M588">
        <v>846.22</v>
      </c>
      <c r="N588">
        <v>7485.65</v>
      </c>
      <c r="O588">
        <v>120808.92</v>
      </c>
      <c r="P588">
        <v>23770.22</v>
      </c>
      <c r="Q588">
        <v>13689.8</v>
      </c>
      <c r="R588" t="s">
        <v>65</v>
      </c>
      <c r="S588">
        <v>134498.72</v>
      </c>
      <c r="T588">
        <v>0</v>
      </c>
      <c r="U588" t="s">
        <v>66</v>
      </c>
      <c r="V588" t="s">
        <v>12</v>
      </c>
      <c r="W588" t="s">
        <v>74</v>
      </c>
      <c r="X588" t="s">
        <v>375</v>
      </c>
      <c r="Y588" t="s">
        <v>30</v>
      </c>
      <c r="Z588">
        <v>1.4</v>
      </c>
      <c r="AA588">
        <f t="shared" si="27"/>
        <v>13689.8</v>
      </c>
      <c r="AB588">
        <f t="shared" si="28"/>
        <v>0.10178386827770554</v>
      </c>
      <c r="AC588">
        <f t="shared" si="29"/>
        <v>0</v>
      </c>
      <c r="AD588">
        <v>2024</v>
      </c>
      <c r="AE588">
        <v>1</v>
      </c>
      <c r="AF588" t="s">
        <v>102</v>
      </c>
      <c r="AG588" t="s">
        <v>103</v>
      </c>
    </row>
    <row r="589" spans="1:33">
      <c r="A589" t="s">
        <v>740</v>
      </c>
      <c r="B589">
        <v>45323</v>
      </c>
      <c r="C589">
        <v>45337</v>
      </c>
      <c r="D589" t="s">
        <v>27</v>
      </c>
      <c r="E589">
        <v>250</v>
      </c>
      <c r="F589">
        <v>751.49</v>
      </c>
      <c r="G589">
        <v>1.05</v>
      </c>
      <c r="H589">
        <v>185899.84</v>
      </c>
      <c r="I589" t="s">
        <v>1727</v>
      </c>
      <c r="J589">
        <v>580.53</v>
      </c>
      <c r="K589">
        <v>145132.5</v>
      </c>
      <c r="L589">
        <v>4992.62</v>
      </c>
      <c r="M589">
        <v>436.95</v>
      </c>
      <c r="N589">
        <v>6649.14</v>
      </c>
      <c r="O589">
        <v>157211.21</v>
      </c>
      <c r="P589">
        <v>40767.339999999997</v>
      </c>
      <c r="Q589">
        <v>28688.63</v>
      </c>
      <c r="R589" t="s">
        <v>65</v>
      </c>
      <c r="S589">
        <v>185899.84</v>
      </c>
      <c r="T589">
        <v>0</v>
      </c>
      <c r="U589" t="s">
        <v>66</v>
      </c>
      <c r="V589" t="s">
        <v>10</v>
      </c>
      <c r="W589" t="s">
        <v>141</v>
      </c>
      <c r="X589" t="s">
        <v>125</v>
      </c>
      <c r="Y589" t="s">
        <v>24</v>
      </c>
      <c r="Z589">
        <v>1.86</v>
      </c>
      <c r="AA589">
        <f t="shared" si="27"/>
        <v>28688.63</v>
      </c>
      <c r="AB589">
        <f t="shared" si="28"/>
        <v>0.15432304836841174</v>
      </c>
      <c r="AC589">
        <f t="shared" si="29"/>
        <v>0</v>
      </c>
      <c r="AD589">
        <v>2024</v>
      </c>
      <c r="AE589">
        <v>2</v>
      </c>
      <c r="AF589" t="s">
        <v>172</v>
      </c>
      <c r="AG589" t="s">
        <v>173</v>
      </c>
    </row>
    <row r="590" spans="1:33">
      <c r="A590" t="s">
        <v>741</v>
      </c>
      <c r="B590">
        <v>45706</v>
      </c>
      <c r="C590">
        <v>45707</v>
      </c>
      <c r="D590" t="s">
        <v>23</v>
      </c>
      <c r="E590">
        <v>100</v>
      </c>
      <c r="F590">
        <v>1276.74</v>
      </c>
      <c r="G590">
        <v>1.36</v>
      </c>
      <c r="H590">
        <v>125937.63</v>
      </c>
      <c r="I590" t="s">
        <v>1727</v>
      </c>
      <c r="J590">
        <v>1085.6600000000001</v>
      </c>
      <c r="K590">
        <v>108566</v>
      </c>
      <c r="L590">
        <v>942.95</v>
      </c>
      <c r="M590">
        <v>265.85000000000002</v>
      </c>
      <c r="N590">
        <v>9898.94</v>
      </c>
      <c r="O590">
        <v>119673.74</v>
      </c>
      <c r="P590">
        <v>17371.63</v>
      </c>
      <c r="Q590">
        <v>6263.89</v>
      </c>
      <c r="R590" t="s">
        <v>65</v>
      </c>
      <c r="S590">
        <v>125937.63</v>
      </c>
      <c r="T590">
        <v>0</v>
      </c>
      <c r="U590" t="s">
        <v>66</v>
      </c>
      <c r="V590" t="s">
        <v>14</v>
      </c>
      <c r="W590" t="s">
        <v>67</v>
      </c>
      <c r="X590" t="s">
        <v>285</v>
      </c>
      <c r="Y590" t="s">
        <v>28</v>
      </c>
      <c r="Z590">
        <v>0.91</v>
      </c>
      <c r="AA590">
        <f t="shared" si="27"/>
        <v>6263.89</v>
      </c>
      <c r="AB590">
        <f t="shared" si="28"/>
        <v>4.9738033024759952E-2</v>
      </c>
      <c r="AC590">
        <f t="shared" si="29"/>
        <v>0</v>
      </c>
      <c r="AD590">
        <v>2025</v>
      </c>
      <c r="AE590">
        <v>2</v>
      </c>
      <c r="AF590" t="s">
        <v>172</v>
      </c>
      <c r="AG590" t="s">
        <v>244</v>
      </c>
    </row>
    <row r="591" spans="1:33">
      <c r="A591" t="s">
        <v>742</v>
      </c>
      <c r="B591">
        <v>45388</v>
      </c>
      <c r="C591">
        <v>45393</v>
      </c>
      <c r="D591" t="s">
        <v>21</v>
      </c>
      <c r="E591">
        <v>100</v>
      </c>
      <c r="F591">
        <v>868.37</v>
      </c>
      <c r="G591">
        <v>1.99</v>
      </c>
      <c r="H591">
        <v>85108.94</v>
      </c>
      <c r="I591" t="s">
        <v>1726</v>
      </c>
      <c r="J591">
        <v>726.76</v>
      </c>
      <c r="K591">
        <v>72676</v>
      </c>
      <c r="L591">
        <v>1995.5</v>
      </c>
      <c r="M591">
        <v>172.61</v>
      </c>
      <c r="N591">
        <v>10934.21</v>
      </c>
      <c r="O591">
        <v>85778.32</v>
      </c>
      <c r="P591">
        <v>12432.94</v>
      </c>
      <c r="Q591">
        <v>-669.38</v>
      </c>
      <c r="R591" t="s">
        <v>85</v>
      </c>
      <c r="S591">
        <v>21416.67</v>
      </c>
      <c r="T591">
        <v>63692.27</v>
      </c>
      <c r="U591" t="s">
        <v>73</v>
      </c>
      <c r="V591" t="s">
        <v>16</v>
      </c>
      <c r="W591" t="s">
        <v>74</v>
      </c>
      <c r="X591" t="s">
        <v>375</v>
      </c>
      <c r="Y591" t="s">
        <v>30</v>
      </c>
      <c r="Z591">
        <v>2.42</v>
      </c>
      <c r="AA591">
        <f t="shared" si="27"/>
        <v>-669.38</v>
      </c>
      <c r="AB591">
        <f t="shared" si="28"/>
        <v>-7.8649786967150571E-3</v>
      </c>
      <c r="AC591">
        <f t="shared" si="29"/>
        <v>0</v>
      </c>
      <c r="AD591">
        <v>2024</v>
      </c>
      <c r="AE591">
        <v>4</v>
      </c>
      <c r="AF591" t="s">
        <v>154</v>
      </c>
      <c r="AG591" t="s">
        <v>157</v>
      </c>
    </row>
    <row r="592" spans="1:33">
      <c r="A592" t="s">
        <v>743</v>
      </c>
      <c r="B592">
        <v>45439</v>
      </c>
      <c r="C592">
        <v>45440</v>
      </c>
      <c r="D592" t="s">
        <v>23</v>
      </c>
      <c r="E592">
        <v>300</v>
      </c>
      <c r="F592">
        <v>1273.8</v>
      </c>
      <c r="G592">
        <v>1.22</v>
      </c>
      <c r="H592">
        <v>377477.89</v>
      </c>
      <c r="I592" t="s">
        <v>1727</v>
      </c>
      <c r="J592">
        <v>1090.83</v>
      </c>
      <c r="K592">
        <v>327249</v>
      </c>
      <c r="L592">
        <v>6297.89</v>
      </c>
      <c r="M592">
        <v>458.76</v>
      </c>
      <c r="N592">
        <v>5098.9399999999996</v>
      </c>
      <c r="O592">
        <v>339104.59</v>
      </c>
      <c r="P592">
        <v>50228.89</v>
      </c>
      <c r="Q592">
        <v>38373.300000000003</v>
      </c>
      <c r="R592" t="s">
        <v>85</v>
      </c>
      <c r="S592">
        <v>299401.71000000002</v>
      </c>
      <c r="T592">
        <v>78076.179999999993</v>
      </c>
      <c r="U592" t="s">
        <v>66</v>
      </c>
      <c r="V592" t="s">
        <v>6</v>
      </c>
      <c r="W592" t="s">
        <v>141</v>
      </c>
      <c r="X592" t="s">
        <v>285</v>
      </c>
      <c r="Y592" t="s">
        <v>28</v>
      </c>
      <c r="Z592">
        <v>1.57</v>
      </c>
      <c r="AA592">
        <f t="shared" si="27"/>
        <v>38373.300000000003</v>
      </c>
      <c r="AB592">
        <f t="shared" si="28"/>
        <v>0.10165707983585476</v>
      </c>
      <c r="AC592">
        <f t="shared" si="29"/>
        <v>0</v>
      </c>
      <c r="AD592">
        <v>2024</v>
      </c>
      <c r="AE592">
        <v>5</v>
      </c>
      <c r="AF592" t="s">
        <v>76</v>
      </c>
      <c r="AG592" t="s">
        <v>77</v>
      </c>
    </row>
    <row r="593" spans="1:33">
      <c r="A593" t="s">
        <v>744</v>
      </c>
      <c r="B593">
        <v>45853</v>
      </c>
      <c r="C593">
        <v>45857</v>
      </c>
      <c r="D593" t="s">
        <v>23</v>
      </c>
      <c r="E593">
        <v>100</v>
      </c>
      <c r="F593">
        <v>1170.82</v>
      </c>
      <c r="G593">
        <v>0.61</v>
      </c>
      <c r="H593">
        <v>116367.8</v>
      </c>
      <c r="I593" t="s">
        <v>1726</v>
      </c>
      <c r="J593">
        <v>1049.42</v>
      </c>
      <c r="K593">
        <v>104942</v>
      </c>
      <c r="L593">
        <v>1111.19</v>
      </c>
      <c r="M593">
        <v>215.94</v>
      </c>
      <c r="N593">
        <v>8538.1299999999992</v>
      </c>
      <c r="O593">
        <v>114807.26</v>
      </c>
      <c r="P593">
        <v>11425.8</v>
      </c>
      <c r="Q593">
        <v>1560.54</v>
      </c>
      <c r="R593" t="s">
        <v>65</v>
      </c>
      <c r="S593">
        <v>116367.8</v>
      </c>
      <c r="T593">
        <v>0</v>
      </c>
      <c r="U593" t="s">
        <v>66</v>
      </c>
      <c r="V593" t="s">
        <v>6</v>
      </c>
      <c r="W593" t="s">
        <v>141</v>
      </c>
      <c r="X593" t="s">
        <v>123</v>
      </c>
      <c r="Y593" t="s">
        <v>22</v>
      </c>
      <c r="Z593">
        <v>0.05</v>
      </c>
      <c r="AA593">
        <f t="shared" si="27"/>
        <v>1560.54</v>
      </c>
      <c r="AB593">
        <f t="shared" si="28"/>
        <v>1.3410410783739144E-2</v>
      </c>
      <c r="AC593">
        <f t="shared" si="29"/>
        <v>0</v>
      </c>
      <c r="AD593">
        <v>2025</v>
      </c>
      <c r="AE593">
        <v>7</v>
      </c>
      <c r="AF593" t="s">
        <v>69</v>
      </c>
      <c r="AG593" t="s">
        <v>151</v>
      </c>
    </row>
    <row r="594" spans="1:33">
      <c r="A594" t="s">
        <v>745</v>
      </c>
      <c r="B594">
        <v>45626</v>
      </c>
      <c r="C594">
        <v>45632</v>
      </c>
      <c r="D594" t="s">
        <v>21</v>
      </c>
      <c r="E594">
        <v>250</v>
      </c>
      <c r="F594">
        <v>901.87</v>
      </c>
      <c r="G594">
        <v>0.82</v>
      </c>
      <c r="H594">
        <v>223618.67</v>
      </c>
      <c r="I594" t="s">
        <v>1726</v>
      </c>
      <c r="J594">
        <v>737.3</v>
      </c>
      <c r="K594">
        <v>184325</v>
      </c>
      <c r="L594">
        <v>3722.59</v>
      </c>
      <c r="M594">
        <v>727.73</v>
      </c>
      <c r="N594">
        <v>5440.74</v>
      </c>
      <c r="O594">
        <v>194216.06</v>
      </c>
      <c r="P594">
        <v>39293.67</v>
      </c>
      <c r="Q594">
        <v>29402.61</v>
      </c>
      <c r="R594" t="s">
        <v>65</v>
      </c>
      <c r="S594">
        <v>223618.67</v>
      </c>
      <c r="T594">
        <v>0</v>
      </c>
      <c r="U594" t="s">
        <v>73</v>
      </c>
      <c r="V594" t="s">
        <v>8</v>
      </c>
      <c r="W594" t="s">
        <v>74</v>
      </c>
      <c r="X594" t="s">
        <v>142</v>
      </c>
      <c r="Y594" t="s">
        <v>28</v>
      </c>
      <c r="Z594">
        <v>0.95</v>
      </c>
      <c r="AA594">
        <f t="shared" si="27"/>
        <v>29402.61</v>
      </c>
      <c r="AB594">
        <f t="shared" si="28"/>
        <v>0.13148548821974479</v>
      </c>
      <c r="AC594">
        <f t="shared" si="29"/>
        <v>0</v>
      </c>
      <c r="AD594">
        <v>2024</v>
      </c>
      <c r="AE594">
        <v>11</v>
      </c>
      <c r="AF594" t="s">
        <v>128</v>
      </c>
      <c r="AG594" t="s">
        <v>129</v>
      </c>
    </row>
    <row r="595" spans="1:33">
      <c r="A595" t="s">
        <v>746</v>
      </c>
      <c r="B595">
        <v>45966</v>
      </c>
      <c r="C595">
        <v>45976</v>
      </c>
      <c r="D595" t="s">
        <v>23</v>
      </c>
      <c r="E595">
        <v>200</v>
      </c>
      <c r="F595">
        <v>1430.5</v>
      </c>
      <c r="G595">
        <v>1.1000000000000001</v>
      </c>
      <c r="H595">
        <v>282952.90000000002</v>
      </c>
      <c r="I595" t="s">
        <v>1726</v>
      </c>
      <c r="J595">
        <v>1112.3</v>
      </c>
      <c r="K595">
        <v>222460</v>
      </c>
      <c r="L595">
        <v>4303.8599999999997</v>
      </c>
      <c r="M595">
        <v>579.36</v>
      </c>
      <c r="N595">
        <v>8429.9500000000007</v>
      </c>
      <c r="O595">
        <v>235773.17</v>
      </c>
      <c r="P595">
        <v>60492.9</v>
      </c>
      <c r="Q595">
        <v>47179.73</v>
      </c>
      <c r="R595" t="s">
        <v>85</v>
      </c>
      <c r="S595">
        <v>71536.44</v>
      </c>
      <c r="T595">
        <v>211416.46</v>
      </c>
      <c r="U595" t="s">
        <v>66</v>
      </c>
      <c r="V595" t="s">
        <v>6</v>
      </c>
      <c r="W595" t="s">
        <v>67</v>
      </c>
      <c r="X595" t="s">
        <v>93</v>
      </c>
      <c r="Y595" t="s">
        <v>26</v>
      </c>
      <c r="Z595">
        <v>0.27</v>
      </c>
      <c r="AA595">
        <f t="shared" si="27"/>
        <v>47179.73</v>
      </c>
      <c r="AB595">
        <f t="shared" si="28"/>
        <v>0.16674057767211434</v>
      </c>
      <c r="AC595">
        <f t="shared" si="29"/>
        <v>0</v>
      </c>
      <c r="AD595">
        <v>2025</v>
      </c>
      <c r="AE595">
        <v>11</v>
      </c>
      <c r="AF595" t="s">
        <v>128</v>
      </c>
      <c r="AG595" t="s">
        <v>135</v>
      </c>
    </row>
    <row r="596" spans="1:33">
      <c r="A596" t="s">
        <v>747</v>
      </c>
      <c r="B596">
        <v>45523</v>
      </c>
      <c r="C596">
        <v>45528</v>
      </c>
      <c r="D596" t="s">
        <v>25</v>
      </c>
      <c r="E596">
        <v>250</v>
      </c>
      <c r="F596">
        <v>946.44</v>
      </c>
      <c r="G596">
        <v>1.07</v>
      </c>
      <c r="H596">
        <v>234078.27</v>
      </c>
      <c r="I596" t="s">
        <v>1726</v>
      </c>
      <c r="J596">
        <v>733.97</v>
      </c>
      <c r="K596">
        <v>183492.5</v>
      </c>
      <c r="L596">
        <v>3124.19</v>
      </c>
      <c r="M596">
        <v>506.5</v>
      </c>
      <c r="N596">
        <v>4232.99</v>
      </c>
      <c r="O596">
        <v>191356.18</v>
      </c>
      <c r="P596">
        <v>50585.77</v>
      </c>
      <c r="Q596">
        <v>42722.09</v>
      </c>
      <c r="R596" t="s">
        <v>85</v>
      </c>
      <c r="S596">
        <v>93562.83</v>
      </c>
      <c r="T596">
        <v>140515.44</v>
      </c>
      <c r="U596" t="s">
        <v>73</v>
      </c>
      <c r="V596" t="s">
        <v>6</v>
      </c>
      <c r="W596" t="s">
        <v>74</v>
      </c>
      <c r="X596" t="s">
        <v>162</v>
      </c>
      <c r="Y596" t="s">
        <v>26</v>
      </c>
      <c r="Z596">
        <v>1.46</v>
      </c>
      <c r="AA596">
        <f t="shared" si="27"/>
        <v>42722.09</v>
      </c>
      <c r="AB596">
        <f t="shared" si="28"/>
        <v>0.18251198626852461</v>
      </c>
      <c r="AC596">
        <f t="shared" si="29"/>
        <v>0</v>
      </c>
      <c r="AD596">
        <v>2024</v>
      </c>
      <c r="AE596">
        <v>8</v>
      </c>
      <c r="AF596" t="s">
        <v>82</v>
      </c>
      <c r="AG596" t="s">
        <v>83</v>
      </c>
    </row>
    <row r="597" spans="1:33">
      <c r="A597" t="s">
        <v>748</v>
      </c>
      <c r="B597">
        <v>45993</v>
      </c>
      <c r="D597" t="s">
        <v>23</v>
      </c>
      <c r="E597">
        <v>100</v>
      </c>
      <c r="F597">
        <v>1446.78</v>
      </c>
      <c r="G597">
        <v>0.52</v>
      </c>
      <c r="H597">
        <v>143925.67000000001</v>
      </c>
      <c r="I597" t="s">
        <v>1726</v>
      </c>
      <c r="J597">
        <v>1016.95</v>
      </c>
      <c r="K597">
        <v>101695</v>
      </c>
      <c r="L597">
        <v>1228.5899999999999</v>
      </c>
      <c r="M597">
        <v>372.24</v>
      </c>
      <c r="N597">
        <v>2679.67</v>
      </c>
      <c r="O597">
        <v>105975.5</v>
      </c>
      <c r="P597">
        <v>42230.67</v>
      </c>
      <c r="Q597">
        <v>37950.17</v>
      </c>
      <c r="R597" t="s">
        <v>65</v>
      </c>
      <c r="S597">
        <v>143925.67000000001</v>
      </c>
      <c r="T597">
        <v>0</v>
      </c>
      <c r="U597" t="s">
        <v>91</v>
      </c>
      <c r="V597" t="s">
        <v>10</v>
      </c>
      <c r="W597" t="s">
        <v>92</v>
      </c>
      <c r="X597" t="s">
        <v>150</v>
      </c>
      <c r="Y597" t="s">
        <v>30</v>
      </c>
      <c r="Z597">
        <v>0.8</v>
      </c>
      <c r="AA597">
        <f t="shared" si="27"/>
        <v>37950.17</v>
      </c>
      <c r="AB597">
        <f t="shared" si="28"/>
        <v>0.26367895317075818</v>
      </c>
      <c r="AC597">
        <f t="shared" si="29"/>
        <v>0</v>
      </c>
      <c r="AD597">
        <v>2025</v>
      </c>
      <c r="AE597">
        <v>12</v>
      </c>
      <c r="AF597" t="s">
        <v>98</v>
      </c>
      <c r="AG597" t="s">
        <v>168</v>
      </c>
    </row>
    <row r="598" spans="1:33">
      <c r="A598" t="s">
        <v>749</v>
      </c>
      <c r="B598">
        <v>45452</v>
      </c>
      <c r="C598">
        <v>45456</v>
      </c>
      <c r="D598" t="s">
        <v>21</v>
      </c>
      <c r="E598">
        <v>500</v>
      </c>
      <c r="F598">
        <v>870.83</v>
      </c>
      <c r="G598">
        <v>0.19</v>
      </c>
      <c r="H598">
        <v>434587.71</v>
      </c>
      <c r="I598" t="s">
        <v>1727</v>
      </c>
      <c r="J598">
        <v>678.51</v>
      </c>
      <c r="K598">
        <v>339255</v>
      </c>
      <c r="L598">
        <v>10652.41</v>
      </c>
      <c r="M598">
        <v>2859.44</v>
      </c>
      <c r="N598">
        <v>4730.0200000000004</v>
      </c>
      <c r="O598">
        <v>357496.87</v>
      </c>
      <c r="P598">
        <v>95332.71</v>
      </c>
      <c r="Q598">
        <v>77090.84</v>
      </c>
      <c r="R598" t="s">
        <v>65</v>
      </c>
      <c r="S598">
        <v>434587.71</v>
      </c>
      <c r="T598">
        <v>0</v>
      </c>
      <c r="U598" t="s">
        <v>73</v>
      </c>
      <c r="V598" t="s">
        <v>6</v>
      </c>
      <c r="W598" t="s">
        <v>74</v>
      </c>
      <c r="X598" t="s">
        <v>195</v>
      </c>
      <c r="Y598" t="s">
        <v>26</v>
      </c>
      <c r="Z598">
        <v>1.82</v>
      </c>
      <c r="AA598">
        <f t="shared" si="27"/>
        <v>77090.84</v>
      </c>
      <c r="AB598">
        <f t="shared" si="28"/>
        <v>0.17738844938804182</v>
      </c>
      <c r="AC598">
        <f t="shared" si="29"/>
        <v>0</v>
      </c>
      <c r="AD598">
        <v>2024</v>
      </c>
      <c r="AE598">
        <v>6</v>
      </c>
      <c r="AF598" t="s">
        <v>111</v>
      </c>
      <c r="AG598" t="s">
        <v>148</v>
      </c>
    </row>
    <row r="599" spans="1:33">
      <c r="A599" t="s">
        <v>750</v>
      </c>
      <c r="B599">
        <v>45916</v>
      </c>
      <c r="C599">
        <v>45923</v>
      </c>
      <c r="D599" t="s">
        <v>21</v>
      </c>
      <c r="E599">
        <v>100</v>
      </c>
      <c r="F599">
        <v>896.37</v>
      </c>
      <c r="G599">
        <v>1.25</v>
      </c>
      <c r="H599">
        <v>88516.54</v>
      </c>
      <c r="I599" t="s">
        <v>1726</v>
      </c>
      <c r="J599">
        <v>712.87</v>
      </c>
      <c r="K599">
        <v>71287</v>
      </c>
      <c r="L599">
        <v>1769.28</v>
      </c>
      <c r="M599">
        <v>157.38</v>
      </c>
      <c r="N599">
        <v>10090.209999999999</v>
      </c>
      <c r="O599">
        <v>83303.87</v>
      </c>
      <c r="P599">
        <v>17229.54</v>
      </c>
      <c r="Q599">
        <v>5212.67</v>
      </c>
      <c r="R599" t="s">
        <v>65</v>
      </c>
      <c r="S599">
        <v>88516.54</v>
      </c>
      <c r="T599">
        <v>0</v>
      </c>
      <c r="U599" t="s">
        <v>73</v>
      </c>
      <c r="V599" t="s">
        <v>6</v>
      </c>
      <c r="W599" t="s">
        <v>141</v>
      </c>
      <c r="X599" t="s">
        <v>68</v>
      </c>
      <c r="Y599" t="s">
        <v>31</v>
      </c>
      <c r="Z599">
        <v>2.1800000000000002</v>
      </c>
      <c r="AA599">
        <f t="shared" si="27"/>
        <v>5212.67</v>
      </c>
      <c r="AB599">
        <f t="shared" si="28"/>
        <v>5.8889220025997405E-2</v>
      </c>
      <c r="AC599">
        <f t="shared" si="29"/>
        <v>0</v>
      </c>
      <c r="AD599">
        <v>2025</v>
      </c>
      <c r="AE599">
        <v>9</v>
      </c>
      <c r="AF599" t="s">
        <v>131</v>
      </c>
      <c r="AG599" t="s">
        <v>132</v>
      </c>
    </row>
    <row r="600" spans="1:33">
      <c r="A600" t="s">
        <v>751</v>
      </c>
      <c r="B600">
        <v>45477</v>
      </c>
      <c r="C600">
        <v>45484</v>
      </c>
      <c r="D600" t="s">
        <v>25</v>
      </c>
      <c r="E600">
        <v>300</v>
      </c>
      <c r="F600">
        <v>904.03</v>
      </c>
      <c r="G600">
        <v>0.4</v>
      </c>
      <c r="H600">
        <v>270124.15999999997</v>
      </c>
      <c r="I600" t="s">
        <v>1727</v>
      </c>
      <c r="J600">
        <v>788.36</v>
      </c>
      <c r="K600">
        <v>236508</v>
      </c>
      <c r="L600">
        <v>3940.17</v>
      </c>
      <c r="M600">
        <v>1556.71</v>
      </c>
      <c r="N600">
        <v>11786.29</v>
      </c>
      <c r="O600">
        <v>253791.17</v>
      </c>
      <c r="P600">
        <v>33616.160000000003</v>
      </c>
      <c r="Q600">
        <v>16332.99</v>
      </c>
      <c r="R600" t="s">
        <v>65</v>
      </c>
      <c r="S600">
        <v>270124.15999999997</v>
      </c>
      <c r="T600">
        <v>0</v>
      </c>
      <c r="U600" t="s">
        <v>66</v>
      </c>
      <c r="V600" t="s">
        <v>8</v>
      </c>
      <c r="W600" t="s">
        <v>92</v>
      </c>
      <c r="X600" t="s">
        <v>108</v>
      </c>
      <c r="Y600" t="s">
        <v>22</v>
      </c>
      <c r="Z600">
        <v>0.23</v>
      </c>
      <c r="AA600">
        <f t="shared" si="27"/>
        <v>16332.99</v>
      </c>
      <c r="AB600">
        <f t="shared" si="28"/>
        <v>6.046475072796155E-2</v>
      </c>
      <c r="AC600">
        <f t="shared" si="29"/>
        <v>0</v>
      </c>
      <c r="AD600">
        <v>2024</v>
      </c>
      <c r="AE600">
        <v>7</v>
      </c>
      <c r="AF600" t="s">
        <v>69</v>
      </c>
      <c r="AG600" t="s">
        <v>70</v>
      </c>
    </row>
    <row r="601" spans="1:33">
      <c r="A601" t="s">
        <v>752</v>
      </c>
      <c r="B601">
        <v>45659</v>
      </c>
      <c r="C601">
        <v>45668</v>
      </c>
      <c r="D601" t="s">
        <v>21</v>
      </c>
      <c r="E601">
        <v>50</v>
      </c>
      <c r="F601">
        <v>910.42</v>
      </c>
      <c r="G601">
        <v>0.22</v>
      </c>
      <c r="H601">
        <v>45420.85</v>
      </c>
      <c r="I601" t="s">
        <v>1726</v>
      </c>
      <c r="J601">
        <v>705.6</v>
      </c>
      <c r="K601">
        <v>35280</v>
      </c>
      <c r="L601">
        <v>1067.01</v>
      </c>
      <c r="M601">
        <v>183.4</v>
      </c>
      <c r="N601">
        <v>10319.09</v>
      </c>
      <c r="O601">
        <v>46849.5</v>
      </c>
      <c r="P601">
        <v>10140.85</v>
      </c>
      <c r="Q601">
        <v>-1428.65</v>
      </c>
      <c r="R601" t="s">
        <v>65</v>
      </c>
      <c r="S601">
        <v>45420.85</v>
      </c>
      <c r="T601">
        <v>0</v>
      </c>
      <c r="U601" t="s">
        <v>66</v>
      </c>
      <c r="V601" t="s">
        <v>14</v>
      </c>
      <c r="W601" t="s">
        <v>92</v>
      </c>
      <c r="X601" t="s">
        <v>97</v>
      </c>
      <c r="Y601" t="s">
        <v>24</v>
      </c>
      <c r="Z601">
        <v>1.5</v>
      </c>
      <c r="AA601">
        <f t="shared" si="27"/>
        <v>-1428.65</v>
      </c>
      <c r="AB601">
        <f t="shared" si="28"/>
        <v>-3.1453616565960352E-2</v>
      </c>
      <c r="AC601">
        <f t="shared" si="29"/>
        <v>0</v>
      </c>
      <c r="AD601">
        <v>2025</v>
      </c>
      <c r="AE601">
        <v>1</v>
      </c>
      <c r="AF601" t="s">
        <v>102</v>
      </c>
      <c r="AG601" t="s">
        <v>118</v>
      </c>
    </row>
    <row r="602" spans="1:33">
      <c r="A602" t="s">
        <v>753</v>
      </c>
      <c r="B602">
        <v>45770</v>
      </c>
      <c r="D602" t="s">
        <v>25</v>
      </c>
      <c r="E602">
        <v>150</v>
      </c>
      <c r="F602">
        <v>937.16</v>
      </c>
      <c r="G602">
        <v>0.51</v>
      </c>
      <c r="H602">
        <v>139857.07</v>
      </c>
      <c r="I602" t="s">
        <v>1726</v>
      </c>
      <c r="J602">
        <v>762.47</v>
      </c>
      <c r="K602">
        <v>114370.5</v>
      </c>
      <c r="L602">
        <v>3085.31</v>
      </c>
      <c r="M602">
        <v>561.36</v>
      </c>
      <c r="N602">
        <v>10117.219999999999</v>
      </c>
      <c r="O602">
        <v>128134.39</v>
      </c>
      <c r="P602">
        <v>25486.57</v>
      </c>
      <c r="Q602">
        <v>11722.68</v>
      </c>
      <c r="R602" t="s">
        <v>65</v>
      </c>
      <c r="S602">
        <v>139857.07</v>
      </c>
      <c r="T602">
        <v>0</v>
      </c>
      <c r="U602" t="s">
        <v>91</v>
      </c>
      <c r="V602" t="s">
        <v>16</v>
      </c>
      <c r="W602" t="s">
        <v>67</v>
      </c>
      <c r="X602" t="s">
        <v>115</v>
      </c>
      <c r="Y602" t="s">
        <v>22</v>
      </c>
      <c r="Z602">
        <v>1</v>
      </c>
      <c r="AA602">
        <f t="shared" si="27"/>
        <v>11722.68</v>
      </c>
      <c r="AB602">
        <f t="shared" si="28"/>
        <v>8.3819001785179675E-2</v>
      </c>
      <c r="AC602">
        <f t="shared" si="29"/>
        <v>0</v>
      </c>
      <c r="AD602">
        <v>2025</v>
      </c>
      <c r="AE602">
        <v>4</v>
      </c>
      <c r="AF602" t="s">
        <v>154</v>
      </c>
      <c r="AG602" t="s">
        <v>155</v>
      </c>
    </row>
    <row r="603" spans="1:33">
      <c r="A603" t="s">
        <v>754</v>
      </c>
      <c r="B603">
        <v>45506</v>
      </c>
      <c r="C603">
        <v>45515</v>
      </c>
      <c r="D603" t="s">
        <v>25</v>
      </c>
      <c r="E603">
        <v>150</v>
      </c>
      <c r="F603">
        <v>1029.55</v>
      </c>
      <c r="G603">
        <v>1.8</v>
      </c>
      <c r="H603">
        <v>151652.72</v>
      </c>
      <c r="I603" t="s">
        <v>1726</v>
      </c>
      <c r="J603">
        <v>776.25</v>
      </c>
      <c r="K603">
        <v>116437.5</v>
      </c>
      <c r="L603">
        <v>1822.48</v>
      </c>
      <c r="M603">
        <v>544.54999999999995</v>
      </c>
      <c r="N603">
        <v>10553.86</v>
      </c>
      <c r="O603">
        <v>129358.39</v>
      </c>
      <c r="P603">
        <v>35215.22</v>
      </c>
      <c r="Q603">
        <v>22294.33</v>
      </c>
      <c r="R603" t="s">
        <v>65</v>
      </c>
      <c r="S603">
        <v>151652.72</v>
      </c>
      <c r="T603">
        <v>0</v>
      </c>
      <c r="U603" t="s">
        <v>66</v>
      </c>
      <c r="V603" t="s">
        <v>16</v>
      </c>
      <c r="W603" t="s">
        <v>67</v>
      </c>
      <c r="X603" t="s">
        <v>110</v>
      </c>
      <c r="Y603" t="s">
        <v>28</v>
      </c>
      <c r="Z603">
        <v>0.2</v>
      </c>
      <c r="AA603">
        <f t="shared" si="27"/>
        <v>22294.33</v>
      </c>
      <c r="AB603">
        <f t="shared" si="28"/>
        <v>0.14700910079291687</v>
      </c>
      <c r="AC603">
        <f t="shared" si="29"/>
        <v>0</v>
      </c>
      <c r="AD603">
        <v>2024</v>
      </c>
      <c r="AE603">
        <v>8</v>
      </c>
      <c r="AF603" t="s">
        <v>82</v>
      </c>
      <c r="AG603" t="s">
        <v>83</v>
      </c>
    </row>
    <row r="604" spans="1:33">
      <c r="A604" t="s">
        <v>755</v>
      </c>
      <c r="B604">
        <v>45554</v>
      </c>
      <c r="D604" t="s">
        <v>23</v>
      </c>
      <c r="E604">
        <v>300</v>
      </c>
      <c r="F604">
        <v>1344.27</v>
      </c>
      <c r="G604">
        <v>0.72</v>
      </c>
      <c r="H604">
        <v>400377.38</v>
      </c>
      <c r="I604" t="s">
        <v>1727</v>
      </c>
      <c r="J604">
        <v>1029.4100000000001</v>
      </c>
      <c r="K604">
        <v>308823</v>
      </c>
      <c r="L604">
        <v>5572.63</v>
      </c>
      <c r="M604">
        <v>857.97</v>
      </c>
      <c r="N604">
        <v>2374.34</v>
      </c>
      <c r="O604">
        <v>317627.94</v>
      </c>
      <c r="P604">
        <v>91554.38</v>
      </c>
      <c r="Q604">
        <v>82749.440000000002</v>
      </c>
      <c r="R604" t="s">
        <v>65</v>
      </c>
      <c r="S604">
        <v>400377.38</v>
      </c>
      <c r="T604">
        <v>0</v>
      </c>
      <c r="U604" t="s">
        <v>91</v>
      </c>
      <c r="V604" t="s">
        <v>8</v>
      </c>
      <c r="W604" t="s">
        <v>92</v>
      </c>
      <c r="X604" t="s">
        <v>115</v>
      </c>
      <c r="Y604" t="s">
        <v>22</v>
      </c>
      <c r="Z604">
        <v>1.53</v>
      </c>
      <c r="AA604">
        <f t="shared" si="27"/>
        <v>82749.440000000002</v>
      </c>
      <c r="AB604">
        <f t="shared" si="28"/>
        <v>0.20667860906627641</v>
      </c>
      <c r="AC604">
        <f t="shared" si="29"/>
        <v>0</v>
      </c>
      <c r="AD604">
        <v>2024</v>
      </c>
      <c r="AE604">
        <v>9</v>
      </c>
      <c r="AF604" t="s">
        <v>131</v>
      </c>
      <c r="AG604" t="s">
        <v>188</v>
      </c>
    </row>
    <row r="605" spans="1:33">
      <c r="A605" t="s">
        <v>756</v>
      </c>
      <c r="B605">
        <v>45450</v>
      </c>
      <c r="D605" t="s">
        <v>21</v>
      </c>
      <c r="E605">
        <v>100</v>
      </c>
      <c r="F605">
        <v>817.22</v>
      </c>
      <c r="G605">
        <v>1.23</v>
      </c>
      <c r="H605">
        <v>80716.820000000007</v>
      </c>
      <c r="I605" t="s">
        <v>1727</v>
      </c>
      <c r="J605">
        <v>661.39</v>
      </c>
      <c r="K605">
        <v>66139</v>
      </c>
      <c r="L605">
        <v>557.35</v>
      </c>
      <c r="M605">
        <v>382.82</v>
      </c>
      <c r="N605">
        <v>9327.3700000000008</v>
      </c>
      <c r="O605">
        <v>76406.539999999994</v>
      </c>
      <c r="P605">
        <v>14577.82</v>
      </c>
      <c r="Q605">
        <v>4310.28</v>
      </c>
      <c r="R605" t="s">
        <v>65</v>
      </c>
      <c r="S605">
        <v>80716.820000000007</v>
      </c>
      <c r="T605">
        <v>0</v>
      </c>
      <c r="U605" t="s">
        <v>91</v>
      </c>
      <c r="V605" t="s">
        <v>8</v>
      </c>
      <c r="W605" t="s">
        <v>74</v>
      </c>
      <c r="X605" t="s">
        <v>159</v>
      </c>
      <c r="Y605" t="s">
        <v>30</v>
      </c>
      <c r="Z605">
        <v>0.43</v>
      </c>
      <c r="AA605">
        <f t="shared" si="27"/>
        <v>4310.28</v>
      </c>
      <c r="AB605">
        <f t="shared" si="28"/>
        <v>5.3400022448852662E-2</v>
      </c>
      <c r="AC605">
        <f t="shared" si="29"/>
        <v>0</v>
      </c>
      <c r="AD605">
        <v>2024</v>
      </c>
      <c r="AE605">
        <v>6</v>
      </c>
      <c r="AF605" t="s">
        <v>111</v>
      </c>
      <c r="AG605" t="s">
        <v>148</v>
      </c>
    </row>
    <row r="606" spans="1:33">
      <c r="A606" t="s">
        <v>757</v>
      </c>
      <c r="B606">
        <v>45960</v>
      </c>
      <c r="D606" t="s">
        <v>27</v>
      </c>
      <c r="E606">
        <v>150</v>
      </c>
      <c r="F606">
        <v>745.13</v>
      </c>
      <c r="G606">
        <v>0.7</v>
      </c>
      <c r="H606">
        <v>110987.11</v>
      </c>
      <c r="I606" t="s">
        <v>1726</v>
      </c>
      <c r="J606">
        <v>591.69000000000005</v>
      </c>
      <c r="K606">
        <v>88753.5</v>
      </c>
      <c r="L606">
        <v>2991.81</v>
      </c>
      <c r="M606">
        <v>505.29</v>
      </c>
      <c r="N606">
        <v>872.94</v>
      </c>
      <c r="O606">
        <v>93123.54</v>
      </c>
      <c r="P606">
        <v>22233.61</v>
      </c>
      <c r="Q606">
        <v>17863.57</v>
      </c>
      <c r="R606" t="s">
        <v>85</v>
      </c>
      <c r="S606">
        <v>44937.46</v>
      </c>
      <c r="T606">
        <v>66049.649999999994</v>
      </c>
      <c r="U606" t="s">
        <v>91</v>
      </c>
      <c r="V606" t="s">
        <v>6</v>
      </c>
      <c r="W606" t="s">
        <v>74</v>
      </c>
      <c r="X606" t="s">
        <v>127</v>
      </c>
      <c r="Y606" t="s">
        <v>22</v>
      </c>
      <c r="Z606">
        <v>0.27</v>
      </c>
      <c r="AA606">
        <f t="shared" si="27"/>
        <v>17863.57</v>
      </c>
      <c r="AB606">
        <f t="shared" si="28"/>
        <v>0.16095175376672119</v>
      </c>
      <c r="AC606">
        <f t="shared" si="29"/>
        <v>0</v>
      </c>
      <c r="AD606">
        <v>2025</v>
      </c>
      <c r="AE606">
        <v>10</v>
      </c>
      <c r="AF606" t="s">
        <v>138</v>
      </c>
      <c r="AG606" t="s">
        <v>160</v>
      </c>
    </row>
    <row r="607" spans="1:33">
      <c r="A607" t="s">
        <v>758</v>
      </c>
      <c r="B607">
        <v>45869</v>
      </c>
      <c r="C607">
        <v>45872</v>
      </c>
      <c r="D607" t="s">
        <v>25</v>
      </c>
      <c r="E607">
        <v>100</v>
      </c>
      <c r="F607">
        <v>974.95</v>
      </c>
      <c r="G607">
        <v>1.54</v>
      </c>
      <c r="H607">
        <v>95993.58</v>
      </c>
      <c r="I607" t="s">
        <v>1727</v>
      </c>
      <c r="J607">
        <v>752.3</v>
      </c>
      <c r="K607">
        <v>75230</v>
      </c>
      <c r="L607">
        <v>2024.29</v>
      </c>
      <c r="M607">
        <v>219.11</v>
      </c>
      <c r="N607">
        <v>7316.05</v>
      </c>
      <c r="O607">
        <v>84789.45</v>
      </c>
      <c r="P607">
        <v>20763.580000000002</v>
      </c>
      <c r="Q607">
        <v>11204.13</v>
      </c>
      <c r="R607" t="s">
        <v>65</v>
      </c>
      <c r="S607">
        <v>95993.58</v>
      </c>
      <c r="T607">
        <v>0</v>
      </c>
      <c r="U607" t="s">
        <v>73</v>
      </c>
      <c r="V607" t="s">
        <v>6</v>
      </c>
      <c r="W607" t="s">
        <v>74</v>
      </c>
      <c r="X607" t="s">
        <v>115</v>
      </c>
      <c r="Y607" t="s">
        <v>22</v>
      </c>
      <c r="Z607">
        <v>1.04</v>
      </c>
      <c r="AA607">
        <f t="shared" si="27"/>
        <v>11204.13</v>
      </c>
      <c r="AB607">
        <f t="shared" si="28"/>
        <v>0.11671749298234319</v>
      </c>
      <c r="AC607">
        <f t="shared" si="29"/>
        <v>0</v>
      </c>
      <c r="AD607">
        <v>2025</v>
      </c>
      <c r="AE607">
        <v>7</v>
      </c>
      <c r="AF607" t="s">
        <v>69</v>
      </c>
      <c r="AG607" t="s">
        <v>151</v>
      </c>
    </row>
    <row r="608" spans="1:33">
      <c r="A608" t="s">
        <v>759</v>
      </c>
      <c r="B608">
        <v>45551</v>
      </c>
      <c r="C608">
        <v>45555</v>
      </c>
      <c r="D608" t="s">
        <v>23</v>
      </c>
      <c r="E608">
        <v>500</v>
      </c>
      <c r="F608">
        <v>1360.03</v>
      </c>
      <c r="G608">
        <v>0.93</v>
      </c>
      <c r="H608">
        <v>673690.86</v>
      </c>
      <c r="I608" t="s">
        <v>1728</v>
      </c>
      <c r="J608">
        <v>1000.42</v>
      </c>
      <c r="K608">
        <v>500210</v>
      </c>
      <c r="L608">
        <v>5434.24</v>
      </c>
      <c r="M608">
        <v>1541.83</v>
      </c>
      <c r="N608">
        <v>4324.8599999999997</v>
      </c>
      <c r="O608">
        <v>511510.93</v>
      </c>
      <c r="P608">
        <v>173480.86</v>
      </c>
      <c r="Q608">
        <v>162179.93</v>
      </c>
      <c r="R608" t="s">
        <v>65</v>
      </c>
      <c r="S608">
        <v>673690.86</v>
      </c>
      <c r="T608">
        <v>0</v>
      </c>
      <c r="U608" t="s">
        <v>73</v>
      </c>
      <c r="V608" t="s">
        <v>16</v>
      </c>
      <c r="W608" t="s">
        <v>67</v>
      </c>
      <c r="X608" t="s">
        <v>327</v>
      </c>
      <c r="Y608" t="s">
        <v>26</v>
      </c>
      <c r="Z608">
        <v>2.04</v>
      </c>
      <c r="AA608">
        <f t="shared" si="27"/>
        <v>162179.93</v>
      </c>
      <c r="AB608">
        <f t="shared" si="28"/>
        <v>0.24073345747929548</v>
      </c>
      <c r="AC608">
        <f t="shared" si="29"/>
        <v>0</v>
      </c>
      <c r="AD608">
        <v>2024</v>
      </c>
      <c r="AE608">
        <v>9</v>
      </c>
      <c r="AF608" t="s">
        <v>131</v>
      </c>
      <c r="AG608" t="s">
        <v>188</v>
      </c>
    </row>
    <row r="609" spans="1:33">
      <c r="A609" t="s">
        <v>760</v>
      </c>
      <c r="B609">
        <v>45804</v>
      </c>
      <c r="D609" t="s">
        <v>23</v>
      </c>
      <c r="E609">
        <v>100</v>
      </c>
      <c r="F609">
        <v>1204.3399999999999</v>
      </c>
      <c r="G609">
        <v>0.93</v>
      </c>
      <c r="H609">
        <v>119313.96</v>
      </c>
      <c r="I609" t="s">
        <v>1729</v>
      </c>
      <c r="J609">
        <v>985.96</v>
      </c>
      <c r="K609">
        <v>98596</v>
      </c>
      <c r="L609">
        <v>1001.78</v>
      </c>
      <c r="M609">
        <v>272.19</v>
      </c>
      <c r="N609">
        <v>1645.4</v>
      </c>
      <c r="O609">
        <v>101515.37</v>
      </c>
      <c r="P609">
        <v>20717.96</v>
      </c>
      <c r="Q609">
        <v>17798.59</v>
      </c>
      <c r="R609" t="s">
        <v>65</v>
      </c>
      <c r="S609">
        <v>119313.96</v>
      </c>
      <c r="T609">
        <v>0</v>
      </c>
      <c r="U609" t="s">
        <v>91</v>
      </c>
      <c r="V609" t="s">
        <v>8</v>
      </c>
      <c r="W609" t="s">
        <v>80</v>
      </c>
      <c r="X609" t="s">
        <v>101</v>
      </c>
      <c r="Y609" t="s">
        <v>22</v>
      </c>
      <c r="Z609">
        <v>2.2000000000000002</v>
      </c>
      <c r="AA609">
        <f t="shared" si="27"/>
        <v>17798.59</v>
      </c>
      <c r="AB609">
        <f t="shared" si="28"/>
        <v>0.14917441345505589</v>
      </c>
      <c r="AC609">
        <f t="shared" si="29"/>
        <v>0</v>
      </c>
      <c r="AD609">
        <v>2025</v>
      </c>
      <c r="AE609">
        <v>5</v>
      </c>
      <c r="AF609" t="s">
        <v>76</v>
      </c>
      <c r="AG609" t="s">
        <v>94</v>
      </c>
    </row>
    <row r="610" spans="1:33">
      <c r="A610" t="s">
        <v>761</v>
      </c>
      <c r="B610">
        <v>45386</v>
      </c>
      <c r="C610">
        <v>45394</v>
      </c>
      <c r="D610" t="s">
        <v>21</v>
      </c>
      <c r="E610">
        <v>500</v>
      </c>
      <c r="F610">
        <v>932.53</v>
      </c>
      <c r="G610">
        <v>0.89</v>
      </c>
      <c r="H610">
        <v>462115.24</v>
      </c>
      <c r="I610" t="s">
        <v>1727</v>
      </c>
      <c r="J610">
        <v>657.06</v>
      </c>
      <c r="K610">
        <v>328530</v>
      </c>
      <c r="L610">
        <v>10352.02</v>
      </c>
      <c r="M610">
        <v>1308.48</v>
      </c>
      <c r="N610">
        <v>8384.77</v>
      </c>
      <c r="O610">
        <v>348575.27</v>
      </c>
      <c r="P610">
        <v>133585.24</v>
      </c>
      <c r="Q610">
        <v>113539.97</v>
      </c>
      <c r="R610" t="s">
        <v>65</v>
      </c>
      <c r="S610">
        <v>462115.24</v>
      </c>
      <c r="T610">
        <v>0</v>
      </c>
      <c r="U610" t="s">
        <v>66</v>
      </c>
      <c r="V610" t="s">
        <v>6</v>
      </c>
      <c r="W610" t="s">
        <v>74</v>
      </c>
      <c r="X610" t="s">
        <v>123</v>
      </c>
      <c r="Y610" t="s">
        <v>22</v>
      </c>
      <c r="Z610">
        <v>0.98</v>
      </c>
      <c r="AA610">
        <f t="shared" si="27"/>
        <v>113539.97</v>
      </c>
      <c r="AB610">
        <f t="shared" si="28"/>
        <v>0.24569622503685445</v>
      </c>
      <c r="AC610">
        <f t="shared" si="29"/>
        <v>0</v>
      </c>
      <c r="AD610">
        <v>2024</v>
      </c>
      <c r="AE610">
        <v>4</v>
      </c>
      <c r="AF610" t="s">
        <v>154</v>
      </c>
      <c r="AG610" t="s">
        <v>157</v>
      </c>
    </row>
    <row r="611" spans="1:33">
      <c r="A611" t="s">
        <v>762</v>
      </c>
      <c r="B611">
        <v>45508</v>
      </c>
      <c r="C611">
        <v>45508</v>
      </c>
      <c r="D611" t="s">
        <v>21</v>
      </c>
      <c r="E611">
        <v>100</v>
      </c>
      <c r="F611">
        <v>879.5</v>
      </c>
      <c r="G611">
        <v>1.49</v>
      </c>
      <c r="H611">
        <v>86639.54</v>
      </c>
      <c r="I611" t="s">
        <v>1726</v>
      </c>
      <c r="J611">
        <v>681.18</v>
      </c>
      <c r="K611">
        <v>68118</v>
      </c>
      <c r="L611">
        <v>1386.29</v>
      </c>
      <c r="M611">
        <v>388.21</v>
      </c>
      <c r="N611">
        <v>3616.29</v>
      </c>
      <c r="O611">
        <v>73508.789999999994</v>
      </c>
      <c r="P611">
        <v>18521.54</v>
      </c>
      <c r="Q611">
        <v>13130.75</v>
      </c>
      <c r="R611" t="s">
        <v>85</v>
      </c>
      <c r="S611">
        <v>39965.480000000003</v>
      </c>
      <c r="T611">
        <v>46674.06</v>
      </c>
      <c r="U611" t="s">
        <v>73</v>
      </c>
      <c r="V611" t="s">
        <v>6</v>
      </c>
      <c r="W611" t="s">
        <v>74</v>
      </c>
      <c r="X611" t="s">
        <v>195</v>
      </c>
      <c r="Y611" t="s">
        <v>26</v>
      </c>
      <c r="Z611">
        <v>1.56</v>
      </c>
      <c r="AA611">
        <f t="shared" si="27"/>
        <v>13130.75</v>
      </c>
      <c r="AB611">
        <f t="shared" si="28"/>
        <v>0.15155609090260638</v>
      </c>
      <c r="AC611">
        <f t="shared" si="29"/>
        <v>0</v>
      </c>
      <c r="AD611">
        <v>2024</v>
      </c>
      <c r="AE611">
        <v>8</v>
      </c>
      <c r="AF611" t="s">
        <v>82</v>
      </c>
      <c r="AG611" t="s">
        <v>83</v>
      </c>
    </row>
    <row r="612" spans="1:33">
      <c r="A612" t="s">
        <v>763</v>
      </c>
      <c r="B612">
        <v>45856</v>
      </c>
      <c r="C612">
        <v>45865</v>
      </c>
      <c r="D612" t="s">
        <v>25</v>
      </c>
      <c r="E612">
        <v>300</v>
      </c>
      <c r="F612">
        <v>944.77</v>
      </c>
      <c r="G612">
        <v>1.91</v>
      </c>
      <c r="H612">
        <v>278017.46999999997</v>
      </c>
      <c r="I612" t="s">
        <v>1726</v>
      </c>
      <c r="J612">
        <v>727.55</v>
      </c>
      <c r="K612">
        <v>218265</v>
      </c>
      <c r="L612">
        <v>5101.63</v>
      </c>
      <c r="M612">
        <v>640.24</v>
      </c>
      <c r="N612">
        <v>199.92</v>
      </c>
      <c r="O612">
        <v>224206.79</v>
      </c>
      <c r="P612">
        <v>59752.47</v>
      </c>
      <c r="Q612">
        <v>53810.68</v>
      </c>
      <c r="R612" t="s">
        <v>85</v>
      </c>
      <c r="S612">
        <v>168194.13</v>
      </c>
      <c r="T612">
        <v>109823.34</v>
      </c>
      <c r="U612" t="s">
        <v>66</v>
      </c>
      <c r="V612" t="s">
        <v>10</v>
      </c>
      <c r="W612" t="s">
        <v>92</v>
      </c>
      <c r="X612" t="s">
        <v>371</v>
      </c>
      <c r="Y612" t="s">
        <v>26</v>
      </c>
      <c r="Z612">
        <v>2.4900000000000002</v>
      </c>
      <c r="AA612">
        <f t="shared" si="27"/>
        <v>53810.68</v>
      </c>
      <c r="AB612">
        <f t="shared" si="28"/>
        <v>0.19355143401599909</v>
      </c>
      <c r="AC612">
        <f t="shared" si="29"/>
        <v>0</v>
      </c>
      <c r="AD612">
        <v>2025</v>
      </c>
      <c r="AE612">
        <v>7</v>
      </c>
      <c r="AF612" t="s">
        <v>69</v>
      </c>
      <c r="AG612" t="s">
        <v>151</v>
      </c>
    </row>
    <row r="613" spans="1:33">
      <c r="A613" t="s">
        <v>764</v>
      </c>
      <c r="B613">
        <v>46003</v>
      </c>
      <c r="D613" t="s">
        <v>29</v>
      </c>
      <c r="E613">
        <v>1000</v>
      </c>
      <c r="F613">
        <v>2876.99</v>
      </c>
      <c r="G613">
        <v>2.97</v>
      </c>
      <c r="H613">
        <v>2791543.4</v>
      </c>
      <c r="I613" t="s">
        <v>1728</v>
      </c>
      <c r="J613">
        <v>2287.58</v>
      </c>
      <c r="K613">
        <v>2287580</v>
      </c>
      <c r="L613">
        <v>23814.01</v>
      </c>
      <c r="M613">
        <v>2835.84</v>
      </c>
      <c r="N613">
        <v>11442.35</v>
      </c>
      <c r="O613">
        <v>2325672.2000000002</v>
      </c>
      <c r="P613">
        <v>503963.4</v>
      </c>
      <c r="Q613">
        <v>465871.2</v>
      </c>
      <c r="R613" t="s">
        <v>65</v>
      </c>
      <c r="S613">
        <v>2791543.4</v>
      </c>
      <c r="T613">
        <v>0</v>
      </c>
      <c r="U613" t="s">
        <v>91</v>
      </c>
      <c r="V613" t="s">
        <v>6</v>
      </c>
      <c r="W613" t="s">
        <v>74</v>
      </c>
      <c r="X613" t="s">
        <v>127</v>
      </c>
      <c r="Y613" t="s">
        <v>22</v>
      </c>
      <c r="Z613">
        <v>0.3</v>
      </c>
      <c r="AA613">
        <f t="shared" si="27"/>
        <v>465871.2</v>
      </c>
      <c r="AB613">
        <f t="shared" si="28"/>
        <v>0.16688660473629033</v>
      </c>
      <c r="AC613">
        <f t="shared" si="29"/>
        <v>0</v>
      </c>
      <c r="AD613">
        <v>2025</v>
      </c>
      <c r="AE613">
        <v>12</v>
      </c>
      <c r="AF613" t="s">
        <v>98</v>
      </c>
      <c r="AG613" t="s">
        <v>168</v>
      </c>
    </row>
    <row r="614" spans="1:33">
      <c r="A614" t="s">
        <v>765</v>
      </c>
      <c r="B614">
        <v>45897</v>
      </c>
      <c r="C614">
        <v>45901</v>
      </c>
      <c r="D614" t="s">
        <v>23</v>
      </c>
      <c r="E614">
        <v>500</v>
      </c>
      <c r="F614">
        <v>1213.3699999999999</v>
      </c>
      <c r="G614">
        <v>3.13</v>
      </c>
      <c r="H614">
        <v>587695.76</v>
      </c>
      <c r="I614" t="s">
        <v>1726</v>
      </c>
      <c r="J614">
        <v>1019.38</v>
      </c>
      <c r="K614">
        <v>509690</v>
      </c>
      <c r="L614">
        <v>11645.91</v>
      </c>
      <c r="M614">
        <v>1515.5</v>
      </c>
      <c r="N614">
        <v>4990.0600000000004</v>
      </c>
      <c r="O614">
        <v>527841.47</v>
      </c>
      <c r="P614">
        <v>78005.759999999995</v>
      </c>
      <c r="Q614">
        <v>59854.29</v>
      </c>
      <c r="R614" t="s">
        <v>65</v>
      </c>
      <c r="S614">
        <v>587695.76</v>
      </c>
      <c r="T614">
        <v>0</v>
      </c>
      <c r="U614" t="s">
        <v>66</v>
      </c>
      <c r="V614" t="s">
        <v>12</v>
      </c>
      <c r="W614" t="s">
        <v>67</v>
      </c>
      <c r="X614" t="s">
        <v>182</v>
      </c>
      <c r="Y614" t="s">
        <v>26</v>
      </c>
      <c r="Z614">
        <v>0.43</v>
      </c>
      <c r="AA614">
        <f t="shared" si="27"/>
        <v>59854.29</v>
      </c>
      <c r="AB614">
        <f t="shared" si="28"/>
        <v>0.10184570669694809</v>
      </c>
      <c r="AC614">
        <f t="shared" si="29"/>
        <v>0</v>
      </c>
      <c r="AD614">
        <v>2025</v>
      </c>
      <c r="AE614">
        <v>8</v>
      </c>
      <c r="AF614" t="s">
        <v>82</v>
      </c>
      <c r="AG614" t="s">
        <v>87</v>
      </c>
    </row>
    <row r="615" spans="1:33">
      <c r="A615" t="s">
        <v>766</v>
      </c>
      <c r="B615">
        <v>45806</v>
      </c>
      <c r="C615">
        <v>45810</v>
      </c>
      <c r="D615" t="s">
        <v>27</v>
      </c>
      <c r="E615">
        <v>100</v>
      </c>
      <c r="F615">
        <v>691.94</v>
      </c>
      <c r="G615">
        <v>1.44</v>
      </c>
      <c r="H615">
        <v>68197.61</v>
      </c>
      <c r="I615" t="s">
        <v>1727</v>
      </c>
      <c r="J615">
        <v>540.49</v>
      </c>
      <c r="K615">
        <v>54049</v>
      </c>
      <c r="L615">
        <v>1971.45</v>
      </c>
      <c r="M615">
        <v>263.11</v>
      </c>
      <c r="N615">
        <v>9354.4599999999991</v>
      </c>
      <c r="O615">
        <v>65638.02</v>
      </c>
      <c r="P615">
        <v>14148.61</v>
      </c>
      <c r="Q615">
        <v>2559.59</v>
      </c>
      <c r="R615" t="s">
        <v>65</v>
      </c>
      <c r="S615">
        <v>68197.61</v>
      </c>
      <c r="T615">
        <v>0</v>
      </c>
      <c r="U615" t="s">
        <v>66</v>
      </c>
      <c r="V615" t="s">
        <v>8</v>
      </c>
      <c r="W615" t="s">
        <v>74</v>
      </c>
      <c r="X615" t="s">
        <v>110</v>
      </c>
      <c r="Y615" t="s">
        <v>28</v>
      </c>
      <c r="Z615">
        <v>0.08</v>
      </c>
      <c r="AA615">
        <f t="shared" si="27"/>
        <v>2559.59</v>
      </c>
      <c r="AB615">
        <f t="shared" si="28"/>
        <v>3.7531960430871404E-2</v>
      </c>
      <c r="AC615">
        <f t="shared" si="29"/>
        <v>0</v>
      </c>
      <c r="AD615">
        <v>2025</v>
      </c>
      <c r="AE615">
        <v>5</v>
      </c>
      <c r="AF615" t="s">
        <v>76</v>
      </c>
      <c r="AG615" t="s">
        <v>94</v>
      </c>
    </row>
    <row r="616" spans="1:33">
      <c r="A616" t="s">
        <v>767</v>
      </c>
      <c r="B616">
        <v>45405</v>
      </c>
      <c r="C616">
        <v>45406</v>
      </c>
      <c r="D616" t="s">
        <v>23</v>
      </c>
      <c r="E616">
        <v>500</v>
      </c>
      <c r="F616">
        <v>1261.3499999999999</v>
      </c>
      <c r="G616">
        <v>3.53</v>
      </c>
      <c r="H616">
        <v>608412.17000000004</v>
      </c>
      <c r="I616" t="s">
        <v>1726</v>
      </c>
      <c r="J616">
        <v>1005.74</v>
      </c>
      <c r="K616">
        <v>502870</v>
      </c>
      <c r="L616">
        <v>6530.35</v>
      </c>
      <c r="M616">
        <v>2436.6</v>
      </c>
      <c r="N616">
        <v>8612.08</v>
      </c>
      <c r="O616">
        <v>520449.03</v>
      </c>
      <c r="P616">
        <v>105542.17</v>
      </c>
      <c r="Q616">
        <v>87963.14</v>
      </c>
      <c r="R616" t="s">
        <v>65</v>
      </c>
      <c r="S616">
        <v>608412.17000000004</v>
      </c>
      <c r="T616">
        <v>0</v>
      </c>
      <c r="U616" t="s">
        <v>66</v>
      </c>
      <c r="V616" t="s">
        <v>6</v>
      </c>
      <c r="W616" t="s">
        <v>74</v>
      </c>
      <c r="X616" t="s">
        <v>101</v>
      </c>
      <c r="Y616" t="s">
        <v>22</v>
      </c>
      <c r="Z616">
        <v>0.47</v>
      </c>
      <c r="AA616">
        <f t="shared" si="27"/>
        <v>87963.14</v>
      </c>
      <c r="AB616">
        <f t="shared" si="28"/>
        <v>0.14457820592247519</v>
      </c>
      <c r="AC616">
        <f t="shared" si="29"/>
        <v>0</v>
      </c>
      <c r="AD616">
        <v>2024</v>
      </c>
      <c r="AE616">
        <v>4</v>
      </c>
      <c r="AF616" t="s">
        <v>154</v>
      </c>
      <c r="AG616" t="s">
        <v>157</v>
      </c>
    </row>
    <row r="617" spans="1:33">
      <c r="A617" t="s">
        <v>768</v>
      </c>
      <c r="B617">
        <v>45388</v>
      </c>
      <c r="C617">
        <v>45401</v>
      </c>
      <c r="D617" t="s">
        <v>21</v>
      </c>
      <c r="E617">
        <v>500</v>
      </c>
      <c r="F617">
        <v>880.7</v>
      </c>
      <c r="G617">
        <v>1.86</v>
      </c>
      <c r="H617">
        <v>432159.49</v>
      </c>
      <c r="I617" t="s">
        <v>1727</v>
      </c>
      <c r="J617">
        <v>683.13</v>
      </c>
      <c r="K617">
        <v>341565</v>
      </c>
      <c r="L617">
        <v>8694.4699999999993</v>
      </c>
      <c r="M617">
        <v>841.09</v>
      </c>
      <c r="N617">
        <v>9195.08</v>
      </c>
      <c r="O617">
        <v>360295.64</v>
      </c>
      <c r="P617">
        <v>90594.49</v>
      </c>
      <c r="Q617">
        <v>71863.850000000006</v>
      </c>
      <c r="R617" t="s">
        <v>65</v>
      </c>
      <c r="S617">
        <v>432159.49</v>
      </c>
      <c r="T617">
        <v>0</v>
      </c>
      <c r="U617" t="s">
        <v>66</v>
      </c>
      <c r="V617" t="s">
        <v>8</v>
      </c>
      <c r="W617" t="s">
        <v>74</v>
      </c>
      <c r="X617" t="s">
        <v>97</v>
      </c>
      <c r="Y617" t="s">
        <v>24</v>
      </c>
      <c r="Z617">
        <v>0.17</v>
      </c>
      <c r="AA617">
        <f t="shared" si="27"/>
        <v>71863.850000000006</v>
      </c>
      <c r="AB617">
        <f t="shared" si="28"/>
        <v>0.16629011201396968</v>
      </c>
      <c r="AC617">
        <f t="shared" si="29"/>
        <v>0</v>
      </c>
      <c r="AD617">
        <v>2024</v>
      </c>
      <c r="AE617">
        <v>4</v>
      </c>
      <c r="AF617" t="s">
        <v>154</v>
      </c>
      <c r="AG617" t="s">
        <v>157</v>
      </c>
    </row>
    <row r="618" spans="1:33">
      <c r="A618" t="s">
        <v>769</v>
      </c>
      <c r="B618">
        <v>45571</v>
      </c>
      <c r="C618">
        <v>45580</v>
      </c>
      <c r="D618" t="s">
        <v>21</v>
      </c>
      <c r="E618">
        <v>300</v>
      </c>
      <c r="F618">
        <v>849.95</v>
      </c>
      <c r="G618">
        <v>1.88</v>
      </c>
      <c r="H618">
        <v>250191.28</v>
      </c>
      <c r="I618" t="s">
        <v>1726</v>
      </c>
      <c r="J618">
        <v>736.46</v>
      </c>
      <c r="K618">
        <v>220938</v>
      </c>
      <c r="L618">
        <v>4638.91</v>
      </c>
      <c r="M618">
        <v>1187.92</v>
      </c>
      <c r="N618">
        <v>7168.96</v>
      </c>
      <c r="O618">
        <v>233933.79</v>
      </c>
      <c r="P618">
        <v>29253.279999999999</v>
      </c>
      <c r="Q618">
        <v>16257.49</v>
      </c>
      <c r="R618" t="s">
        <v>65</v>
      </c>
      <c r="S618">
        <v>250191.28</v>
      </c>
      <c r="T618">
        <v>0</v>
      </c>
      <c r="U618" t="s">
        <v>66</v>
      </c>
      <c r="V618" t="s">
        <v>6</v>
      </c>
      <c r="W618" t="s">
        <v>141</v>
      </c>
      <c r="X618" t="s">
        <v>164</v>
      </c>
      <c r="Y618" t="s">
        <v>24</v>
      </c>
      <c r="Z618">
        <v>2.21</v>
      </c>
      <c r="AA618">
        <f t="shared" si="27"/>
        <v>16257.49</v>
      </c>
      <c r="AB618">
        <f t="shared" si="28"/>
        <v>6.4980242316998421E-2</v>
      </c>
      <c r="AC618">
        <f t="shared" si="29"/>
        <v>0</v>
      </c>
      <c r="AD618">
        <v>2024</v>
      </c>
      <c r="AE618">
        <v>10</v>
      </c>
      <c r="AF618" t="s">
        <v>138</v>
      </c>
      <c r="AG618" t="s">
        <v>139</v>
      </c>
    </row>
    <row r="619" spans="1:33">
      <c r="A619" t="s">
        <v>770</v>
      </c>
      <c r="B619">
        <v>45419</v>
      </c>
      <c r="C619">
        <v>45419</v>
      </c>
      <c r="D619" t="s">
        <v>21</v>
      </c>
      <c r="E619">
        <v>250</v>
      </c>
      <c r="F619">
        <v>823.88</v>
      </c>
      <c r="G619">
        <v>2.14</v>
      </c>
      <c r="H619">
        <v>201562.23999999999</v>
      </c>
      <c r="I619" t="s">
        <v>1728</v>
      </c>
      <c r="J619">
        <v>679.61</v>
      </c>
      <c r="K619">
        <v>169902.5</v>
      </c>
      <c r="L619">
        <v>4937.01</v>
      </c>
      <c r="M619">
        <v>707.18</v>
      </c>
      <c r="N619">
        <v>9930.74</v>
      </c>
      <c r="O619">
        <v>185477.43</v>
      </c>
      <c r="P619">
        <v>31659.74</v>
      </c>
      <c r="Q619">
        <v>16084.81</v>
      </c>
      <c r="R619" t="s">
        <v>65</v>
      </c>
      <c r="S619">
        <v>201562.23999999999</v>
      </c>
      <c r="T619">
        <v>0</v>
      </c>
      <c r="U619" t="s">
        <v>73</v>
      </c>
      <c r="V619" t="s">
        <v>8</v>
      </c>
      <c r="W619" t="s">
        <v>67</v>
      </c>
      <c r="X619" t="s">
        <v>108</v>
      </c>
      <c r="Y619" t="s">
        <v>22</v>
      </c>
      <c r="Z619">
        <v>0.63</v>
      </c>
      <c r="AA619">
        <f t="shared" si="27"/>
        <v>16084.81</v>
      </c>
      <c r="AB619">
        <f t="shared" si="28"/>
        <v>7.9800710688668675E-2</v>
      </c>
      <c r="AC619">
        <f t="shared" si="29"/>
        <v>0</v>
      </c>
      <c r="AD619">
        <v>2024</v>
      </c>
      <c r="AE619">
        <v>5</v>
      </c>
      <c r="AF619" t="s">
        <v>76</v>
      </c>
      <c r="AG619" t="s">
        <v>77</v>
      </c>
    </row>
    <row r="620" spans="1:33">
      <c r="A620" t="s">
        <v>771</v>
      </c>
      <c r="B620">
        <v>45543</v>
      </c>
      <c r="C620">
        <v>45546</v>
      </c>
      <c r="D620" t="s">
        <v>21</v>
      </c>
      <c r="E620">
        <v>250</v>
      </c>
      <c r="F620">
        <v>929.69</v>
      </c>
      <c r="G620">
        <v>2.04</v>
      </c>
      <c r="H620">
        <v>227681.08</v>
      </c>
      <c r="I620" t="s">
        <v>1726</v>
      </c>
      <c r="J620">
        <v>679.9</v>
      </c>
      <c r="K620">
        <v>169975</v>
      </c>
      <c r="L620">
        <v>5139.84</v>
      </c>
      <c r="M620">
        <v>1136.25</v>
      </c>
      <c r="N620">
        <v>7945.99</v>
      </c>
      <c r="O620">
        <v>184197.08</v>
      </c>
      <c r="P620">
        <v>57706.080000000002</v>
      </c>
      <c r="Q620">
        <v>43484</v>
      </c>
      <c r="R620" t="s">
        <v>65</v>
      </c>
      <c r="S620">
        <v>227681.08</v>
      </c>
      <c r="T620">
        <v>0</v>
      </c>
      <c r="U620" t="s">
        <v>66</v>
      </c>
      <c r="V620" t="s">
        <v>6</v>
      </c>
      <c r="W620" t="s">
        <v>80</v>
      </c>
      <c r="X620" t="s">
        <v>115</v>
      </c>
      <c r="Y620" t="s">
        <v>22</v>
      </c>
      <c r="Z620">
        <v>1.39</v>
      </c>
      <c r="AA620">
        <f t="shared" si="27"/>
        <v>43484</v>
      </c>
      <c r="AB620">
        <f t="shared" si="28"/>
        <v>0.19098644472347023</v>
      </c>
      <c r="AC620">
        <f t="shared" si="29"/>
        <v>0</v>
      </c>
      <c r="AD620">
        <v>2024</v>
      </c>
      <c r="AE620">
        <v>9</v>
      </c>
      <c r="AF620" t="s">
        <v>131</v>
      </c>
      <c r="AG620" t="s">
        <v>188</v>
      </c>
    </row>
    <row r="621" spans="1:33">
      <c r="A621" t="s">
        <v>772</v>
      </c>
      <c r="B621">
        <v>45659</v>
      </c>
      <c r="C621">
        <v>45660</v>
      </c>
      <c r="D621" t="s">
        <v>21</v>
      </c>
      <c r="E621">
        <v>250</v>
      </c>
      <c r="F621">
        <v>912.98</v>
      </c>
      <c r="G621">
        <v>1.53</v>
      </c>
      <c r="H621">
        <v>224752.85</v>
      </c>
      <c r="I621" t="s">
        <v>1726</v>
      </c>
      <c r="J621">
        <v>682.19</v>
      </c>
      <c r="K621">
        <v>170547.5</v>
      </c>
      <c r="L621">
        <v>3985.3</v>
      </c>
      <c r="M621">
        <v>1216.68</v>
      </c>
      <c r="N621">
        <v>6248.24</v>
      </c>
      <c r="O621">
        <v>181997.72</v>
      </c>
      <c r="P621">
        <v>54205.35</v>
      </c>
      <c r="Q621">
        <v>42755.13</v>
      </c>
      <c r="R621" t="s">
        <v>134</v>
      </c>
      <c r="S621">
        <v>0</v>
      </c>
      <c r="T621">
        <v>224752.85</v>
      </c>
      <c r="U621" t="s">
        <v>66</v>
      </c>
      <c r="V621" t="s">
        <v>12</v>
      </c>
      <c r="W621" t="s">
        <v>80</v>
      </c>
      <c r="X621" t="s">
        <v>145</v>
      </c>
      <c r="Y621" t="s">
        <v>30</v>
      </c>
      <c r="Z621">
        <v>0.06</v>
      </c>
      <c r="AA621">
        <f t="shared" si="27"/>
        <v>42755.13</v>
      </c>
      <c r="AB621">
        <f t="shared" si="28"/>
        <v>0.19023175901885114</v>
      </c>
      <c r="AC621">
        <f t="shared" si="29"/>
        <v>0</v>
      </c>
      <c r="AD621">
        <v>2025</v>
      </c>
      <c r="AE621">
        <v>1</v>
      </c>
      <c r="AF621" t="s">
        <v>102</v>
      </c>
      <c r="AG621" t="s">
        <v>118</v>
      </c>
    </row>
    <row r="622" spans="1:33">
      <c r="A622" t="s">
        <v>773</v>
      </c>
      <c r="B622">
        <v>45424</v>
      </c>
      <c r="C622">
        <v>45427</v>
      </c>
      <c r="D622" t="s">
        <v>23</v>
      </c>
      <c r="E622">
        <v>300</v>
      </c>
      <c r="F622">
        <v>1310.9</v>
      </c>
      <c r="G622">
        <v>0.66</v>
      </c>
      <c r="H622">
        <v>390674.42</v>
      </c>
      <c r="I622" t="s">
        <v>1727</v>
      </c>
      <c r="J622">
        <v>994.19</v>
      </c>
      <c r="K622">
        <v>298257</v>
      </c>
      <c r="L622">
        <v>4104.33</v>
      </c>
      <c r="M622">
        <v>786.33</v>
      </c>
      <c r="N622">
        <v>11847.55</v>
      </c>
      <c r="O622">
        <v>314995.21000000002</v>
      </c>
      <c r="P622">
        <v>92417.42</v>
      </c>
      <c r="Q622">
        <v>75679.210000000006</v>
      </c>
      <c r="R622" t="s">
        <v>134</v>
      </c>
      <c r="S622">
        <v>0</v>
      </c>
      <c r="T622">
        <v>390674.42</v>
      </c>
      <c r="U622" t="s">
        <v>73</v>
      </c>
      <c r="V622" t="s">
        <v>14</v>
      </c>
      <c r="W622" t="s">
        <v>74</v>
      </c>
      <c r="X622" t="s">
        <v>176</v>
      </c>
      <c r="Y622" t="s">
        <v>22</v>
      </c>
      <c r="Z622">
        <v>2.4500000000000002</v>
      </c>
      <c r="AA622">
        <f t="shared" si="27"/>
        <v>75679.210000000006</v>
      </c>
      <c r="AB622">
        <f t="shared" si="28"/>
        <v>0.19371426980041337</v>
      </c>
      <c r="AC622">
        <f t="shared" si="29"/>
        <v>0</v>
      </c>
      <c r="AD622">
        <v>2024</v>
      </c>
      <c r="AE622">
        <v>5</v>
      </c>
      <c r="AF622" t="s">
        <v>76</v>
      </c>
      <c r="AG622" t="s">
        <v>77</v>
      </c>
    </row>
    <row r="623" spans="1:33">
      <c r="A623" t="s">
        <v>774</v>
      </c>
      <c r="B623">
        <v>45861</v>
      </c>
      <c r="C623">
        <v>45863</v>
      </c>
      <c r="D623" t="s">
        <v>21</v>
      </c>
      <c r="E623">
        <v>100</v>
      </c>
      <c r="F623">
        <v>864.69</v>
      </c>
      <c r="G623">
        <v>1.98</v>
      </c>
      <c r="H623">
        <v>84756.91</v>
      </c>
      <c r="I623" t="s">
        <v>1726</v>
      </c>
      <c r="J623">
        <v>747.96</v>
      </c>
      <c r="K623">
        <v>74796</v>
      </c>
      <c r="L623">
        <v>1962.72</v>
      </c>
      <c r="M623">
        <v>443.46</v>
      </c>
      <c r="N623">
        <v>1065.27</v>
      </c>
      <c r="O623">
        <v>78267.45</v>
      </c>
      <c r="P623">
        <v>9960.91</v>
      </c>
      <c r="Q623">
        <v>6489.46</v>
      </c>
      <c r="R623" t="s">
        <v>65</v>
      </c>
      <c r="S623">
        <v>84756.91</v>
      </c>
      <c r="T623">
        <v>0</v>
      </c>
      <c r="U623" t="s">
        <v>73</v>
      </c>
      <c r="V623" t="s">
        <v>6</v>
      </c>
      <c r="W623" t="s">
        <v>92</v>
      </c>
      <c r="X623" t="s">
        <v>230</v>
      </c>
      <c r="Y623" t="s">
        <v>31</v>
      </c>
      <c r="Z623">
        <v>1.99</v>
      </c>
      <c r="AA623">
        <f t="shared" si="27"/>
        <v>6489.46</v>
      </c>
      <c r="AB623">
        <f t="shared" si="28"/>
        <v>7.6565556719800185E-2</v>
      </c>
      <c r="AC623">
        <f t="shared" si="29"/>
        <v>0</v>
      </c>
      <c r="AD623">
        <v>2025</v>
      </c>
      <c r="AE623">
        <v>7</v>
      </c>
      <c r="AF623" t="s">
        <v>69</v>
      </c>
      <c r="AG623" t="s">
        <v>151</v>
      </c>
    </row>
    <row r="624" spans="1:33">
      <c r="A624" t="s">
        <v>775</v>
      </c>
      <c r="B624">
        <v>45986</v>
      </c>
      <c r="C624">
        <v>45992</v>
      </c>
      <c r="D624" t="s">
        <v>23</v>
      </c>
      <c r="E624">
        <v>150</v>
      </c>
      <c r="F624">
        <v>1440.22</v>
      </c>
      <c r="G624">
        <v>0.36</v>
      </c>
      <c r="H624">
        <v>215255.28</v>
      </c>
      <c r="I624" t="s">
        <v>1726</v>
      </c>
      <c r="J624">
        <v>1062.6199999999999</v>
      </c>
      <c r="K624">
        <v>159393</v>
      </c>
      <c r="L624">
        <v>2443.15</v>
      </c>
      <c r="M624">
        <v>646.92999999999995</v>
      </c>
      <c r="N624">
        <v>316.70999999999998</v>
      </c>
      <c r="O624">
        <v>162799.79</v>
      </c>
      <c r="P624">
        <v>55862.28</v>
      </c>
      <c r="Q624">
        <v>52455.49</v>
      </c>
      <c r="R624" t="s">
        <v>85</v>
      </c>
      <c r="S624">
        <v>74727.17</v>
      </c>
      <c r="T624">
        <v>140528.10999999999</v>
      </c>
      <c r="U624" t="s">
        <v>66</v>
      </c>
      <c r="V624" t="s">
        <v>6</v>
      </c>
      <c r="W624" t="s">
        <v>67</v>
      </c>
      <c r="X624" t="s">
        <v>371</v>
      </c>
      <c r="Y624" t="s">
        <v>26</v>
      </c>
      <c r="Z624">
        <v>1.01</v>
      </c>
      <c r="AA624">
        <f t="shared" si="27"/>
        <v>52455.49</v>
      </c>
      <c r="AB624">
        <f t="shared" si="28"/>
        <v>0.24368967859928917</v>
      </c>
      <c r="AC624">
        <f t="shared" si="29"/>
        <v>0</v>
      </c>
      <c r="AD624">
        <v>2025</v>
      </c>
      <c r="AE624">
        <v>11</v>
      </c>
      <c r="AF624" t="s">
        <v>128</v>
      </c>
      <c r="AG624" t="s">
        <v>135</v>
      </c>
    </row>
    <row r="625" spans="1:33">
      <c r="A625" t="s">
        <v>776</v>
      </c>
      <c r="B625">
        <v>45572</v>
      </c>
      <c r="C625">
        <v>45582</v>
      </c>
      <c r="D625" t="s">
        <v>23</v>
      </c>
      <c r="E625">
        <v>500</v>
      </c>
      <c r="F625">
        <v>1319.16</v>
      </c>
      <c r="G625">
        <v>1.1599999999999999</v>
      </c>
      <c r="H625">
        <v>651928.87</v>
      </c>
      <c r="I625" t="s">
        <v>1726</v>
      </c>
      <c r="J625">
        <v>1089.45</v>
      </c>
      <c r="K625">
        <v>544725</v>
      </c>
      <c r="L625">
        <v>9178.01</v>
      </c>
      <c r="M625">
        <v>2850.69</v>
      </c>
      <c r="N625">
        <v>978.14</v>
      </c>
      <c r="O625">
        <v>557731.83999999997</v>
      </c>
      <c r="P625">
        <v>107203.87</v>
      </c>
      <c r="Q625">
        <v>94197.03</v>
      </c>
      <c r="R625" t="s">
        <v>134</v>
      </c>
      <c r="S625">
        <v>0</v>
      </c>
      <c r="T625">
        <v>651928.87</v>
      </c>
      <c r="U625" t="s">
        <v>73</v>
      </c>
      <c r="V625" t="s">
        <v>10</v>
      </c>
      <c r="W625" t="s">
        <v>67</v>
      </c>
      <c r="X625" t="s">
        <v>97</v>
      </c>
      <c r="Y625" t="s">
        <v>24</v>
      </c>
      <c r="Z625">
        <v>2.37</v>
      </c>
      <c r="AA625">
        <f t="shared" si="27"/>
        <v>94197.03</v>
      </c>
      <c r="AB625">
        <f t="shared" si="28"/>
        <v>0.14448973551363051</v>
      </c>
      <c r="AC625">
        <f t="shared" si="29"/>
        <v>0</v>
      </c>
      <c r="AD625">
        <v>2024</v>
      </c>
      <c r="AE625">
        <v>10</v>
      </c>
      <c r="AF625" t="s">
        <v>138</v>
      </c>
      <c r="AG625" t="s">
        <v>139</v>
      </c>
    </row>
    <row r="626" spans="1:33">
      <c r="A626" t="s">
        <v>777</v>
      </c>
      <c r="B626">
        <v>45446</v>
      </c>
      <c r="D626" t="s">
        <v>25</v>
      </c>
      <c r="E626">
        <v>200</v>
      </c>
      <c r="F626">
        <v>895.7</v>
      </c>
      <c r="G626">
        <v>1.22</v>
      </c>
      <c r="H626">
        <v>176954.49</v>
      </c>
      <c r="I626" t="s">
        <v>1727</v>
      </c>
      <c r="J626">
        <v>735.27</v>
      </c>
      <c r="K626">
        <v>147054</v>
      </c>
      <c r="L626">
        <v>4242.0600000000004</v>
      </c>
      <c r="M626">
        <v>685.51</v>
      </c>
      <c r="N626">
        <v>1803.48</v>
      </c>
      <c r="O626">
        <v>153785.04999999999</v>
      </c>
      <c r="P626">
        <v>29900.49</v>
      </c>
      <c r="Q626">
        <v>23169.439999999999</v>
      </c>
      <c r="R626" t="s">
        <v>65</v>
      </c>
      <c r="S626">
        <v>176954.49</v>
      </c>
      <c r="T626">
        <v>0</v>
      </c>
      <c r="U626" t="s">
        <v>91</v>
      </c>
      <c r="V626" t="s">
        <v>6</v>
      </c>
      <c r="W626" t="s">
        <v>74</v>
      </c>
      <c r="X626" t="s">
        <v>195</v>
      </c>
      <c r="Y626" t="s">
        <v>26</v>
      </c>
      <c r="Z626">
        <v>1.04</v>
      </c>
      <c r="AA626">
        <f t="shared" si="27"/>
        <v>23169.439999999999</v>
      </c>
      <c r="AB626">
        <f t="shared" si="28"/>
        <v>0.13093445665040768</v>
      </c>
      <c r="AC626">
        <f t="shared" si="29"/>
        <v>0</v>
      </c>
      <c r="AD626">
        <v>2024</v>
      </c>
      <c r="AE626">
        <v>6</v>
      </c>
      <c r="AF626" t="s">
        <v>111</v>
      </c>
      <c r="AG626" t="s">
        <v>148</v>
      </c>
    </row>
    <row r="627" spans="1:33">
      <c r="A627" t="s">
        <v>778</v>
      </c>
      <c r="B627">
        <v>45710</v>
      </c>
      <c r="D627" t="s">
        <v>21</v>
      </c>
      <c r="E627">
        <v>150</v>
      </c>
      <c r="F627">
        <v>849.16</v>
      </c>
      <c r="G627">
        <v>2.06</v>
      </c>
      <c r="H627">
        <v>124750.1</v>
      </c>
      <c r="I627" t="s">
        <v>1727</v>
      </c>
      <c r="J627">
        <v>725.61</v>
      </c>
      <c r="K627">
        <v>108841.5</v>
      </c>
      <c r="L627">
        <v>1704.59</v>
      </c>
      <c r="M627">
        <v>552.74</v>
      </c>
      <c r="N627">
        <v>4212.09</v>
      </c>
      <c r="O627">
        <v>115310.92</v>
      </c>
      <c r="P627">
        <v>15908.6</v>
      </c>
      <c r="Q627">
        <v>9439.18</v>
      </c>
      <c r="R627" t="s">
        <v>134</v>
      </c>
      <c r="S627">
        <v>0</v>
      </c>
      <c r="T627">
        <v>124750.1</v>
      </c>
      <c r="U627" t="s">
        <v>91</v>
      </c>
      <c r="V627" t="s">
        <v>6</v>
      </c>
      <c r="W627" t="s">
        <v>74</v>
      </c>
      <c r="X627" t="s">
        <v>147</v>
      </c>
      <c r="Y627" t="s">
        <v>28</v>
      </c>
      <c r="Z627">
        <v>0.81</v>
      </c>
      <c r="AA627">
        <f t="shared" si="27"/>
        <v>9439.18</v>
      </c>
      <c r="AB627">
        <f t="shared" si="28"/>
        <v>7.5664708886004906E-2</v>
      </c>
      <c r="AC627">
        <f t="shared" si="29"/>
        <v>0</v>
      </c>
      <c r="AD627">
        <v>2025</v>
      </c>
      <c r="AE627">
        <v>2</v>
      </c>
      <c r="AF627" t="s">
        <v>172</v>
      </c>
      <c r="AG627" t="s">
        <v>244</v>
      </c>
    </row>
    <row r="628" spans="1:33">
      <c r="A628" t="s">
        <v>779</v>
      </c>
      <c r="B628">
        <v>45522</v>
      </c>
      <c r="C628">
        <v>45527</v>
      </c>
      <c r="D628" t="s">
        <v>21</v>
      </c>
      <c r="E628">
        <v>100</v>
      </c>
      <c r="F628">
        <v>915.66</v>
      </c>
      <c r="G628">
        <v>2.2799999999999998</v>
      </c>
      <c r="H628">
        <v>89478.3</v>
      </c>
      <c r="I628" t="s">
        <v>1729</v>
      </c>
      <c r="J628">
        <v>712.34</v>
      </c>
      <c r="K628">
        <v>71234</v>
      </c>
      <c r="L628">
        <v>613.17999999999995</v>
      </c>
      <c r="M628">
        <v>346.97</v>
      </c>
      <c r="N628">
        <v>2859.57</v>
      </c>
      <c r="O628">
        <v>75053.72</v>
      </c>
      <c r="P628">
        <v>18244.3</v>
      </c>
      <c r="Q628">
        <v>14424.58</v>
      </c>
      <c r="R628" t="s">
        <v>65</v>
      </c>
      <c r="S628">
        <v>89478.3</v>
      </c>
      <c r="T628">
        <v>0</v>
      </c>
      <c r="U628" t="s">
        <v>73</v>
      </c>
      <c r="V628" t="s">
        <v>6</v>
      </c>
      <c r="W628" t="s">
        <v>80</v>
      </c>
      <c r="X628" t="s">
        <v>147</v>
      </c>
      <c r="Y628" t="s">
        <v>28</v>
      </c>
      <c r="Z628">
        <v>1.05</v>
      </c>
      <c r="AA628">
        <f t="shared" si="27"/>
        <v>14424.58</v>
      </c>
      <c r="AB628">
        <f t="shared" si="28"/>
        <v>0.1612075777031973</v>
      </c>
      <c r="AC628">
        <f t="shared" si="29"/>
        <v>0</v>
      </c>
      <c r="AD628">
        <v>2024</v>
      </c>
      <c r="AE628">
        <v>8</v>
      </c>
      <c r="AF628" t="s">
        <v>82</v>
      </c>
      <c r="AG628" t="s">
        <v>83</v>
      </c>
    </row>
    <row r="629" spans="1:33">
      <c r="A629" t="s">
        <v>780</v>
      </c>
      <c r="B629">
        <v>45973</v>
      </c>
      <c r="C629">
        <v>45987</v>
      </c>
      <c r="D629" t="s">
        <v>25</v>
      </c>
      <c r="E629">
        <v>100</v>
      </c>
      <c r="F629">
        <v>1021.65</v>
      </c>
      <c r="G629">
        <v>2.34</v>
      </c>
      <c r="H629">
        <v>99774.34</v>
      </c>
      <c r="I629" t="s">
        <v>1728</v>
      </c>
      <c r="J629">
        <v>807.19</v>
      </c>
      <c r="K629">
        <v>80719</v>
      </c>
      <c r="L629">
        <v>1047.19</v>
      </c>
      <c r="M629">
        <v>488.95</v>
      </c>
      <c r="N629">
        <v>7001.27</v>
      </c>
      <c r="O629">
        <v>89256.41</v>
      </c>
      <c r="P629">
        <v>19055.34</v>
      </c>
      <c r="Q629">
        <v>10517.93</v>
      </c>
      <c r="R629" t="s">
        <v>65</v>
      </c>
      <c r="S629">
        <v>99774.34</v>
      </c>
      <c r="T629">
        <v>0</v>
      </c>
      <c r="U629" t="s">
        <v>66</v>
      </c>
      <c r="V629" t="s">
        <v>6</v>
      </c>
      <c r="W629" t="s">
        <v>141</v>
      </c>
      <c r="X629" t="s">
        <v>164</v>
      </c>
      <c r="Y629" t="s">
        <v>24</v>
      </c>
      <c r="Z629">
        <v>1.97</v>
      </c>
      <c r="AA629">
        <f t="shared" si="27"/>
        <v>10517.93</v>
      </c>
      <c r="AB629">
        <f t="shared" si="28"/>
        <v>0.10541718441835847</v>
      </c>
      <c r="AC629">
        <f t="shared" si="29"/>
        <v>0</v>
      </c>
      <c r="AD629">
        <v>2025</v>
      </c>
      <c r="AE629">
        <v>11</v>
      </c>
      <c r="AF629" t="s">
        <v>128</v>
      </c>
      <c r="AG629" t="s">
        <v>135</v>
      </c>
    </row>
    <row r="630" spans="1:33">
      <c r="A630" t="s">
        <v>781</v>
      </c>
      <c r="B630">
        <v>45574</v>
      </c>
      <c r="C630">
        <v>45577</v>
      </c>
      <c r="D630" t="s">
        <v>23</v>
      </c>
      <c r="E630">
        <v>1000</v>
      </c>
      <c r="F630">
        <v>1397.03</v>
      </c>
      <c r="G630">
        <v>4.74</v>
      </c>
      <c r="H630">
        <v>1330810.78</v>
      </c>
      <c r="I630" t="s">
        <v>1728</v>
      </c>
      <c r="J630">
        <v>1034.29</v>
      </c>
      <c r="K630">
        <v>1034290</v>
      </c>
      <c r="L630">
        <v>9363.2800000000007</v>
      </c>
      <c r="M630">
        <v>3170.36</v>
      </c>
      <c r="N630">
        <v>7166.85</v>
      </c>
      <c r="O630">
        <v>1053990.49</v>
      </c>
      <c r="P630">
        <v>296520.78000000003</v>
      </c>
      <c r="Q630">
        <v>276820.28999999998</v>
      </c>
      <c r="R630" t="s">
        <v>85</v>
      </c>
      <c r="S630">
        <v>592670.11</v>
      </c>
      <c r="T630">
        <v>738140.67</v>
      </c>
      <c r="U630" t="s">
        <v>66</v>
      </c>
      <c r="V630" t="s">
        <v>16</v>
      </c>
      <c r="W630" t="s">
        <v>74</v>
      </c>
      <c r="X630" t="s">
        <v>239</v>
      </c>
      <c r="Y630" t="s">
        <v>28</v>
      </c>
      <c r="Z630">
        <v>2.4700000000000002</v>
      </c>
      <c r="AA630">
        <f t="shared" si="27"/>
        <v>276820.28999999998</v>
      </c>
      <c r="AB630">
        <f t="shared" si="28"/>
        <v>0.20800875237875663</v>
      </c>
      <c r="AC630">
        <f t="shared" si="29"/>
        <v>0</v>
      </c>
      <c r="AD630">
        <v>2024</v>
      </c>
      <c r="AE630">
        <v>10</v>
      </c>
      <c r="AF630" t="s">
        <v>138</v>
      </c>
      <c r="AG630" t="s">
        <v>139</v>
      </c>
    </row>
    <row r="631" spans="1:33">
      <c r="A631" t="s">
        <v>782</v>
      </c>
      <c r="B631">
        <v>45470</v>
      </c>
      <c r="C631">
        <v>45477</v>
      </c>
      <c r="D631" t="s">
        <v>21</v>
      </c>
      <c r="E631">
        <v>150</v>
      </c>
      <c r="F631">
        <v>859.18</v>
      </c>
      <c r="G631">
        <v>1.1200000000000001</v>
      </c>
      <c r="H631">
        <v>127433.58</v>
      </c>
      <c r="I631" t="s">
        <v>1727</v>
      </c>
      <c r="J631">
        <v>745.01</v>
      </c>
      <c r="K631">
        <v>111751.5</v>
      </c>
      <c r="L631">
        <v>1861.35</v>
      </c>
      <c r="M631">
        <v>607.61</v>
      </c>
      <c r="N631">
        <v>2675.15</v>
      </c>
      <c r="O631">
        <v>116895.61</v>
      </c>
      <c r="P631">
        <v>15682.08</v>
      </c>
      <c r="Q631">
        <v>10537.97</v>
      </c>
      <c r="R631" t="s">
        <v>85</v>
      </c>
      <c r="S631">
        <v>63644.639999999999</v>
      </c>
      <c r="T631">
        <v>63788.94</v>
      </c>
      <c r="U631" t="s">
        <v>73</v>
      </c>
      <c r="V631" t="s">
        <v>16</v>
      </c>
      <c r="W631" t="s">
        <v>67</v>
      </c>
      <c r="X631" t="s">
        <v>123</v>
      </c>
      <c r="Y631" t="s">
        <v>22</v>
      </c>
      <c r="Z631">
        <v>2.4300000000000002</v>
      </c>
      <c r="AA631">
        <f t="shared" si="27"/>
        <v>10537.97</v>
      </c>
      <c r="AB631">
        <f t="shared" si="28"/>
        <v>8.2693823715852599E-2</v>
      </c>
      <c r="AC631">
        <f t="shared" si="29"/>
        <v>0</v>
      </c>
      <c r="AD631">
        <v>2024</v>
      </c>
      <c r="AE631">
        <v>6</v>
      </c>
      <c r="AF631" t="s">
        <v>111</v>
      </c>
      <c r="AG631" t="s">
        <v>148</v>
      </c>
    </row>
    <row r="632" spans="1:33">
      <c r="A632" t="s">
        <v>783</v>
      </c>
      <c r="B632">
        <v>45584</v>
      </c>
      <c r="D632" t="s">
        <v>25</v>
      </c>
      <c r="E632">
        <v>200</v>
      </c>
      <c r="F632">
        <v>1086.8699999999999</v>
      </c>
      <c r="G632">
        <v>2</v>
      </c>
      <c r="H632">
        <v>213026.52</v>
      </c>
      <c r="I632" t="s">
        <v>1727</v>
      </c>
      <c r="J632">
        <v>735.1</v>
      </c>
      <c r="K632">
        <v>147020</v>
      </c>
      <c r="L632">
        <v>4235.57</v>
      </c>
      <c r="M632">
        <v>586.02</v>
      </c>
      <c r="N632">
        <v>136.30000000000001</v>
      </c>
      <c r="O632">
        <v>151977.89000000001</v>
      </c>
      <c r="P632">
        <v>66006.52</v>
      </c>
      <c r="Q632">
        <v>61048.63</v>
      </c>
      <c r="R632" t="s">
        <v>65</v>
      </c>
      <c r="S632">
        <v>213026.52</v>
      </c>
      <c r="T632">
        <v>0</v>
      </c>
      <c r="U632" t="s">
        <v>91</v>
      </c>
      <c r="V632" t="s">
        <v>6</v>
      </c>
      <c r="W632" t="s">
        <v>92</v>
      </c>
      <c r="X632" t="s">
        <v>162</v>
      </c>
      <c r="Y632" t="s">
        <v>26</v>
      </c>
      <c r="Z632">
        <v>0.93</v>
      </c>
      <c r="AA632">
        <f t="shared" si="27"/>
        <v>61048.63</v>
      </c>
      <c r="AB632">
        <f t="shared" si="28"/>
        <v>0.28657760545494526</v>
      </c>
      <c r="AC632">
        <f t="shared" si="29"/>
        <v>0</v>
      </c>
      <c r="AD632">
        <v>2024</v>
      </c>
      <c r="AE632">
        <v>10</v>
      </c>
      <c r="AF632" t="s">
        <v>138</v>
      </c>
      <c r="AG632" t="s">
        <v>139</v>
      </c>
    </row>
    <row r="633" spans="1:33">
      <c r="A633" t="s">
        <v>784</v>
      </c>
      <c r="B633">
        <v>45947</v>
      </c>
      <c r="C633">
        <v>45949</v>
      </c>
      <c r="D633" t="s">
        <v>23</v>
      </c>
      <c r="E633">
        <v>100</v>
      </c>
      <c r="F633">
        <v>1274.49</v>
      </c>
      <c r="G633">
        <v>1.98</v>
      </c>
      <c r="H633">
        <v>124925.51</v>
      </c>
      <c r="I633" t="s">
        <v>1726</v>
      </c>
      <c r="J633">
        <v>996.03</v>
      </c>
      <c r="K633">
        <v>99603</v>
      </c>
      <c r="L633">
        <v>1676.49</v>
      </c>
      <c r="M633">
        <v>553.16</v>
      </c>
      <c r="N633">
        <v>1743.75</v>
      </c>
      <c r="O633">
        <v>103576.4</v>
      </c>
      <c r="P633">
        <v>25322.51</v>
      </c>
      <c r="Q633">
        <v>21349.11</v>
      </c>
      <c r="R633" t="s">
        <v>65</v>
      </c>
      <c r="S633">
        <v>124925.51</v>
      </c>
      <c r="T633">
        <v>0</v>
      </c>
      <c r="U633" t="s">
        <v>73</v>
      </c>
      <c r="V633" t="s">
        <v>8</v>
      </c>
      <c r="W633" t="s">
        <v>67</v>
      </c>
      <c r="X633" t="s">
        <v>86</v>
      </c>
      <c r="Y633" t="s">
        <v>30</v>
      </c>
      <c r="Z633">
        <v>1.57</v>
      </c>
      <c r="AA633">
        <f t="shared" si="27"/>
        <v>21349.11</v>
      </c>
      <c r="AB633">
        <f t="shared" si="28"/>
        <v>0.1708947195812929</v>
      </c>
      <c r="AC633">
        <f t="shared" si="29"/>
        <v>0</v>
      </c>
      <c r="AD633">
        <v>2025</v>
      </c>
      <c r="AE633">
        <v>10</v>
      </c>
      <c r="AF633" t="s">
        <v>138</v>
      </c>
      <c r="AG633" t="s">
        <v>160</v>
      </c>
    </row>
    <row r="634" spans="1:33">
      <c r="A634" t="s">
        <v>785</v>
      </c>
      <c r="B634">
        <v>45806</v>
      </c>
      <c r="C634">
        <v>45819</v>
      </c>
      <c r="D634" t="s">
        <v>23</v>
      </c>
      <c r="E634">
        <v>50</v>
      </c>
      <c r="F634">
        <v>1317.25</v>
      </c>
      <c r="G634">
        <v>2.0699999999999998</v>
      </c>
      <c r="H634">
        <v>64499.15</v>
      </c>
      <c r="I634" t="s">
        <v>1726</v>
      </c>
      <c r="J634">
        <v>1009.03</v>
      </c>
      <c r="K634">
        <v>50451.5</v>
      </c>
      <c r="L634">
        <v>376.74</v>
      </c>
      <c r="M634">
        <v>272.99</v>
      </c>
      <c r="N634">
        <v>8393.5</v>
      </c>
      <c r="O634">
        <v>59494.73</v>
      </c>
      <c r="P634">
        <v>14047.65</v>
      </c>
      <c r="Q634">
        <v>5004.42</v>
      </c>
      <c r="R634" t="s">
        <v>134</v>
      </c>
      <c r="S634">
        <v>0</v>
      </c>
      <c r="T634">
        <v>64499.15</v>
      </c>
      <c r="U634" t="s">
        <v>66</v>
      </c>
      <c r="V634" t="s">
        <v>8</v>
      </c>
      <c r="W634" t="s">
        <v>74</v>
      </c>
      <c r="X634" t="s">
        <v>205</v>
      </c>
      <c r="Y634" t="s">
        <v>24</v>
      </c>
      <c r="Z634">
        <v>1.3</v>
      </c>
      <c r="AA634">
        <f t="shared" si="27"/>
        <v>5004.42</v>
      </c>
      <c r="AB634">
        <f t="shared" si="28"/>
        <v>7.7588929466512344E-2</v>
      </c>
      <c r="AC634">
        <f t="shared" si="29"/>
        <v>0</v>
      </c>
      <c r="AD634">
        <v>2025</v>
      </c>
      <c r="AE634">
        <v>5</v>
      </c>
      <c r="AF634" t="s">
        <v>76</v>
      </c>
      <c r="AG634" t="s">
        <v>94</v>
      </c>
    </row>
    <row r="635" spans="1:33">
      <c r="A635" t="s">
        <v>786</v>
      </c>
      <c r="B635">
        <v>46006</v>
      </c>
      <c r="C635">
        <v>46007</v>
      </c>
      <c r="D635" t="s">
        <v>21</v>
      </c>
      <c r="E635">
        <v>250</v>
      </c>
      <c r="F635">
        <v>938.17</v>
      </c>
      <c r="G635">
        <v>1.76</v>
      </c>
      <c r="H635">
        <v>230414.55</v>
      </c>
      <c r="I635" t="s">
        <v>1728</v>
      </c>
      <c r="J635">
        <v>694.97</v>
      </c>
      <c r="K635">
        <v>173742.5</v>
      </c>
      <c r="L635">
        <v>5278.28</v>
      </c>
      <c r="M635">
        <v>1431.19</v>
      </c>
      <c r="N635">
        <v>11892.3</v>
      </c>
      <c r="O635">
        <v>192344.27</v>
      </c>
      <c r="P635">
        <v>56672.05</v>
      </c>
      <c r="Q635">
        <v>38070.28</v>
      </c>
      <c r="R635" t="s">
        <v>65</v>
      </c>
      <c r="S635">
        <v>230414.55</v>
      </c>
      <c r="T635">
        <v>0</v>
      </c>
      <c r="U635" t="s">
        <v>66</v>
      </c>
      <c r="V635" t="s">
        <v>6</v>
      </c>
      <c r="W635" t="s">
        <v>80</v>
      </c>
      <c r="X635" t="s">
        <v>162</v>
      </c>
      <c r="Y635" t="s">
        <v>26</v>
      </c>
      <c r="Z635">
        <v>0.73</v>
      </c>
      <c r="AA635">
        <f t="shared" si="27"/>
        <v>38070.28</v>
      </c>
      <c r="AB635">
        <f t="shared" si="28"/>
        <v>0.16522515613705818</v>
      </c>
      <c r="AC635">
        <f t="shared" si="29"/>
        <v>0</v>
      </c>
      <c r="AD635">
        <v>2025</v>
      </c>
      <c r="AE635">
        <v>12</v>
      </c>
      <c r="AF635" t="s">
        <v>98</v>
      </c>
      <c r="AG635" t="s">
        <v>168</v>
      </c>
    </row>
    <row r="636" spans="1:33">
      <c r="A636" t="s">
        <v>787</v>
      </c>
      <c r="B636">
        <v>45400</v>
      </c>
      <c r="C636">
        <v>45411</v>
      </c>
      <c r="D636" t="s">
        <v>21</v>
      </c>
      <c r="E636">
        <v>200</v>
      </c>
      <c r="F636">
        <v>836.2</v>
      </c>
      <c r="G636">
        <v>2.4300000000000002</v>
      </c>
      <c r="H636">
        <v>163176.07</v>
      </c>
      <c r="I636" t="s">
        <v>1728</v>
      </c>
      <c r="J636">
        <v>693.97</v>
      </c>
      <c r="K636">
        <v>138794</v>
      </c>
      <c r="L636">
        <v>3939.38</v>
      </c>
      <c r="M636">
        <v>591.24</v>
      </c>
      <c r="N636">
        <v>11585.62</v>
      </c>
      <c r="O636">
        <v>154910.24</v>
      </c>
      <c r="P636">
        <v>24382.07</v>
      </c>
      <c r="Q636">
        <v>8265.83</v>
      </c>
      <c r="R636" t="s">
        <v>65</v>
      </c>
      <c r="S636">
        <v>163176.07</v>
      </c>
      <c r="T636">
        <v>0</v>
      </c>
      <c r="U636" t="s">
        <v>73</v>
      </c>
      <c r="V636" t="s">
        <v>8</v>
      </c>
      <c r="W636" t="s">
        <v>80</v>
      </c>
      <c r="X636" t="s">
        <v>147</v>
      </c>
      <c r="Y636" t="s">
        <v>28</v>
      </c>
      <c r="Z636">
        <v>1.69</v>
      </c>
      <c r="AA636">
        <f t="shared" si="27"/>
        <v>8265.83</v>
      </c>
      <c r="AB636">
        <f t="shared" si="28"/>
        <v>5.0655895806290714E-2</v>
      </c>
      <c r="AC636">
        <f t="shared" si="29"/>
        <v>0</v>
      </c>
      <c r="AD636">
        <v>2024</v>
      </c>
      <c r="AE636">
        <v>4</v>
      </c>
      <c r="AF636" t="s">
        <v>154</v>
      </c>
      <c r="AG636" t="s">
        <v>157</v>
      </c>
    </row>
    <row r="637" spans="1:33">
      <c r="A637" t="s">
        <v>788</v>
      </c>
      <c r="B637">
        <v>45982</v>
      </c>
      <c r="C637">
        <v>45986</v>
      </c>
      <c r="D637" t="s">
        <v>21</v>
      </c>
      <c r="E637">
        <v>500</v>
      </c>
      <c r="F637">
        <v>942.52</v>
      </c>
      <c r="G637">
        <v>4.83</v>
      </c>
      <c r="H637">
        <v>448498.14</v>
      </c>
      <c r="I637" t="s">
        <v>1726</v>
      </c>
      <c r="J637">
        <v>751.76</v>
      </c>
      <c r="K637">
        <v>375880</v>
      </c>
      <c r="L637">
        <v>6603.82</v>
      </c>
      <c r="M637">
        <v>1745.27</v>
      </c>
      <c r="N637">
        <v>1799.26</v>
      </c>
      <c r="O637">
        <v>386028.35</v>
      </c>
      <c r="P637">
        <v>72618.14</v>
      </c>
      <c r="Q637">
        <v>62469.79</v>
      </c>
      <c r="R637" t="s">
        <v>134</v>
      </c>
      <c r="S637">
        <v>0</v>
      </c>
      <c r="T637">
        <v>448498.14</v>
      </c>
      <c r="U637" t="s">
        <v>73</v>
      </c>
      <c r="V637" t="s">
        <v>10</v>
      </c>
      <c r="W637" t="s">
        <v>74</v>
      </c>
      <c r="X637" t="s">
        <v>108</v>
      </c>
      <c r="Y637" t="s">
        <v>22</v>
      </c>
      <c r="Z637">
        <v>0.72</v>
      </c>
      <c r="AA637">
        <f t="shared" si="27"/>
        <v>62469.79</v>
      </c>
      <c r="AB637">
        <f t="shared" si="28"/>
        <v>0.13928662000694139</v>
      </c>
      <c r="AC637">
        <f t="shared" si="29"/>
        <v>0</v>
      </c>
      <c r="AD637">
        <v>2025</v>
      </c>
      <c r="AE637">
        <v>11</v>
      </c>
      <c r="AF637" t="s">
        <v>128</v>
      </c>
      <c r="AG637" t="s">
        <v>135</v>
      </c>
    </row>
    <row r="638" spans="1:33">
      <c r="A638" t="s">
        <v>789</v>
      </c>
      <c r="B638">
        <v>45773</v>
      </c>
      <c r="C638">
        <v>45785</v>
      </c>
      <c r="D638" t="s">
        <v>23</v>
      </c>
      <c r="E638">
        <v>300</v>
      </c>
      <c r="F638">
        <v>1375.24</v>
      </c>
      <c r="G638">
        <v>0.28999999999999998</v>
      </c>
      <c r="H638">
        <v>411375.54</v>
      </c>
      <c r="I638" t="s">
        <v>1728</v>
      </c>
      <c r="J638">
        <v>1101.6099999999999</v>
      </c>
      <c r="K638">
        <v>330483</v>
      </c>
      <c r="L638">
        <v>3299.26</v>
      </c>
      <c r="M638">
        <v>461.04</v>
      </c>
      <c r="N638">
        <v>10684.21</v>
      </c>
      <c r="O638">
        <v>344927.51</v>
      </c>
      <c r="P638">
        <v>80892.539999999994</v>
      </c>
      <c r="Q638">
        <v>66448.03</v>
      </c>
      <c r="R638" t="s">
        <v>134</v>
      </c>
      <c r="S638">
        <v>0</v>
      </c>
      <c r="T638">
        <v>411375.54</v>
      </c>
      <c r="U638" t="s">
        <v>66</v>
      </c>
      <c r="V638" t="s">
        <v>10</v>
      </c>
      <c r="W638" t="s">
        <v>67</v>
      </c>
      <c r="X638" t="s">
        <v>81</v>
      </c>
      <c r="Y638" t="s">
        <v>24</v>
      </c>
      <c r="Z638">
        <v>1.36</v>
      </c>
      <c r="AA638">
        <f t="shared" si="27"/>
        <v>66448.03</v>
      </c>
      <c r="AB638">
        <f t="shared" si="28"/>
        <v>0.16152644855841453</v>
      </c>
      <c r="AC638">
        <f t="shared" si="29"/>
        <v>0</v>
      </c>
      <c r="AD638">
        <v>2025</v>
      </c>
      <c r="AE638">
        <v>4</v>
      </c>
      <c r="AF638" t="s">
        <v>154</v>
      </c>
      <c r="AG638" t="s">
        <v>155</v>
      </c>
    </row>
    <row r="639" spans="1:33">
      <c r="A639" t="s">
        <v>790</v>
      </c>
      <c r="B639">
        <v>45937</v>
      </c>
      <c r="C639">
        <v>45940</v>
      </c>
      <c r="D639" t="s">
        <v>21</v>
      </c>
      <c r="E639">
        <v>1000</v>
      </c>
      <c r="F639">
        <v>871.54</v>
      </c>
      <c r="G639">
        <v>3.84</v>
      </c>
      <c r="H639">
        <v>838072.86</v>
      </c>
      <c r="I639" t="s">
        <v>1728</v>
      </c>
      <c r="J639">
        <v>724.09</v>
      </c>
      <c r="K639">
        <v>724090</v>
      </c>
      <c r="L639">
        <v>18929.009999999998</v>
      </c>
      <c r="M639">
        <v>3054.64</v>
      </c>
      <c r="N639">
        <v>8859.23</v>
      </c>
      <c r="O639">
        <v>754932.88</v>
      </c>
      <c r="P639">
        <v>113982.86</v>
      </c>
      <c r="Q639">
        <v>83139.98</v>
      </c>
      <c r="R639" t="s">
        <v>65</v>
      </c>
      <c r="S639">
        <v>838072.86</v>
      </c>
      <c r="T639">
        <v>0</v>
      </c>
      <c r="U639" t="s">
        <v>66</v>
      </c>
      <c r="V639" t="s">
        <v>14</v>
      </c>
      <c r="W639" t="s">
        <v>141</v>
      </c>
      <c r="X639" t="s">
        <v>108</v>
      </c>
      <c r="Y639" t="s">
        <v>22</v>
      </c>
      <c r="Z639">
        <v>1.1100000000000001</v>
      </c>
      <c r="AA639">
        <f t="shared" si="27"/>
        <v>83139.98</v>
      </c>
      <c r="AB639">
        <f t="shared" si="28"/>
        <v>9.920376135315967E-2</v>
      </c>
      <c r="AC639">
        <f t="shared" si="29"/>
        <v>0</v>
      </c>
      <c r="AD639">
        <v>2025</v>
      </c>
      <c r="AE639">
        <v>10</v>
      </c>
      <c r="AF639" t="s">
        <v>138</v>
      </c>
      <c r="AG639" t="s">
        <v>160</v>
      </c>
    </row>
    <row r="640" spans="1:33">
      <c r="A640" t="s">
        <v>791</v>
      </c>
      <c r="B640">
        <v>45395</v>
      </c>
      <c r="C640">
        <v>45408</v>
      </c>
      <c r="D640" t="s">
        <v>21</v>
      </c>
      <c r="E640">
        <v>50</v>
      </c>
      <c r="F640">
        <v>870.97</v>
      </c>
      <c r="G640">
        <v>0.45</v>
      </c>
      <c r="H640">
        <v>43352.53</v>
      </c>
      <c r="I640" t="s">
        <v>1727</v>
      </c>
      <c r="J640">
        <v>741.33</v>
      </c>
      <c r="K640">
        <v>37066.5</v>
      </c>
      <c r="L640">
        <v>864.3</v>
      </c>
      <c r="M640">
        <v>231.94</v>
      </c>
      <c r="N640">
        <v>9446.7999999999993</v>
      </c>
      <c r="O640">
        <v>47609.54</v>
      </c>
      <c r="P640">
        <v>6286.03</v>
      </c>
      <c r="Q640">
        <v>-4257.01</v>
      </c>
      <c r="R640" t="s">
        <v>65</v>
      </c>
      <c r="S640">
        <v>43352.53</v>
      </c>
      <c r="T640">
        <v>0</v>
      </c>
      <c r="U640" t="s">
        <v>73</v>
      </c>
      <c r="V640" t="s">
        <v>6</v>
      </c>
      <c r="W640" t="s">
        <v>80</v>
      </c>
      <c r="X640" t="s">
        <v>108</v>
      </c>
      <c r="Y640" t="s">
        <v>22</v>
      </c>
      <c r="Z640">
        <v>0.44</v>
      </c>
      <c r="AA640">
        <f t="shared" si="27"/>
        <v>-4257.01</v>
      </c>
      <c r="AB640">
        <f t="shared" si="28"/>
        <v>-9.8195191837708209E-2</v>
      </c>
      <c r="AC640">
        <f t="shared" si="29"/>
        <v>0</v>
      </c>
      <c r="AD640">
        <v>2024</v>
      </c>
      <c r="AE640">
        <v>4</v>
      </c>
      <c r="AF640" t="s">
        <v>154</v>
      </c>
      <c r="AG640" t="s">
        <v>157</v>
      </c>
    </row>
    <row r="641" spans="1:33">
      <c r="A641" t="s">
        <v>792</v>
      </c>
      <c r="B641">
        <v>45661</v>
      </c>
      <c r="C641">
        <v>45674</v>
      </c>
      <c r="D641" t="s">
        <v>21</v>
      </c>
      <c r="E641">
        <v>150</v>
      </c>
      <c r="F641">
        <v>822.45</v>
      </c>
      <c r="G641">
        <v>0.56000000000000005</v>
      </c>
      <c r="H641">
        <v>122676.64</v>
      </c>
      <c r="I641" t="s">
        <v>1728</v>
      </c>
      <c r="J641">
        <v>671.78</v>
      </c>
      <c r="K641">
        <v>100767</v>
      </c>
      <c r="L641">
        <v>1655.23</v>
      </c>
      <c r="M641">
        <v>802.51</v>
      </c>
      <c r="N641">
        <v>9466.2000000000007</v>
      </c>
      <c r="O641">
        <v>112690.94</v>
      </c>
      <c r="P641">
        <v>21909.64</v>
      </c>
      <c r="Q641">
        <v>9985.7000000000007</v>
      </c>
      <c r="R641" t="s">
        <v>65</v>
      </c>
      <c r="S641">
        <v>122676.64</v>
      </c>
      <c r="T641">
        <v>0</v>
      </c>
      <c r="U641" t="s">
        <v>66</v>
      </c>
      <c r="V641" t="s">
        <v>10</v>
      </c>
      <c r="W641" t="s">
        <v>80</v>
      </c>
      <c r="X641" t="s">
        <v>230</v>
      </c>
      <c r="Y641" t="s">
        <v>31</v>
      </c>
      <c r="Z641">
        <v>0.84</v>
      </c>
      <c r="AA641">
        <f t="shared" si="27"/>
        <v>9985.7000000000007</v>
      </c>
      <c r="AB641">
        <f t="shared" si="28"/>
        <v>8.139854498786403E-2</v>
      </c>
      <c r="AC641">
        <f t="shared" si="29"/>
        <v>0</v>
      </c>
      <c r="AD641">
        <v>2025</v>
      </c>
      <c r="AE641">
        <v>1</v>
      </c>
      <c r="AF641" t="s">
        <v>102</v>
      </c>
      <c r="AG641" t="s">
        <v>118</v>
      </c>
    </row>
    <row r="642" spans="1:33">
      <c r="A642" t="s">
        <v>793</v>
      </c>
      <c r="B642">
        <v>45591</v>
      </c>
      <c r="C642">
        <v>45595</v>
      </c>
      <c r="D642" t="s">
        <v>21</v>
      </c>
      <c r="E642">
        <v>750</v>
      </c>
      <c r="F642">
        <v>901.37</v>
      </c>
      <c r="G642">
        <v>4.55</v>
      </c>
      <c r="H642">
        <v>645268.25</v>
      </c>
      <c r="I642" t="s">
        <v>1726</v>
      </c>
      <c r="J642">
        <v>669.23</v>
      </c>
      <c r="K642">
        <v>501922.5</v>
      </c>
      <c r="L642">
        <v>16346.04</v>
      </c>
      <c r="M642">
        <v>1875.2</v>
      </c>
      <c r="N642">
        <v>2096.89</v>
      </c>
      <c r="O642">
        <v>522240.63</v>
      </c>
      <c r="P642">
        <v>143345.75</v>
      </c>
      <c r="Q642">
        <v>123027.62</v>
      </c>
      <c r="R642" t="s">
        <v>85</v>
      </c>
      <c r="S642">
        <v>370323.75</v>
      </c>
      <c r="T642">
        <v>274944.5</v>
      </c>
      <c r="U642" t="s">
        <v>66</v>
      </c>
      <c r="V642" t="s">
        <v>6</v>
      </c>
      <c r="W642" t="s">
        <v>92</v>
      </c>
      <c r="X642" t="s">
        <v>167</v>
      </c>
      <c r="Y642" t="s">
        <v>31</v>
      </c>
      <c r="Z642">
        <v>2.23</v>
      </c>
      <c r="AA642">
        <f t="shared" ref="AA642:AA705" si="30">ROUND(H642-O642,2)</f>
        <v>123027.62</v>
      </c>
      <c r="AB642">
        <f t="shared" ref="AB642:AB705" si="31">AA642/H642</f>
        <v>0.19066120175601386</v>
      </c>
      <c r="AC642">
        <f t="shared" ref="AC642:AC705" si="32">ROUND(AA642-Q642,2)</f>
        <v>0</v>
      </c>
      <c r="AD642">
        <v>2024</v>
      </c>
      <c r="AE642">
        <v>10</v>
      </c>
      <c r="AF642" t="s">
        <v>138</v>
      </c>
      <c r="AG642" t="s">
        <v>139</v>
      </c>
    </row>
    <row r="643" spans="1:33">
      <c r="A643" t="s">
        <v>794</v>
      </c>
      <c r="B643">
        <v>45454</v>
      </c>
      <c r="C643">
        <v>45455</v>
      </c>
      <c r="D643" t="s">
        <v>21</v>
      </c>
      <c r="E643">
        <v>100</v>
      </c>
      <c r="F643">
        <v>845.5</v>
      </c>
      <c r="G643">
        <v>1</v>
      </c>
      <c r="H643">
        <v>83704.5</v>
      </c>
      <c r="I643" t="s">
        <v>1727</v>
      </c>
      <c r="J643">
        <v>682.3</v>
      </c>
      <c r="K643">
        <v>68230</v>
      </c>
      <c r="L643">
        <v>1384.47</v>
      </c>
      <c r="M643">
        <v>368.28</v>
      </c>
      <c r="N643">
        <v>7847.06</v>
      </c>
      <c r="O643">
        <v>77829.81</v>
      </c>
      <c r="P643">
        <v>15474.5</v>
      </c>
      <c r="Q643">
        <v>5874.69</v>
      </c>
      <c r="R643" t="s">
        <v>65</v>
      </c>
      <c r="S643">
        <v>83704.5</v>
      </c>
      <c r="T643">
        <v>0</v>
      </c>
      <c r="U643" t="s">
        <v>66</v>
      </c>
      <c r="V643" t="s">
        <v>10</v>
      </c>
      <c r="W643" t="s">
        <v>74</v>
      </c>
      <c r="X643" t="s">
        <v>159</v>
      </c>
      <c r="Y643" t="s">
        <v>30</v>
      </c>
      <c r="Z643">
        <v>2.46</v>
      </c>
      <c r="AA643">
        <f t="shared" si="30"/>
        <v>5874.69</v>
      </c>
      <c r="AB643">
        <f t="shared" si="31"/>
        <v>7.018368188090246E-2</v>
      </c>
      <c r="AC643">
        <f t="shared" si="32"/>
        <v>0</v>
      </c>
      <c r="AD643">
        <v>2024</v>
      </c>
      <c r="AE643">
        <v>6</v>
      </c>
      <c r="AF643" t="s">
        <v>111</v>
      </c>
      <c r="AG643" t="s">
        <v>148</v>
      </c>
    </row>
    <row r="644" spans="1:33">
      <c r="A644" t="s">
        <v>795</v>
      </c>
      <c r="B644">
        <v>45954</v>
      </c>
      <c r="C644">
        <v>45967</v>
      </c>
      <c r="D644" t="s">
        <v>25</v>
      </c>
      <c r="E644">
        <v>250</v>
      </c>
      <c r="F644">
        <v>986.27</v>
      </c>
      <c r="G644">
        <v>0.89</v>
      </c>
      <c r="H644">
        <v>244373.05</v>
      </c>
      <c r="I644" t="s">
        <v>1727</v>
      </c>
      <c r="J644">
        <v>719.66</v>
      </c>
      <c r="K644">
        <v>179915</v>
      </c>
      <c r="L644">
        <v>2779.59</v>
      </c>
      <c r="M644">
        <v>1128.25</v>
      </c>
      <c r="N644">
        <v>2580.5</v>
      </c>
      <c r="O644">
        <v>186403.34</v>
      </c>
      <c r="P644">
        <v>64458.05</v>
      </c>
      <c r="Q644">
        <v>57969.71</v>
      </c>
      <c r="R644" t="s">
        <v>65</v>
      </c>
      <c r="S644">
        <v>244373.05</v>
      </c>
      <c r="T644">
        <v>0</v>
      </c>
      <c r="U644" t="s">
        <v>73</v>
      </c>
      <c r="V644" t="s">
        <v>12</v>
      </c>
      <c r="W644" t="s">
        <v>80</v>
      </c>
      <c r="X644" t="s">
        <v>159</v>
      </c>
      <c r="Y644" t="s">
        <v>30</v>
      </c>
      <c r="Z644">
        <v>1.92</v>
      </c>
      <c r="AA644">
        <f t="shared" si="30"/>
        <v>57969.71</v>
      </c>
      <c r="AB644">
        <f t="shared" si="31"/>
        <v>0.23721809749479331</v>
      </c>
      <c r="AC644">
        <f t="shared" si="32"/>
        <v>0</v>
      </c>
      <c r="AD644">
        <v>2025</v>
      </c>
      <c r="AE644">
        <v>10</v>
      </c>
      <c r="AF644" t="s">
        <v>138</v>
      </c>
      <c r="AG644" t="s">
        <v>160</v>
      </c>
    </row>
    <row r="645" spans="1:33">
      <c r="A645" t="s">
        <v>796</v>
      </c>
      <c r="B645">
        <v>45993</v>
      </c>
      <c r="D645" t="s">
        <v>27</v>
      </c>
      <c r="E645">
        <v>500</v>
      </c>
      <c r="F645">
        <v>792.27</v>
      </c>
      <c r="G645">
        <v>4.8099999999999996</v>
      </c>
      <c r="H645">
        <v>377080.91</v>
      </c>
      <c r="I645" t="s">
        <v>1726</v>
      </c>
      <c r="J645">
        <v>586.08000000000004</v>
      </c>
      <c r="K645">
        <v>293040</v>
      </c>
      <c r="L645">
        <v>11110.99</v>
      </c>
      <c r="M645">
        <v>2970.93</v>
      </c>
      <c r="N645">
        <v>4580.6899999999996</v>
      </c>
      <c r="O645">
        <v>311702.61</v>
      </c>
      <c r="P645">
        <v>84040.91</v>
      </c>
      <c r="Q645">
        <v>65378.3</v>
      </c>
      <c r="R645" t="s">
        <v>85</v>
      </c>
      <c r="S645">
        <v>246793.55</v>
      </c>
      <c r="T645">
        <v>130287.36</v>
      </c>
      <c r="U645" t="s">
        <v>91</v>
      </c>
      <c r="V645" t="s">
        <v>8</v>
      </c>
      <c r="W645" t="s">
        <v>74</v>
      </c>
      <c r="X645" t="s">
        <v>108</v>
      </c>
      <c r="Y645" t="s">
        <v>22</v>
      </c>
      <c r="Z645">
        <v>0.06</v>
      </c>
      <c r="AA645">
        <f t="shared" si="30"/>
        <v>65378.3</v>
      </c>
      <c r="AB645">
        <f t="shared" si="31"/>
        <v>0.17338003135719601</v>
      </c>
      <c r="AC645">
        <f t="shared" si="32"/>
        <v>0</v>
      </c>
      <c r="AD645">
        <v>2025</v>
      </c>
      <c r="AE645">
        <v>12</v>
      </c>
      <c r="AF645" t="s">
        <v>98</v>
      </c>
      <c r="AG645" t="s">
        <v>168</v>
      </c>
    </row>
    <row r="646" spans="1:33">
      <c r="A646" t="s">
        <v>797</v>
      </c>
      <c r="B646">
        <v>45296</v>
      </c>
      <c r="C646">
        <v>45310</v>
      </c>
      <c r="D646" t="s">
        <v>21</v>
      </c>
      <c r="E646">
        <v>250</v>
      </c>
      <c r="F646">
        <v>886.19</v>
      </c>
      <c r="G646">
        <v>1.56</v>
      </c>
      <c r="H646">
        <v>218091.36</v>
      </c>
      <c r="I646" t="s">
        <v>1726</v>
      </c>
      <c r="J646">
        <v>713.13</v>
      </c>
      <c r="K646">
        <v>178282.5</v>
      </c>
      <c r="L646">
        <v>4828.5</v>
      </c>
      <c r="M646">
        <v>600.36</v>
      </c>
      <c r="N646">
        <v>10306.4</v>
      </c>
      <c r="O646">
        <v>194017.76</v>
      </c>
      <c r="P646">
        <v>39808.86</v>
      </c>
      <c r="Q646">
        <v>24073.599999999999</v>
      </c>
      <c r="R646" t="s">
        <v>85</v>
      </c>
      <c r="S646">
        <v>145276.82999999999</v>
      </c>
      <c r="T646">
        <v>72814.53</v>
      </c>
      <c r="U646" t="s">
        <v>73</v>
      </c>
      <c r="V646" t="s">
        <v>16</v>
      </c>
      <c r="W646" t="s">
        <v>80</v>
      </c>
      <c r="X646" t="s">
        <v>285</v>
      </c>
      <c r="Y646" t="s">
        <v>28</v>
      </c>
      <c r="Z646">
        <v>1.46</v>
      </c>
      <c r="AA646">
        <f t="shared" si="30"/>
        <v>24073.599999999999</v>
      </c>
      <c r="AB646">
        <f t="shared" si="31"/>
        <v>0.11038309816583289</v>
      </c>
      <c r="AC646">
        <f t="shared" si="32"/>
        <v>0</v>
      </c>
      <c r="AD646">
        <v>2024</v>
      </c>
      <c r="AE646">
        <v>1</v>
      </c>
      <c r="AF646" t="s">
        <v>102</v>
      </c>
      <c r="AG646" t="s">
        <v>103</v>
      </c>
    </row>
    <row r="647" spans="1:33">
      <c r="A647" t="s">
        <v>798</v>
      </c>
      <c r="B647">
        <v>45703</v>
      </c>
      <c r="C647">
        <v>45704</v>
      </c>
      <c r="D647" t="s">
        <v>21</v>
      </c>
      <c r="E647">
        <v>150</v>
      </c>
      <c r="F647">
        <v>835.39</v>
      </c>
      <c r="G647">
        <v>0.46</v>
      </c>
      <c r="H647">
        <v>124732.08</v>
      </c>
      <c r="I647" t="s">
        <v>1726</v>
      </c>
      <c r="J647">
        <v>740.01</v>
      </c>
      <c r="K647">
        <v>111001.5</v>
      </c>
      <c r="L647">
        <v>1326.88</v>
      </c>
      <c r="M647">
        <v>497.31</v>
      </c>
      <c r="N647">
        <v>3103.58</v>
      </c>
      <c r="O647">
        <v>115929.27</v>
      </c>
      <c r="P647">
        <v>13730.58</v>
      </c>
      <c r="Q647">
        <v>8802.81</v>
      </c>
      <c r="R647" t="s">
        <v>65</v>
      </c>
      <c r="S647">
        <v>124732.08</v>
      </c>
      <c r="T647">
        <v>0</v>
      </c>
      <c r="U647" t="s">
        <v>73</v>
      </c>
      <c r="V647" t="s">
        <v>8</v>
      </c>
      <c r="W647" t="s">
        <v>80</v>
      </c>
      <c r="X647" t="s">
        <v>127</v>
      </c>
      <c r="Y647" t="s">
        <v>22</v>
      </c>
      <c r="Z647">
        <v>0.79</v>
      </c>
      <c r="AA647">
        <f t="shared" si="30"/>
        <v>8802.81</v>
      </c>
      <c r="AB647">
        <f t="shared" si="31"/>
        <v>7.0573744941958796E-2</v>
      </c>
      <c r="AC647">
        <f t="shared" si="32"/>
        <v>0</v>
      </c>
      <c r="AD647">
        <v>2025</v>
      </c>
      <c r="AE647">
        <v>2</v>
      </c>
      <c r="AF647" t="s">
        <v>172</v>
      </c>
      <c r="AG647" t="s">
        <v>244</v>
      </c>
    </row>
    <row r="648" spans="1:33">
      <c r="A648" t="s">
        <v>799</v>
      </c>
      <c r="B648">
        <v>45503</v>
      </c>
      <c r="C648">
        <v>45511</v>
      </c>
      <c r="D648" t="s">
        <v>27</v>
      </c>
      <c r="E648">
        <v>250</v>
      </c>
      <c r="F648">
        <v>754.68</v>
      </c>
      <c r="G648">
        <v>0.3</v>
      </c>
      <c r="H648">
        <v>188103.99</v>
      </c>
      <c r="I648" t="s">
        <v>1729</v>
      </c>
      <c r="J648">
        <v>537.80999999999995</v>
      </c>
      <c r="K648">
        <v>134452.5</v>
      </c>
      <c r="L648">
        <v>1555.33</v>
      </c>
      <c r="M648">
        <v>531.23</v>
      </c>
      <c r="N648">
        <v>10059.06</v>
      </c>
      <c r="O648">
        <v>146598.12</v>
      </c>
      <c r="P648">
        <v>53651.49</v>
      </c>
      <c r="Q648">
        <v>41505.870000000003</v>
      </c>
      <c r="R648" t="s">
        <v>85</v>
      </c>
      <c r="S648">
        <v>146648.19</v>
      </c>
      <c r="T648">
        <v>41455.800000000003</v>
      </c>
      <c r="U648" t="s">
        <v>73</v>
      </c>
      <c r="V648" t="s">
        <v>10</v>
      </c>
      <c r="W648" t="s">
        <v>74</v>
      </c>
      <c r="X648" t="s">
        <v>75</v>
      </c>
      <c r="Y648" t="s">
        <v>28</v>
      </c>
      <c r="Z648">
        <v>1.42</v>
      </c>
      <c r="AA648">
        <f t="shared" si="30"/>
        <v>41505.870000000003</v>
      </c>
      <c r="AB648">
        <f t="shared" si="31"/>
        <v>0.2206538521591169</v>
      </c>
      <c r="AC648">
        <f t="shared" si="32"/>
        <v>0</v>
      </c>
      <c r="AD648">
        <v>2024</v>
      </c>
      <c r="AE648">
        <v>7</v>
      </c>
      <c r="AF648" t="s">
        <v>69</v>
      </c>
      <c r="AG648" t="s">
        <v>70</v>
      </c>
    </row>
    <row r="649" spans="1:33">
      <c r="A649" t="s">
        <v>800</v>
      </c>
      <c r="B649">
        <v>45762</v>
      </c>
      <c r="C649">
        <v>45771</v>
      </c>
      <c r="D649" t="s">
        <v>21</v>
      </c>
      <c r="E649">
        <v>500</v>
      </c>
      <c r="F649">
        <v>916.43</v>
      </c>
      <c r="G649">
        <v>4.74</v>
      </c>
      <c r="H649">
        <v>436495.61</v>
      </c>
      <c r="I649" t="s">
        <v>1729</v>
      </c>
      <c r="J649">
        <v>698.84</v>
      </c>
      <c r="K649">
        <v>349420</v>
      </c>
      <c r="L649">
        <v>4290.2700000000004</v>
      </c>
      <c r="M649">
        <v>2144.92</v>
      </c>
      <c r="N649">
        <v>4117.22</v>
      </c>
      <c r="O649">
        <v>359972.41</v>
      </c>
      <c r="P649">
        <v>87075.61</v>
      </c>
      <c r="Q649">
        <v>76523.199999999997</v>
      </c>
      <c r="R649" t="s">
        <v>65</v>
      </c>
      <c r="S649">
        <v>436495.61</v>
      </c>
      <c r="T649">
        <v>0</v>
      </c>
      <c r="U649" t="s">
        <v>66</v>
      </c>
      <c r="V649" t="s">
        <v>10</v>
      </c>
      <c r="W649" t="s">
        <v>92</v>
      </c>
      <c r="X649" t="s">
        <v>239</v>
      </c>
      <c r="Y649" t="s">
        <v>28</v>
      </c>
      <c r="Z649">
        <v>1.23</v>
      </c>
      <c r="AA649">
        <f t="shared" si="30"/>
        <v>76523.199999999997</v>
      </c>
      <c r="AB649">
        <f t="shared" si="31"/>
        <v>0.17531264518330436</v>
      </c>
      <c r="AC649">
        <f t="shared" si="32"/>
        <v>0</v>
      </c>
      <c r="AD649">
        <v>2025</v>
      </c>
      <c r="AE649">
        <v>4</v>
      </c>
      <c r="AF649" t="s">
        <v>154</v>
      </c>
      <c r="AG649" t="s">
        <v>155</v>
      </c>
    </row>
    <row r="650" spans="1:33">
      <c r="A650" t="s">
        <v>801</v>
      </c>
      <c r="B650">
        <v>45985</v>
      </c>
      <c r="C650">
        <v>45988</v>
      </c>
      <c r="D650" t="s">
        <v>21</v>
      </c>
      <c r="E650">
        <v>200</v>
      </c>
      <c r="F650">
        <v>865.88</v>
      </c>
      <c r="G650">
        <v>1.25</v>
      </c>
      <c r="H650">
        <v>171011.3</v>
      </c>
      <c r="I650" t="s">
        <v>1728</v>
      </c>
      <c r="J650">
        <v>708.29</v>
      </c>
      <c r="K650">
        <v>141658</v>
      </c>
      <c r="L650">
        <v>4164.88</v>
      </c>
      <c r="M650">
        <v>700.56</v>
      </c>
      <c r="N650">
        <v>4342.6499999999996</v>
      </c>
      <c r="O650">
        <v>150866.09</v>
      </c>
      <c r="P650">
        <v>29353.3</v>
      </c>
      <c r="Q650">
        <v>20145.21</v>
      </c>
      <c r="R650" t="s">
        <v>65</v>
      </c>
      <c r="S650">
        <v>171011.3</v>
      </c>
      <c r="T650">
        <v>0</v>
      </c>
      <c r="U650" t="s">
        <v>73</v>
      </c>
      <c r="V650" t="s">
        <v>12</v>
      </c>
      <c r="W650" t="s">
        <v>141</v>
      </c>
      <c r="X650" t="s">
        <v>176</v>
      </c>
      <c r="Y650" t="s">
        <v>22</v>
      </c>
      <c r="Z650">
        <v>0.51</v>
      </c>
      <c r="AA650">
        <f t="shared" si="30"/>
        <v>20145.21</v>
      </c>
      <c r="AB650">
        <f t="shared" si="31"/>
        <v>0.11780046113911771</v>
      </c>
      <c r="AC650">
        <f t="shared" si="32"/>
        <v>0</v>
      </c>
      <c r="AD650">
        <v>2025</v>
      </c>
      <c r="AE650">
        <v>11</v>
      </c>
      <c r="AF650" t="s">
        <v>128</v>
      </c>
      <c r="AG650" t="s">
        <v>135</v>
      </c>
    </row>
    <row r="651" spans="1:33">
      <c r="A651" t="s">
        <v>802</v>
      </c>
      <c r="B651">
        <v>45994</v>
      </c>
      <c r="C651">
        <v>45999</v>
      </c>
      <c r="D651" t="s">
        <v>21</v>
      </c>
      <c r="E651">
        <v>200</v>
      </c>
      <c r="F651">
        <v>871.64</v>
      </c>
      <c r="G651">
        <v>0.89</v>
      </c>
      <c r="H651">
        <v>172776.48</v>
      </c>
      <c r="I651" t="s">
        <v>1727</v>
      </c>
      <c r="J651">
        <v>674.49</v>
      </c>
      <c r="K651">
        <v>134898</v>
      </c>
      <c r="L651">
        <v>1763.2</v>
      </c>
      <c r="M651">
        <v>373.34</v>
      </c>
      <c r="N651">
        <v>10684.26</v>
      </c>
      <c r="O651">
        <v>147718.79999999999</v>
      </c>
      <c r="P651">
        <v>37878.480000000003</v>
      </c>
      <c r="Q651">
        <v>25057.68</v>
      </c>
      <c r="R651" t="s">
        <v>85</v>
      </c>
      <c r="S651">
        <v>128957.6</v>
      </c>
      <c r="T651">
        <v>43818.879999999997</v>
      </c>
      <c r="U651" t="s">
        <v>66</v>
      </c>
      <c r="V651" t="s">
        <v>12</v>
      </c>
      <c r="W651" t="s">
        <v>67</v>
      </c>
      <c r="X651" t="s">
        <v>167</v>
      </c>
      <c r="Y651" t="s">
        <v>31</v>
      </c>
      <c r="Z651">
        <v>0.96</v>
      </c>
      <c r="AA651">
        <f t="shared" si="30"/>
        <v>25057.68</v>
      </c>
      <c r="AB651">
        <f t="shared" si="31"/>
        <v>0.14502946234348563</v>
      </c>
      <c r="AC651">
        <f t="shared" si="32"/>
        <v>0</v>
      </c>
      <c r="AD651">
        <v>2025</v>
      </c>
      <c r="AE651">
        <v>12</v>
      </c>
      <c r="AF651" t="s">
        <v>98</v>
      </c>
      <c r="AG651" t="s">
        <v>168</v>
      </c>
    </row>
    <row r="652" spans="1:33">
      <c r="A652" t="s">
        <v>803</v>
      </c>
      <c r="B652">
        <v>45825</v>
      </c>
      <c r="C652">
        <v>45832</v>
      </c>
      <c r="D652" t="s">
        <v>21</v>
      </c>
      <c r="E652">
        <v>500</v>
      </c>
      <c r="F652">
        <v>816.44</v>
      </c>
      <c r="G652">
        <v>0.08</v>
      </c>
      <c r="H652">
        <v>407893.42</v>
      </c>
      <c r="I652" t="s">
        <v>1727</v>
      </c>
      <c r="J652">
        <v>665.18</v>
      </c>
      <c r="K652">
        <v>332590</v>
      </c>
      <c r="L652">
        <v>5036.07</v>
      </c>
      <c r="M652">
        <v>2437.66</v>
      </c>
      <c r="N652">
        <v>138.22</v>
      </c>
      <c r="O652">
        <v>340201.95</v>
      </c>
      <c r="P652">
        <v>75303.42</v>
      </c>
      <c r="Q652">
        <v>67691.47</v>
      </c>
      <c r="R652" t="s">
        <v>65</v>
      </c>
      <c r="S652">
        <v>407893.42</v>
      </c>
      <c r="T652">
        <v>0</v>
      </c>
      <c r="U652" t="s">
        <v>66</v>
      </c>
      <c r="V652" t="s">
        <v>10</v>
      </c>
      <c r="W652" t="s">
        <v>67</v>
      </c>
      <c r="X652" t="s">
        <v>375</v>
      </c>
      <c r="Y652" t="s">
        <v>30</v>
      </c>
      <c r="Z652">
        <v>2.27</v>
      </c>
      <c r="AA652">
        <f t="shared" si="30"/>
        <v>67691.47</v>
      </c>
      <c r="AB652">
        <f t="shared" si="31"/>
        <v>0.16595381705348422</v>
      </c>
      <c r="AC652">
        <f t="shared" si="32"/>
        <v>0</v>
      </c>
      <c r="AD652">
        <v>2025</v>
      </c>
      <c r="AE652">
        <v>6</v>
      </c>
      <c r="AF652" t="s">
        <v>111</v>
      </c>
      <c r="AG652" t="s">
        <v>112</v>
      </c>
    </row>
    <row r="653" spans="1:33">
      <c r="A653" t="s">
        <v>804</v>
      </c>
      <c r="B653">
        <v>45753</v>
      </c>
      <c r="C653">
        <v>45767</v>
      </c>
      <c r="D653" t="s">
        <v>27</v>
      </c>
      <c r="E653">
        <v>100</v>
      </c>
      <c r="F653">
        <v>779.04</v>
      </c>
      <c r="G653">
        <v>0.32</v>
      </c>
      <c r="H653">
        <v>77654.710000000006</v>
      </c>
      <c r="I653" t="s">
        <v>1726</v>
      </c>
      <c r="J653">
        <v>599.87</v>
      </c>
      <c r="K653">
        <v>59987</v>
      </c>
      <c r="L653">
        <v>1481.58</v>
      </c>
      <c r="M653">
        <v>439.17</v>
      </c>
      <c r="N653">
        <v>1254.22</v>
      </c>
      <c r="O653">
        <v>63161.97</v>
      </c>
      <c r="P653">
        <v>17667.71</v>
      </c>
      <c r="Q653">
        <v>14492.74</v>
      </c>
      <c r="R653" t="s">
        <v>65</v>
      </c>
      <c r="S653">
        <v>77654.710000000006</v>
      </c>
      <c r="T653">
        <v>0</v>
      </c>
      <c r="U653" t="s">
        <v>66</v>
      </c>
      <c r="V653" t="s">
        <v>6</v>
      </c>
      <c r="W653" t="s">
        <v>80</v>
      </c>
      <c r="X653" t="s">
        <v>86</v>
      </c>
      <c r="Y653" t="s">
        <v>30</v>
      </c>
      <c r="Z653">
        <v>1.63</v>
      </c>
      <c r="AA653">
        <f t="shared" si="30"/>
        <v>14492.74</v>
      </c>
      <c r="AB653">
        <f t="shared" si="31"/>
        <v>0.18663053406548036</v>
      </c>
      <c r="AC653">
        <f t="shared" si="32"/>
        <v>0</v>
      </c>
      <c r="AD653">
        <v>2025</v>
      </c>
      <c r="AE653">
        <v>4</v>
      </c>
      <c r="AF653" t="s">
        <v>154</v>
      </c>
      <c r="AG653" t="s">
        <v>155</v>
      </c>
    </row>
    <row r="654" spans="1:33">
      <c r="A654" t="s">
        <v>805</v>
      </c>
      <c r="B654">
        <v>45623</v>
      </c>
      <c r="D654" t="s">
        <v>21</v>
      </c>
      <c r="E654">
        <v>200</v>
      </c>
      <c r="F654">
        <v>907.67</v>
      </c>
      <c r="G654">
        <v>0.36</v>
      </c>
      <c r="H654">
        <v>180880.48</v>
      </c>
      <c r="I654" t="s">
        <v>1727</v>
      </c>
      <c r="J654">
        <v>687.84</v>
      </c>
      <c r="K654">
        <v>137568</v>
      </c>
      <c r="L654">
        <v>4135.4399999999996</v>
      </c>
      <c r="M654">
        <v>396.45</v>
      </c>
      <c r="N654">
        <v>3475.43</v>
      </c>
      <c r="O654">
        <v>145575.32</v>
      </c>
      <c r="P654">
        <v>43312.480000000003</v>
      </c>
      <c r="Q654">
        <v>35305.160000000003</v>
      </c>
      <c r="R654" t="s">
        <v>65</v>
      </c>
      <c r="S654">
        <v>180880.48</v>
      </c>
      <c r="T654">
        <v>0</v>
      </c>
      <c r="U654" t="s">
        <v>91</v>
      </c>
      <c r="V654" t="s">
        <v>8</v>
      </c>
      <c r="W654" t="s">
        <v>67</v>
      </c>
      <c r="X654" t="s">
        <v>93</v>
      </c>
      <c r="Y654" t="s">
        <v>26</v>
      </c>
      <c r="Z654">
        <v>1.1100000000000001</v>
      </c>
      <c r="AA654">
        <f t="shared" si="30"/>
        <v>35305.160000000003</v>
      </c>
      <c r="AB654">
        <f t="shared" si="31"/>
        <v>0.19518501941171321</v>
      </c>
      <c r="AC654">
        <f t="shared" si="32"/>
        <v>0</v>
      </c>
      <c r="AD654">
        <v>2024</v>
      </c>
      <c r="AE654">
        <v>11</v>
      </c>
      <c r="AF654" t="s">
        <v>128</v>
      </c>
      <c r="AG654" t="s">
        <v>129</v>
      </c>
    </row>
    <row r="655" spans="1:33">
      <c r="A655" t="s">
        <v>806</v>
      </c>
      <c r="B655">
        <v>45542</v>
      </c>
      <c r="D655" t="s">
        <v>29</v>
      </c>
      <c r="E655">
        <v>300</v>
      </c>
      <c r="F655">
        <v>2858.75</v>
      </c>
      <c r="G655">
        <v>0.73</v>
      </c>
      <c r="H655">
        <v>851364.34</v>
      </c>
      <c r="I655" t="s">
        <v>1727</v>
      </c>
      <c r="J655">
        <v>2412.29</v>
      </c>
      <c r="K655">
        <v>723687</v>
      </c>
      <c r="L655">
        <v>6100.3</v>
      </c>
      <c r="M655">
        <v>519.17999999999995</v>
      </c>
      <c r="N655">
        <v>3501.82</v>
      </c>
      <c r="O655">
        <v>733808.3</v>
      </c>
      <c r="P655">
        <v>127677.34</v>
      </c>
      <c r="Q655">
        <v>117556.04</v>
      </c>
      <c r="R655" t="s">
        <v>85</v>
      </c>
      <c r="S655">
        <v>658086.91</v>
      </c>
      <c r="T655">
        <v>193277.43</v>
      </c>
      <c r="U655" t="s">
        <v>91</v>
      </c>
      <c r="V655" t="s">
        <v>10</v>
      </c>
      <c r="W655" t="s">
        <v>141</v>
      </c>
      <c r="X655" t="s">
        <v>97</v>
      </c>
      <c r="Y655" t="s">
        <v>24</v>
      </c>
      <c r="Z655">
        <v>1.04</v>
      </c>
      <c r="AA655">
        <f t="shared" si="30"/>
        <v>117556.04</v>
      </c>
      <c r="AB655">
        <f t="shared" si="31"/>
        <v>0.13807959116539928</v>
      </c>
      <c r="AC655">
        <f t="shared" si="32"/>
        <v>0</v>
      </c>
      <c r="AD655">
        <v>2024</v>
      </c>
      <c r="AE655">
        <v>9</v>
      </c>
      <c r="AF655" t="s">
        <v>131</v>
      </c>
      <c r="AG655" t="s">
        <v>188</v>
      </c>
    </row>
    <row r="656" spans="1:33">
      <c r="A656" t="s">
        <v>807</v>
      </c>
      <c r="B656">
        <v>45753</v>
      </c>
      <c r="C656">
        <v>45758</v>
      </c>
      <c r="D656" t="s">
        <v>23</v>
      </c>
      <c r="E656">
        <v>300</v>
      </c>
      <c r="F656">
        <v>1315.43</v>
      </c>
      <c r="G656">
        <v>0.2</v>
      </c>
      <c r="H656">
        <v>393839.74</v>
      </c>
      <c r="I656" t="s">
        <v>1726</v>
      </c>
      <c r="J656">
        <v>1012.39</v>
      </c>
      <c r="K656">
        <v>303717</v>
      </c>
      <c r="L656">
        <v>1585.64</v>
      </c>
      <c r="M656">
        <v>1784.39</v>
      </c>
      <c r="N656">
        <v>11634.46</v>
      </c>
      <c r="O656">
        <v>318721.49</v>
      </c>
      <c r="P656">
        <v>90122.74</v>
      </c>
      <c r="Q656">
        <v>75118.25</v>
      </c>
      <c r="R656" t="s">
        <v>85</v>
      </c>
      <c r="S656">
        <v>323709.31</v>
      </c>
      <c r="T656">
        <v>70130.429999999993</v>
      </c>
      <c r="U656" t="s">
        <v>66</v>
      </c>
      <c r="V656" t="s">
        <v>14</v>
      </c>
      <c r="W656" t="s">
        <v>74</v>
      </c>
      <c r="X656" t="s">
        <v>86</v>
      </c>
      <c r="Y656" t="s">
        <v>30</v>
      </c>
      <c r="Z656">
        <v>0.2</v>
      </c>
      <c r="AA656">
        <f t="shared" si="30"/>
        <v>75118.25</v>
      </c>
      <c r="AB656">
        <f t="shared" si="31"/>
        <v>0.19073303775794692</v>
      </c>
      <c r="AC656">
        <f t="shared" si="32"/>
        <v>0</v>
      </c>
      <c r="AD656">
        <v>2025</v>
      </c>
      <c r="AE656">
        <v>4</v>
      </c>
      <c r="AF656" t="s">
        <v>154</v>
      </c>
      <c r="AG656" t="s">
        <v>155</v>
      </c>
    </row>
    <row r="657" spans="1:33">
      <c r="A657" t="s">
        <v>808</v>
      </c>
      <c r="B657">
        <v>45699</v>
      </c>
      <c r="C657">
        <v>45703</v>
      </c>
      <c r="D657" t="s">
        <v>21</v>
      </c>
      <c r="E657">
        <v>1200</v>
      </c>
      <c r="F657">
        <v>814.68</v>
      </c>
      <c r="G657">
        <v>4.42</v>
      </c>
      <c r="H657">
        <v>934405.37</v>
      </c>
      <c r="I657" t="s">
        <v>1727</v>
      </c>
      <c r="J657">
        <v>683.32</v>
      </c>
      <c r="K657">
        <v>819984</v>
      </c>
      <c r="L657">
        <v>16296.66</v>
      </c>
      <c r="M657">
        <v>3899.63</v>
      </c>
      <c r="N657">
        <v>4211.16</v>
      </c>
      <c r="O657">
        <v>844391.45</v>
      </c>
      <c r="P657">
        <v>114421.37</v>
      </c>
      <c r="Q657">
        <v>90013.92</v>
      </c>
      <c r="R657" t="s">
        <v>65</v>
      </c>
      <c r="S657">
        <v>934405.37</v>
      </c>
      <c r="T657">
        <v>0</v>
      </c>
      <c r="U657" t="s">
        <v>66</v>
      </c>
      <c r="V657" t="s">
        <v>10</v>
      </c>
      <c r="W657" t="s">
        <v>80</v>
      </c>
      <c r="X657" t="s">
        <v>285</v>
      </c>
      <c r="Y657" t="s">
        <v>28</v>
      </c>
      <c r="Z657">
        <v>1.8</v>
      </c>
      <c r="AA657">
        <f t="shared" si="30"/>
        <v>90013.92</v>
      </c>
      <c r="AB657">
        <f t="shared" si="31"/>
        <v>9.6332836785815987E-2</v>
      </c>
      <c r="AC657">
        <f t="shared" si="32"/>
        <v>0</v>
      </c>
      <c r="AD657">
        <v>2025</v>
      </c>
      <c r="AE657">
        <v>2</v>
      </c>
      <c r="AF657" t="s">
        <v>172</v>
      </c>
      <c r="AG657" t="s">
        <v>244</v>
      </c>
    </row>
    <row r="658" spans="1:33">
      <c r="A658" t="s">
        <v>809</v>
      </c>
      <c r="B658">
        <v>45589</v>
      </c>
      <c r="C658">
        <v>45602</v>
      </c>
      <c r="D658" t="s">
        <v>27</v>
      </c>
      <c r="E658">
        <v>500</v>
      </c>
      <c r="F658">
        <v>714.3</v>
      </c>
      <c r="G658">
        <v>1.58</v>
      </c>
      <c r="H658">
        <v>351507.03</v>
      </c>
      <c r="I658" t="s">
        <v>1727</v>
      </c>
      <c r="J658">
        <v>570.1</v>
      </c>
      <c r="K658">
        <v>285050</v>
      </c>
      <c r="L658">
        <v>4514.9799999999996</v>
      </c>
      <c r="M658">
        <v>1430.86</v>
      </c>
      <c r="N658">
        <v>8968.75</v>
      </c>
      <c r="O658">
        <v>299964.59000000003</v>
      </c>
      <c r="P658">
        <v>66457.03</v>
      </c>
      <c r="Q658">
        <v>51542.44</v>
      </c>
      <c r="R658" t="s">
        <v>85</v>
      </c>
      <c r="S658">
        <v>236002.5</v>
      </c>
      <c r="T658">
        <v>115504.53</v>
      </c>
      <c r="U658" t="s">
        <v>66</v>
      </c>
      <c r="V658" t="s">
        <v>8</v>
      </c>
      <c r="W658" t="s">
        <v>74</v>
      </c>
      <c r="X658" t="s">
        <v>164</v>
      </c>
      <c r="Y658" t="s">
        <v>24</v>
      </c>
      <c r="Z658">
        <v>0.54</v>
      </c>
      <c r="AA658">
        <f t="shared" si="30"/>
        <v>51542.44</v>
      </c>
      <c r="AB658">
        <f t="shared" si="31"/>
        <v>0.14663274302081525</v>
      </c>
      <c r="AC658">
        <f t="shared" si="32"/>
        <v>0</v>
      </c>
      <c r="AD658">
        <v>2024</v>
      </c>
      <c r="AE658">
        <v>10</v>
      </c>
      <c r="AF658" t="s">
        <v>138</v>
      </c>
      <c r="AG658" t="s">
        <v>139</v>
      </c>
    </row>
    <row r="659" spans="1:33">
      <c r="A659" t="s">
        <v>810</v>
      </c>
      <c r="B659">
        <v>45996</v>
      </c>
      <c r="D659" t="s">
        <v>21</v>
      </c>
      <c r="E659">
        <v>100</v>
      </c>
      <c r="F659">
        <v>978.38</v>
      </c>
      <c r="G659">
        <v>1.8</v>
      </c>
      <c r="H659">
        <v>96076.92</v>
      </c>
      <c r="I659" t="s">
        <v>1727</v>
      </c>
      <c r="J659">
        <v>727.47</v>
      </c>
      <c r="K659">
        <v>72747</v>
      </c>
      <c r="L659">
        <v>1039.68</v>
      </c>
      <c r="M659">
        <v>244.85</v>
      </c>
      <c r="N659">
        <v>791.22</v>
      </c>
      <c r="O659">
        <v>74822.75</v>
      </c>
      <c r="P659">
        <v>23329.919999999998</v>
      </c>
      <c r="Q659">
        <v>21254.17</v>
      </c>
      <c r="R659" t="s">
        <v>65</v>
      </c>
      <c r="S659">
        <v>96076.92</v>
      </c>
      <c r="T659">
        <v>0</v>
      </c>
      <c r="U659" t="s">
        <v>91</v>
      </c>
      <c r="V659" t="s">
        <v>6</v>
      </c>
      <c r="W659" t="s">
        <v>74</v>
      </c>
      <c r="X659" t="s">
        <v>205</v>
      </c>
      <c r="Y659" t="s">
        <v>24</v>
      </c>
      <c r="Z659">
        <v>1.45</v>
      </c>
      <c r="AA659">
        <f t="shared" si="30"/>
        <v>21254.17</v>
      </c>
      <c r="AB659">
        <f t="shared" si="31"/>
        <v>0.22122035136013934</v>
      </c>
      <c r="AC659">
        <f t="shared" si="32"/>
        <v>0</v>
      </c>
      <c r="AD659">
        <v>2025</v>
      </c>
      <c r="AE659">
        <v>12</v>
      </c>
      <c r="AF659" t="s">
        <v>98</v>
      </c>
      <c r="AG659" t="s">
        <v>168</v>
      </c>
    </row>
    <row r="660" spans="1:33">
      <c r="A660" t="s">
        <v>811</v>
      </c>
      <c r="B660">
        <v>45492</v>
      </c>
      <c r="D660" t="s">
        <v>25</v>
      </c>
      <c r="E660">
        <v>300</v>
      </c>
      <c r="F660">
        <v>978.54</v>
      </c>
      <c r="G660">
        <v>1.63</v>
      </c>
      <c r="H660">
        <v>288776.94</v>
      </c>
      <c r="I660" t="s">
        <v>1728</v>
      </c>
      <c r="J660">
        <v>783.22</v>
      </c>
      <c r="K660">
        <v>234966</v>
      </c>
      <c r="L660">
        <v>2540.8200000000002</v>
      </c>
      <c r="M660">
        <v>1361.91</v>
      </c>
      <c r="N660">
        <v>11967.4</v>
      </c>
      <c r="O660">
        <v>250836.13</v>
      </c>
      <c r="P660">
        <v>53810.94</v>
      </c>
      <c r="Q660">
        <v>37940.81</v>
      </c>
      <c r="R660" t="s">
        <v>65</v>
      </c>
      <c r="S660">
        <v>288776.94</v>
      </c>
      <c r="T660">
        <v>0</v>
      </c>
      <c r="U660" t="s">
        <v>91</v>
      </c>
      <c r="V660" t="s">
        <v>16</v>
      </c>
      <c r="W660" t="s">
        <v>92</v>
      </c>
      <c r="X660" t="s">
        <v>123</v>
      </c>
      <c r="Y660" t="s">
        <v>22</v>
      </c>
      <c r="Z660">
        <v>0.97</v>
      </c>
      <c r="AA660">
        <f t="shared" si="30"/>
        <v>37940.81</v>
      </c>
      <c r="AB660">
        <f t="shared" si="31"/>
        <v>0.13138448658677523</v>
      </c>
      <c r="AC660">
        <f t="shared" si="32"/>
        <v>0</v>
      </c>
      <c r="AD660">
        <v>2024</v>
      </c>
      <c r="AE660">
        <v>7</v>
      </c>
      <c r="AF660" t="s">
        <v>69</v>
      </c>
      <c r="AG660" t="s">
        <v>70</v>
      </c>
    </row>
    <row r="661" spans="1:33">
      <c r="A661" t="s">
        <v>812</v>
      </c>
      <c r="B661">
        <v>45797</v>
      </c>
      <c r="C661">
        <v>45802</v>
      </c>
      <c r="D661" t="s">
        <v>21</v>
      </c>
      <c r="E661">
        <v>150</v>
      </c>
      <c r="F661">
        <v>921.77</v>
      </c>
      <c r="G661">
        <v>1.25</v>
      </c>
      <c r="H661">
        <v>136537.18</v>
      </c>
      <c r="I661" t="s">
        <v>1726</v>
      </c>
      <c r="J661">
        <v>686.4</v>
      </c>
      <c r="K661">
        <v>102960</v>
      </c>
      <c r="L661">
        <v>1867.19</v>
      </c>
      <c r="M661">
        <v>424.21</v>
      </c>
      <c r="N661">
        <v>9250.25</v>
      </c>
      <c r="O661">
        <v>114501.65</v>
      </c>
      <c r="P661">
        <v>33577.18</v>
      </c>
      <c r="Q661">
        <v>22035.53</v>
      </c>
      <c r="R661" t="s">
        <v>65</v>
      </c>
      <c r="S661">
        <v>136537.18</v>
      </c>
      <c r="T661">
        <v>0</v>
      </c>
      <c r="U661" t="s">
        <v>66</v>
      </c>
      <c r="V661" t="s">
        <v>8</v>
      </c>
      <c r="W661" t="s">
        <v>74</v>
      </c>
      <c r="X661" t="s">
        <v>164</v>
      </c>
      <c r="Y661" t="s">
        <v>24</v>
      </c>
      <c r="Z661">
        <v>2.36</v>
      </c>
      <c r="AA661">
        <f t="shared" si="30"/>
        <v>22035.53</v>
      </c>
      <c r="AB661">
        <f t="shared" si="31"/>
        <v>0.16138849506046632</v>
      </c>
      <c r="AC661">
        <f t="shared" si="32"/>
        <v>0</v>
      </c>
      <c r="AD661">
        <v>2025</v>
      </c>
      <c r="AE661">
        <v>5</v>
      </c>
      <c r="AF661" t="s">
        <v>76</v>
      </c>
      <c r="AG661" t="s">
        <v>94</v>
      </c>
    </row>
    <row r="662" spans="1:33">
      <c r="A662" t="s">
        <v>813</v>
      </c>
      <c r="B662">
        <v>45797</v>
      </c>
      <c r="C662">
        <v>45808</v>
      </c>
      <c r="D662" t="s">
        <v>21</v>
      </c>
      <c r="E662">
        <v>250</v>
      </c>
      <c r="F662">
        <v>898.11</v>
      </c>
      <c r="G662">
        <v>0.09</v>
      </c>
      <c r="H662">
        <v>224325.43</v>
      </c>
      <c r="I662" t="s">
        <v>1727</v>
      </c>
      <c r="J662">
        <v>671.93</v>
      </c>
      <c r="K662">
        <v>167982.5</v>
      </c>
      <c r="L662">
        <v>2509.64</v>
      </c>
      <c r="M662">
        <v>1132.46</v>
      </c>
      <c r="N662">
        <v>7149.69</v>
      </c>
      <c r="O662">
        <v>178774.29</v>
      </c>
      <c r="P662">
        <v>56342.93</v>
      </c>
      <c r="Q662">
        <v>45551.14</v>
      </c>
      <c r="R662" t="s">
        <v>65</v>
      </c>
      <c r="S662">
        <v>224325.43</v>
      </c>
      <c r="T662">
        <v>0</v>
      </c>
      <c r="U662" t="s">
        <v>66</v>
      </c>
      <c r="V662" t="s">
        <v>8</v>
      </c>
      <c r="W662" t="s">
        <v>92</v>
      </c>
      <c r="X662" t="s">
        <v>239</v>
      </c>
      <c r="Y662" t="s">
        <v>28</v>
      </c>
      <c r="Z662">
        <v>2.12</v>
      </c>
      <c r="AA662">
        <f t="shared" si="30"/>
        <v>45551.14</v>
      </c>
      <c r="AB662">
        <f t="shared" si="31"/>
        <v>0.2030582979379556</v>
      </c>
      <c r="AC662">
        <f t="shared" si="32"/>
        <v>0</v>
      </c>
      <c r="AD662">
        <v>2025</v>
      </c>
      <c r="AE662">
        <v>5</v>
      </c>
      <c r="AF662" t="s">
        <v>76</v>
      </c>
      <c r="AG662" t="s">
        <v>94</v>
      </c>
    </row>
    <row r="663" spans="1:33">
      <c r="A663" t="s">
        <v>814</v>
      </c>
      <c r="B663">
        <v>45426</v>
      </c>
      <c r="C663">
        <v>45440</v>
      </c>
      <c r="D663" t="s">
        <v>21</v>
      </c>
      <c r="E663">
        <v>1000</v>
      </c>
      <c r="F663">
        <v>828.46</v>
      </c>
      <c r="G663">
        <v>1.03</v>
      </c>
      <c r="H663">
        <v>819926.86</v>
      </c>
      <c r="I663" t="s">
        <v>1726</v>
      </c>
      <c r="J663">
        <v>662.51</v>
      </c>
      <c r="K663">
        <v>662510</v>
      </c>
      <c r="L663">
        <v>23314.47</v>
      </c>
      <c r="M663">
        <v>3622.75</v>
      </c>
      <c r="N663">
        <v>8068.75</v>
      </c>
      <c r="O663">
        <v>697515.97</v>
      </c>
      <c r="P663">
        <v>157416.85999999999</v>
      </c>
      <c r="Q663">
        <v>122410.89</v>
      </c>
      <c r="R663" t="s">
        <v>65</v>
      </c>
      <c r="S663">
        <v>819926.86</v>
      </c>
      <c r="T663">
        <v>0</v>
      </c>
      <c r="U663" t="s">
        <v>73</v>
      </c>
      <c r="V663" t="s">
        <v>6</v>
      </c>
      <c r="W663" t="s">
        <v>74</v>
      </c>
      <c r="X663" t="s">
        <v>193</v>
      </c>
      <c r="Y663" t="s">
        <v>30</v>
      </c>
      <c r="Z663">
        <v>0.95</v>
      </c>
      <c r="AA663">
        <f t="shared" si="30"/>
        <v>122410.89</v>
      </c>
      <c r="AB663">
        <f t="shared" si="31"/>
        <v>0.14929488954661152</v>
      </c>
      <c r="AC663">
        <f t="shared" si="32"/>
        <v>0</v>
      </c>
      <c r="AD663">
        <v>2024</v>
      </c>
      <c r="AE663">
        <v>5</v>
      </c>
      <c r="AF663" t="s">
        <v>76</v>
      </c>
      <c r="AG663" t="s">
        <v>77</v>
      </c>
    </row>
    <row r="664" spans="1:33">
      <c r="A664" t="s">
        <v>815</v>
      </c>
      <c r="B664">
        <v>45584</v>
      </c>
      <c r="C664">
        <v>45592</v>
      </c>
      <c r="D664" t="s">
        <v>23</v>
      </c>
      <c r="E664">
        <v>250</v>
      </c>
      <c r="F664">
        <v>1338.07</v>
      </c>
      <c r="G664">
        <v>1.49</v>
      </c>
      <c r="H664">
        <v>329533.19</v>
      </c>
      <c r="I664" t="s">
        <v>1729</v>
      </c>
      <c r="J664">
        <v>1106.81</v>
      </c>
      <c r="K664">
        <v>276702.5</v>
      </c>
      <c r="L664">
        <v>5472.05</v>
      </c>
      <c r="M664">
        <v>1195.1500000000001</v>
      </c>
      <c r="N664">
        <v>10566.27</v>
      </c>
      <c r="O664">
        <v>293935.96999999997</v>
      </c>
      <c r="P664">
        <v>52830.69</v>
      </c>
      <c r="Q664">
        <v>35597.22</v>
      </c>
      <c r="R664" t="s">
        <v>65</v>
      </c>
      <c r="S664">
        <v>329533.19</v>
      </c>
      <c r="T664">
        <v>0</v>
      </c>
      <c r="U664" t="s">
        <v>66</v>
      </c>
      <c r="V664" t="s">
        <v>8</v>
      </c>
      <c r="W664" t="s">
        <v>67</v>
      </c>
      <c r="X664" t="s">
        <v>230</v>
      </c>
      <c r="Y664" t="s">
        <v>31</v>
      </c>
      <c r="Z664">
        <v>0.14000000000000001</v>
      </c>
      <c r="AA664">
        <f t="shared" si="30"/>
        <v>35597.22</v>
      </c>
      <c r="AB664">
        <f t="shared" si="31"/>
        <v>0.10802317059474344</v>
      </c>
      <c r="AC664">
        <f t="shared" si="32"/>
        <v>0</v>
      </c>
      <c r="AD664">
        <v>2024</v>
      </c>
      <c r="AE664">
        <v>10</v>
      </c>
      <c r="AF664" t="s">
        <v>138</v>
      </c>
      <c r="AG664" t="s">
        <v>139</v>
      </c>
    </row>
    <row r="665" spans="1:33">
      <c r="A665" t="s">
        <v>816</v>
      </c>
      <c r="B665">
        <v>45784</v>
      </c>
      <c r="C665">
        <v>45785</v>
      </c>
      <c r="D665" t="s">
        <v>25</v>
      </c>
      <c r="E665">
        <v>100</v>
      </c>
      <c r="F665">
        <v>960.32</v>
      </c>
      <c r="G665">
        <v>0.13</v>
      </c>
      <c r="H665">
        <v>95907.16</v>
      </c>
      <c r="I665" t="s">
        <v>1728</v>
      </c>
      <c r="J665">
        <v>766.95</v>
      </c>
      <c r="K665">
        <v>76695</v>
      </c>
      <c r="L665">
        <v>1224.32</v>
      </c>
      <c r="M665">
        <v>175.16</v>
      </c>
      <c r="N665">
        <v>3512.24</v>
      </c>
      <c r="O665">
        <v>81606.720000000001</v>
      </c>
      <c r="P665">
        <v>19212.16</v>
      </c>
      <c r="Q665">
        <v>14300.44</v>
      </c>
      <c r="R665" t="s">
        <v>85</v>
      </c>
      <c r="S665">
        <v>72620.710000000006</v>
      </c>
      <c r="T665">
        <v>23286.45</v>
      </c>
      <c r="U665" t="s">
        <v>66</v>
      </c>
      <c r="V665" t="s">
        <v>10</v>
      </c>
      <c r="W665" t="s">
        <v>67</v>
      </c>
      <c r="X665" t="s">
        <v>115</v>
      </c>
      <c r="Y665" t="s">
        <v>22</v>
      </c>
      <c r="Z665">
        <v>1.73</v>
      </c>
      <c r="AA665">
        <f t="shared" si="30"/>
        <v>14300.44</v>
      </c>
      <c r="AB665">
        <f t="shared" si="31"/>
        <v>0.14910711567311555</v>
      </c>
      <c r="AC665">
        <f t="shared" si="32"/>
        <v>0</v>
      </c>
      <c r="AD665">
        <v>2025</v>
      </c>
      <c r="AE665">
        <v>5</v>
      </c>
      <c r="AF665" t="s">
        <v>76</v>
      </c>
      <c r="AG665" t="s">
        <v>94</v>
      </c>
    </row>
    <row r="666" spans="1:33">
      <c r="A666" t="s">
        <v>817</v>
      </c>
      <c r="B666">
        <v>45737</v>
      </c>
      <c r="C666">
        <v>45740</v>
      </c>
      <c r="D666" t="s">
        <v>23</v>
      </c>
      <c r="E666">
        <v>150</v>
      </c>
      <c r="F666">
        <v>1210.8800000000001</v>
      </c>
      <c r="G666">
        <v>0.08</v>
      </c>
      <c r="H666">
        <v>181486.69</v>
      </c>
      <c r="I666" t="s">
        <v>1726</v>
      </c>
      <c r="J666">
        <v>1083.6099999999999</v>
      </c>
      <c r="K666">
        <v>162541.5</v>
      </c>
      <c r="L666">
        <v>2327.63</v>
      </c>
      <c r="M666">
        <v>561.51</v>
      </c>
      <c r="N666">
        <v>9353.5400000000009</v>
      </c>
      <c r="O666">
        <v>174784.18</v>
      </c>
      <c r="P666">
        <v>18945.189999999999</v>
      </c>
      <c r="Q666">
        <v>6702.51</v>
      </c>
      <c r="R666" t="s">
        <v>65</v>
      </c>
      <c r="S666">
        <v>181486.69</v>
      </c>
      <c r="T666">
        <v>0</v>
      </c>
      <c r="U666" t="s">
        <v>73</v>
      </c>
      <c r="V666" t="s">
        <v>16</v>
      </c>
      <c r="W666" t="s">
        <v>74</v>
      </c>
      <c r="X666" t="s">
        <v>115</v>
      </c>
      <c r="Y666" t="s">
        <v>22</v>
      </c>
      <c r="Z666">
        <v>1.1499999999999999</v>
      </c>
      <c r="AA666">
        <f t="shared" si="30"/>
        <v>6702.51</v>
      </c>
      <c r="AB666">
        <f t="shared" si="31"/>
        <v>3.6931138035522053E-2</v>
      </c>
      <c r="AC666">
        <f t="shared" si="32"/>
        <v>0</v>
      </c>
      <c r="AD666">
        <v>2025</v>
      </c>
      <c r="AE666">
        <v>3</v>
      </c>
      <c r="AF666" t="s">
        <v>105</v>
      </c>
      <c r="AG666" t="s">
        <v>106</v>
      </c>
    </row>
    <row r="667" spans="1:33">
      <c r="A667" t="s">
        <v>818</v>
      </c>
      <c r="B667">
        <v>45844</v>
      </c>
      <c r="C667">
        <v>45852</v>
      </c>
      <c r="D667" t="s">
        <v>27</v>
      </c>
      <c r="E667">
        <v>200</v>
      </c>
      <c r="F667">
        <v>701.44</v>
      </c>
      <c r="G667">
        <v>1.78</v>
      </c>
      <c r="H667">
        <v>137790.87</v>
      </c>
      <c r="I667" t="s">
        <v>1726</v>
      </c>
      <c r="J667">
        <v>536.99</v>
      </c>
      <c r="K667">
        <v>107398</v>
      </c>
      <c r="L667">
        <v>4503.93</v>
      </c>
      <c r="M667">
        <v>482.89</v>
      </c>
      <c r="N667">
        <v>48.36</v>
      </c>
      <c r="O667">
        <v>112433.18</v>
      </c>
      <c r="P667">
        <v>30392.87</v>
      </c>
      <c r="Q667">
        <v>25357.69</v>
      </c>
      <c r="R667" t="s">
        <v>65</v>
      </c>
      <c r="S667">
        <v>137790.87</v>
      </c>
      <c r="T667">
        <v>0</v>
      </c>
      <c r="U667" t="s">
        <v>66</v>
      </c>
      <c r="V667" t="s">
        <v>10</v>
      </c>
      <c r="W667" t="s">
        <v>74</v>
      </c>
      <c r="X667" t="s">
        <v>125</v>
      </c>
      <c r="Y667" t="s">
        <v>24</v>
      </c>
      <c r="Z667">
        <v>0.64</v>
      </c>
      <c r="AA667">
        <f t="shared" si="30"/>
        <v>25357.69</v>
      </c>
      <c r="AB667">
        <f t="shared" si="31"/>
        <v>0.18403026267270103</v>
      </c>
      <c r="AC667">
        <f t="shared" si="32"/>
        <v>0</v>
      </c>
      <c r="AD667">
        <v>2025</v>
      </c>
      <c r="AE667">
        <v>7</v>
      </c>
      <c r="AF667" t="s">
        <v>69</v>
      </c>
      <c r="AG667" t="s">
        <v>151</v>
      </c>
    </row>
    <row r="668" spans="1:33">
      <c r="A668" t="s">
        <v>819</v>
      </c>
      <c r="B668">
        <v>45351</v>
      </c>
      <c r="C668">
        <v>45364</v>
      </c>
      <c r="D668" t="s">
        <v>27</v>
      </c>
      <c r="E668">
        <v>200</v>
      </c>
      <c r="F668">
        <v>681.98</v>
      </c>
      <c r="G668">
        <v>1.92</v>
      </c>
      <c r="H668">
        <v>133777.20000000001</v>
      </c>
      <c r="I668" t="s">
        <v>1727</v>
      </c>
      <c r="J668">
        <v>574.1</v>
      </c>
      <c r="K668">
        <v>114820</v>
      </c>
      <c r="L668">
        <v>4479.78</v>
      </c>
      <c r="M668">
        <v>1105.82</v>
      </c>
      <c r="N668">
        <v>8383.7000000000007</v>
      </c>
      <c r="O668">
        <v>128789.3</v>
      </c>
      <c r="P668">
        <v>18957.2</v>
      </c>
      <c r="Q668">
        <v>4987.8999999999996</v>
      </c>
      <c r="R668" t="s">
        <v>134</v>
      </c>
      <c r="S668">
        <v>0</v>
      </c>
      <c r="T668">
        <v>133777.20000000001</v>
      </c>
      <c r="U668" t="s">
        <v>73</v>
      </c>
      <c r="V668" t="s">
        <v>6</v>
      </c>
      <c r="W668" t="s">
        <v>80</v>
      </c>
      <c r="X668" t="s">
        <v>127</v>
      </c>
      <c r="Y668" t="s">
        <v>22</v>
      </c>
      <c r="Z668">
        <v>2.27</v>
      </c>
      <c r="AA668">
        <f t="shared" si="30"/>
        <v>4987.8999999999996</v>
      </c>
      <c r="AB668">
        <f t="shared" si="31"/>
        <v>3.7285127809522096E-2</v>
      </c>
      <c r="AC668">
        <f t="shared" si="32"/>
        <v>0</v>
      </c>
      <c r="AD668">
        <v>2024</v>
      </c>
      <c r="AE668">
        <v>2</v>
      </c>
      <c r="AF668" t="s">
        <v>172</v>
      </c>
      <c r="AG668" t="s">
        <v>173</v>
      </c>
    </row>
    <row r="669" spans="1:33">
      <c r="A669" t="s">
        <v>820</v>
      </c>
      <c r="B669">
        <v>45836</v>
      </c>
      <c r="C669">
        <v>45846</v>
      </c>
      <c r="D669" t="s">
        <v>21</v>
      </c>
      <c r="E669">
        <v>300</v>
      </c>
      <c r="F669">
        <v>872.52</v>
      </c>
      <c r="G669">
        <v>1.18</v>
      </c>
      <c r="H669">
        <v>258667.28</v>
      </c>
      <c r="I669" t="s">
        <v>1727</v>
      </c>
      <c r="J669">
        <v>687.1</v>
      </c>
      <c r="K669">
        <v>206130</v>
      </c>
      <c r="L669">
        <v>5408.31</v>
      </c>
      <c r="M669">
        <v>1416.85</v>
      </c>
      <c r="N669">
        <v>8498.91</v>
      </c>
      <c r="O669">
        <v>221454.07</v>
      </c>
      <c r="P669">
        <v>52537.279999999999</v>
      </c>
      <c r="Q669">
        <v>37213.21</v>
      </c>
      <c r="R669" t="s">
        <v>65</v>
      </c>
      <c r="S669">
        <v>258667.28</v>
      </c>
      <c r="T669">
        <v>0</v>
      </c>
      <c r="U669" t="s">
        <v>66</v>
      </c>
      <c r="V669" t="s">
        <v>12</v>
      </c>
      <c r="W669" t="s">
        <v>141</v>
      </c>
      <c r="X669" t="s">
        <v>159</v>
      </c>
      <c r="Y669" t="s">
        <v>30</v>
      </c>
      <c r="Z669">
        <v>1.82</v>
      </c>
      <c r="AA669">
        <f t="shared" si="30"/>
        <v>37213.21</v>
      </c>
      <c r="AB669">
        <f t="shared" si="31"/>
        <v>0.14386516145374087</v>
      </c>
      <c r="AC669">
        <f t="shared" si="32"/>
        <v>0</v>
      </c>
      <c r="AD669">
        <v>2025</v>
      </c>
      <c r="AE669">
        <v>6</v>
      </c>
      <c r="AF669" t="s">
        <v>111</v>
      </c>
      <c r="AG669" t="s">
        <v>112</v>
      </c>
    </row>
    <row r="670" spans="1:33">
      <c r="A670" t="s">
        <v>821</v>
      </c>
      <c r="B670">
        <v>45878</v>
      </c>
      <c r="D670" t="s">
        <v>21</v>
      </c>
      <c r="E670">
        <v>750</v>
      </c>
      <c r="F670">
        <v>833.76</v>
      </c>
      <c r="G670">
        <v>1.36</v>
      </c>
      <c r="H670">
        <v>616815.65</v>
      </c>
      <c r="I670" t="s">
        <v>1727</v>
      </c>
      <c r="J670">
        <v>679.6</v>
      </c>
      <c r="K670">
        <v>509700</v>
      </c>
      <c r="L670">
        <v>9458.1299999999992</v>
      </c>
      <c r="M670">
        <v>2683.57</v>
      </c>
      <c r="N670">
        <v>1180.6400000000001</v>
      </c>
      <c r="O670">
        <v>523022.34</v>
      </c>
      <c r="P670">
        <v>107115.65</v>
      </c>
      <c r="Q670">
        <v>93793.31</v>
      </c>
      <c r="R670" t="s">
        <v>85</v>
      </c>
      <c r="S670">
        <v>213447.08</v>
      </c>
      <c r="T670">
        <v>403368.57</v>
      </c>
      <c r="U670" t="s">
        <v>91</v>
      </c>
      <c r="V670" t="s">
        <v>10</v>
      </c>
      <c r="W670" t="s">
        <v>67</v>
      </c>
      <c r="X670" t="s">
        <v>108</v>
      </c>
      <c r="Y670" t="s">
        <v>22</v>
      </c>
      <c r="Z670">
        <v>1.1000000000000001</v>
      </c>
      <c r="AA670">
        <f t="shared" si="30"/>
        <v>93793.31</v>
      </c>
      <c r="AB670">
        <f t="shared" si="31"/>
        <v>0.15206052245918208</v>
      </c>
      <c r="AC670">
        <f t="shared" si="32"/>
        <v>0</v>
      </c>
      <c r="AD670">
        <v>2025</v>
      </c>
      <c r="AE670">
        <v>8</v>
      </c>
      <c r="AF670" t="s">
        <v>82</v>
      </c>
      <c r="AG670" t="s">
        <v>87</v>
      </c>
    </row>
    <row r="671" spans="1:33">
      <c r="A671" t="s">
        <v>822</v>
      </c>
      <c r="B671">
        <v>45318</v>
      </c>
      <c r="C671">
        <v>45322</v>
      </c>
      <c r="D671" t="s">
        <v>21</v>
      </c>
      <c r="E671">
        <v>200</v>
      </c>
      <c r="F671">
        <v>822.64</v>
      </c>
      <c r="G671">
        <v>0.6</v>
      </c>
      <c r="H671">
        <v>163540.82999999999</v>
      </c>
      <c r="I671" t="s">
        <v>1727</v>
      </c>
      <c r="J671">
        <v>701.09</v>
      </c>
      <c r="K671">
        <v>140218</v>
      </c>
      <c r="L671">
        <v>3881.3</v>
      </c>
      <c r="M671">
        <v>859.24</v>
      </c>
      <c r="N671">
        <v>3490.72</v>
      </c>
      <c r="O671">
        <v>148449.26</v>
      </c>
      <c r="P671">
        <v>23322.83</v>
      </c>
      <c r="Q671">
        <v>15091.57</v>
      </c>
      <c r="R671" t="s">
        <v>65</v>
      </c>
      <c r="S671">
        <v>163540.82999999999</v>
      </c>
      <c r="T671">
        <v>0</v>
      </c>
      <c r="U671" t="s">
        <v>66</v>
      </c>
      <c r="V671" t="s">
        <v>6</v>
      </c>
      <c r="W671" t="s">
        <v>80</v>
      </c>
      <c r="X671" t="s">
        <v>115</v>
      </c>
      <c r="Y671" t="s">
        <v>22</v>
      </c>
      <c r="Z671">
        <v>0.04</v>
      </c>
      <c r="AA671">
        <f t="shared" si="30"/>
        <v>15091.57</v>
      </c>
      <c r="AB671">
        <f t="shared" si="31"/>
        <v>9.2280135792388973E-2</v>
      </c>
      <c r="AC671">
        <f t="shared" si="32"/>
        <v>0</v>
      </c>
      <c r="AD671">
        <v>2024</v>
      </c>
      <c r="AE671">
        <v>1</v>
      </c>
      <c r="AF671" t="s">
        <v>102</v>
      </c>
      <c r="AG671" t="s">
        <v>103</v>
      </c>
    </row>
    <row r="672" spans="1:33">
      <c r="A672" t="s">
        <v>823</v>
      </c>
      <c r="B672">
        <v>45662</v>
      </c>
      <c r="C672">
        <v>45671</v>
      </c>
      <c r="D672" t="s">
        <v>29</v>
      </c>
      <c r="E672">
        <v>300</v>
      </c>
      <c r="F672">
        <v>2734.1</v>
      </c>
      <c r="G672">
        <v>0.3</v>
      </c>
      <c r="H672">
        <v>817769.31</v>
      </c>
      <c r="I672" t="s">
        <v>1727</v>
      </c>
      <c r="J672">
        <v>2358.02</v>
      </c>
      <c r="K672">
        <v>707406</v>
      </c>
      <c r="L672">
        <v>1658.39</v>
      </c>
      <c r="M672">
        <v>1408.31</v>
      </c>
      <c r="N672">
        <v>7181.64</v>
      </c>
      <c r="O672">
        <v>717654.34</v>
      </c>
      <c r="P672">
        <v>110363.31</v>
      </c>
      <c r="Q672">
        <v>100114.97</v>
      </c>
      <c r="R672" t="s">
        <v>65</v>
      </c>
      <c r="S672">
        <v>817769.31</v>
      </c>
      <c r="T672">
        <v>0</v>
      </c>
      <c r="U672" t="s">
        <v>66</v>
      </c>
      <c r="V672" t="s">
        <v>6</v>
      </c>
      <c r="W672" t="s">
        <v>80</v>
      </c>
      <c r="X672" t="s">
        <v>127</v>
      </c>
      <c r="Y672" t="s">
        <v>22</v>
      </c>
      <c r="Z672">
        <v>0.56999999999999995</v>
      </c>
      <c r="AA672">
        <f t="shared" si="30"/>
        <v>100114.97</v>
      </c>
      <c r="AB672">
        <f t="shared" si="31"/>
        <v>0.12242446466962668</v>
      </c>
      <c r="AC672">
        <f t="shared" si="32"/>
        <v>0</v>
      </c>
      <c r="AD672">
        <v>2025</v>
      </c>
      <c r="AE672">
        <v>1</v>
      </c>
      <c r="AF672" t="s">
        <v>102</v>
      </c>
      <c r="AG672" t="s">
        <v>118</v>
      </c>
    </row>
    <row r="673" spans="1:33">
      <c r="A673" t="s">
        <v>824</v>
      </c>
      <c r="B673">
        <v>45575</v>
      </c>
      <c r="C673">
        <v>45588</v>
      </c>
      <c r="D673" t="s">
        <v>21</v>
      </c>
      <c r="E673">
        <v>50</v>
      </c>
      <c r="F673">
        <v>915.7</v>
      </c>
      <c r="G673">
        <v>1.23</v>
      </c>
      <c r="H673">
        <v>45221.84</v>
      </c>
      <c r="I673" t="s">
        <v>1727</v>
      </c>
      <c r="J673">
        <v>650.57000000000005</v>
      </c>
      <c r="K673">
        <v>32528.5</v>
      </c>
      <c r="L673">
        <v>988.24</v>
      </c>
      <c r="M673">
        <v>286.88</v>
      </c>
      <c r="N673">
        <v>8603.73</v>
      </c>
      <c r="O673">
        <v>42407.35</v>
      </c>
      <c r="P673">
        <v>12693.34</v>
      </c>
      <c r="Q673">
        <v>2814.49</v>
      </c>
      <c r="R673" t="s">
        <v>65</v>
      </c>
      <c r="S673">
        <v>45221.84</v>
      </c>
      <c r="T673">
        <v>0</v>
      </c>
      <c r="U673" t="s">
        <v>66</v>
      </c>
      <c r="V673" t="s">
        <v>8</v>
      </c>
      <c r="W673" t="s">
        <v>74</v>
      </c>
      <c r="X673" t="s">
        <v>164</v>
      </c>
      <c r="Y673" t="s">
        <v>24</v>
      </c>
      <c r="Z673">
        <v>0.39</v>
      </c>
      <c r="AA673">
        <f t="shared" si="30"/>
        <v>2814.49</v>
      </c>
      <c r="AB673">
        <f t="shared" si="31"/>
        <v>6.223740564293713E-2</v>
      </c>
      <c r="AC673">
        <f t="shared" si="32"/>
        <v>0</v>
      </c>
      <c r="AD673">
        <v>2024</v>
      </c>
      <c r="AE673">
        <v>10</v>
      </c>
      <c r="AF673" t="s">
        <v>138</v>
      </c>
      <c r="AG673" t="s">
        <v>139</v>
      </c>
    </row>
    <row r="674" spans="1:33">
      <c r="A674" t="s">
        <v>825</v>
      </c>
      <c r="B674">
        <v>45691</v>
      </c>
      <c r="C674">
        <v>45705</v>
      </c>
      <c r="D674" t="s">
        <v>23</v>
      </c>
      <c r="E674">
        <v>750</v>
      </c>
      <c r="F674">
        <v>1251.54</v>
      </c>
      <c r="G674">
        <v>2.6</v>
      </c>
      <c r="H674">
        <v>914249.97</v>
      </c>
      <c r="I674" t="s">
        <v>1726</v>
      </c>
      <c r="J674">
        <v>1113.83</v>
      </c>
      <c r="K674">
        <v>835372.5</v>
      </c>
      <c r="L674">
        <v>14974.69</v>
      </c>
      <c r="M674">
        <v>3244.39</v>
      </c>
      <c r="N674">
        <v>5048.08</v>
      </c>
      <c r="O674">
        <v>858639.66</v>
      </c>
      <c r="P674">
        <v>78877.47</v>
      </c>
      <c r="Q674">
        <v>55610.31</v>
      </c>
      <c r="R674" t="s">
        <v>65</v>
      </c>
      <c r="S674">
        <v>914249.97</v>
      </c>
      <c r="T674">
        <v>0</v>
      </c>
      <c r="U674" t="s">
        <v>66</v>
      </c>
      <c r="V674" t="s">
        <v>16</v>
      </c>
      <c r="W674" t="s">
        <v>80</v>
      </c>
      <c r="X674" t="s">
        <v>110</v>
      </c>
      <c r="Y674" t="s">
        <v>28</v>
      </c>
      <c r="Z674">
        <v>2.34</v>
      </c>
      <c r="AA674">
        <f t="shared" si="30"/>
        <v>55610.31</v>
      </c>
      <c r="AB674">
        <f t="shared" si="31"/>
        <v>6.0826154580021476E-2</v>
      </c>
      <c r="AC674">
        <f t="shared" si="32"/>
        <v>0</v>
      </c>
      <c r="AD674">
        <v>2025</v>
      </c>
      <c r="AE674">
        <v>2</v>
      </c>
      <c r="AF674" t="s">
        <v>172</v>
      </c>
      <c r="AG674" t="s">
        <v>244</v>
      </c>
    </row>
    <row r="675" spans="1:33">
      <c r="A675" t="s">
        <v>826</v>
      </c>
      <c r="B675">
        <v>45404</v>
      </c>
      <c r="C675">
        <v>45414</v>
      </c>
      <c r="D675" t="s">
        <v>21</v>
      </c>
      <c r="E675">
        <v>300</v>
      </c>
      <c r="F675">
        <v>841.23</v>
      </c>
      <c r="G675">
        <v>2.0699999999999998</v>
      </c>
      <c r="H675">
        <v>247144.95999999999</v>
      </c>
      <c r="I675" t="s">
        <v>1727</v>
      </c>
      <c r="J675">
        <v>736.02</v>
      </c>
      <c r="K675">
        <v>220806</v>
      </c>
      <c r="L675">
        <v>6358.64</v>
      </c>
      <c r="M675">
        <v>1350.68</v>
      </c>
      <c r="N675">
        <v>5824.58</v>
      </c>
      <c r="O675">
        <v>234339.9</v>
      </c>
      <c r="P675">
        <v>26338.959999999999</v>
      </c>
      <c r="Q675">
        <v>12805.06</v>
      </c>
      <c r="R675" t="s">
        <v>85</v>
      </c>
      <c r="S675">
        <v>115364.71</v>
      </c>
      <c r="T675">
        <v>131780.25</v>
      </c>
      <c r="U675" t="s">
        <v>66</v>
      </c>
      <c r="V675" t="s">
        <v>10</v>
      </c>
      <c r="W675" t="s">
        <v>74</v>
      </c>
      <c r="X675" t="s">
        <v>145</v>
      </c>
      <c r="Y675" t="s">
        <v>30</v>
      </c>
      <c r="Z675">
        <v>0.33</v>
      </c>
      <c r="AA675">
        <f t="shared" si="30"/>
        <v>12805.06</v>
      </c>
      <c r="AB675">
        <f t="shared" si="31"/>
        <v>5.1811940652158148E-2</v>
      </c>
      <c r="AC675">
        <f t="shared" si="32"/>
        <v>0</v>
      </c>
      <c r="AD675">
        <v>2024</v>
      </c>
      <c r="AE675">
        <v>4</v>
      </c>
      <c r="AF675" t="s">
        <v>154</v>
      </c>
      <c r="AG675" t="s">
        <v>157</v>
      </c>
    </row>
    <row r="676" spans="1:33">
      <c r="A676" t="s">
        <v>827</v>
      </c>
      <c r="B676">
        <v>45856</v>
      </c>
      <c r="C676">
        <v>45863</v>
      </c>
      <c r="D676" t="s">
        <v>23</v>
      </c>
      <c r="E676">
        <v>500</v>
      </c>
      <c r="F676">
        <v>1287.25</v>
      </c>
      <c r="G676">
        <v>0.78</v>
      </c>
      <c r="H676">
        <v>638604.72</v>
      </c>
      <c r="I676" t="s">
        <v>1727</v>
      </c>
      <c r="J676">
        <v>1068.51</v>
      </c>
      <c r="K676">
        <v>534255</v>
      </c>
      <c r="L676">
        <v>11035.75</v>
      </c>
      <c r="M676">
        <v>1960.68</v>
      </c>
      <c r="N676">
        <v>412.31</v>
      </c>
      <c r="O676">
        <v>547663.74</v>
      </c>
      <c r="P676">
        <v>104349.72</v>
      </c>
      <c r="Q676">
        <v>90940.98</v>
      </c>
      <c r="R676" t="s">
        <v>65</v>
      </c>
      <c r="S676">
        <v>638604.72</v>
      </c>
      <c r="T676">
        <v>0</v>
      </c>
      <c r="U676" t="s">
        <v>66</v>
      </c>
      <c r="V676" t="s">
        <v>6</v>
      </c>
      <c r="W676" t="s">
        <v>74</v>
      </c>
      <c r="X676" t="s">
        <v>162</v>
      </c>
      <c r="Y676" t="s">
        <v>26</v>
      </c>
      <c r="Z676">
        <v>2.19</v>
      </c>
      <c r="AA676">
        <f t="shared" si="30"/>
        <v>90940.98</v>
      </c>
      <c r="AB676">
        <f t="shared" si="31"/>
        <v>0.14240574357170427</v>
      </c>
      <c r="AC676">
        <f t="shared" si="32"/>
        <v>0</v>
      </c>
      <c r="AD676">
        <v>2025</v>
      </c>
      <c r="AE676">
        <v>7</v>
      </c>
      <c r="AF676" t="s">
        <v>69</v>
      </c>
      <c r="AG676" t="s">
        <v>151</v>
      </c>
    </row>
    <row r="677" spans="1:33">
      <c r="A677" t="s">
        <v>828</v>
      </c>
      <c r="B677">
        <v>46016</v>
      </c>
      <c r="C677">
        <v>46021</v>
      </c>
      <c r="D677" t="s">
        <v>21</v>
      </c>
      <c r="E677">
        <v>50</v>
      </c>
      <c r="F677">
        <v>951</v>
      </c>
      <c r="G677">
        <v>0.98</v>
      </c>
      <c r="H677">
        <v>47084.01</v>
      </c>
      <c r="I677" t="s">
        <v>1729</v>
      </c>
      <c r="J677">
        <v>709.56</v>
      </c>
      <c r="K677">
        <v>35478</v>
      </c>
      <c r="L677">
        <v>840.98</v>
      </c>
      <c r="M677">
        <v>221.23</v>
      </c>
      <c r="N677">
        <v>5163.16</v>
      </c>
      <c r="O677">
        <v>41703.370000000003</v>
      </c>
      <c r="P677">
        <v>11606.01</v>
      </c>
      <c r="Q677">
        <v>5380.64</v>
      </c>
      <c r="R677" t="s">
        <v>65</v>
      </c>
      <c r="S677">
        <v>47084.01</v>
      </c>
      <c r="T677">
        <v>0</v>
      </c>
      <c r="U677" t="s">
        <v>66</v>
      </c>
      <c r="V677" t="s">
        <v>16</v>
      </c>
      <c r="W677" t="s">
        <v>67</v>
      </c>
      <c r="X677" t="s">
        <v>108</v>
      </c>
      <c r="Y677" t="s">
        <v>22</v>
      </c>
      <c r="Z677">
        <v>0.48</v>
      </c>
      <c r="AA677">
        <f t="shared" si="30"/>
        <v>5380.64</v>
      </c>
      <c r="AB677">
        <f t="shared" si="31"/>
        <v>0.11427743728709598</v>
      </c>
      <c r="AC677">
        <f t="shared" si="32"/>
        <v>0</v>
      </c>
      <c r="AD677">
        <v>2025</v>
      </c>
      <c r="AE677">
        <v>12</v>
      </c>
      <c r="AF677" t="s">
        <v>98</v>
      </c>
      <c r="AG677" t="s">
        <v>168</v>
      </c>
    </row>
    <row r="678" spans="1:33">
      <c r="A678" t="s">
        <v>829</v>
      </c>
      <c r="B678">
        <v>45975</v>
      </c>
      <c r="C678">
        <v>45984</v>
      </c>
      <c r="D678" t="s">
        <v>21</v>
      </c>
      <c r="E678">
        <v>50</v>
      </c>
      <c r="F678">
        <v>949.64</v>
      </c>
      <c r="G678">
        <v>1.2</v>
      </c>
      <c r="H678">
        <v>46912.22</v>
      </c>
      <c r="I678" t="s">
        <v>1727</v>
      </c>
      <c r="J678">
        <v>720.74</v>
      </c>
      <c r="K678">
        <v>36037</v>
      </c>
      <c r="L678">
        <v>296.3</v>
      </c>
      <c r="M678">
        <v>258.39</v>
      </c>
      <c r="N678">
        <v>10371.34</v>
      </c>
      <c r="O678">
        <v>46963.03</v>
      </c>
      <c r="P678">
        <v>10875.22</v>
      </c>
      <c r="Q678">
        <v>-50.81</v>
      </c>
      <c r="R678" t="s">
        <v>65</v>
      </c>
      <c r="S678">
        <v>46912.22</v>
      </c>
      <c r="T678">
        <v>0</v>
      </c>
      <c r="U678" t="s">
        <v>66</v>
      </c>
      <c r="V678" t="s">
        <v>16</v>
      </c>
      <c r="W678" t="s">
        <v>67</v>
      </c>
      <c r="X678" t="s">
        <v>101</v>
      </c>
      <c r="Y678" t="s">
        <v>22</v>
      </c>
      <c r="Z678">
        <v>1.52</v>
      </c>
      <c r="AA678">
        <f t="shared" si="30"/>
        <v>-50.81</v>
      </c>
      <c r="AB678">
        <f t="shared" si="31"/>
        <v>-1.0830866669707807E-3</v>
      </c>
      <c r="AC678">
        <f t="shared" si="32"/>
        <v>0</v>
      </c>
      <c r="AD678">
        <v>2025</v>
      </c>
      <c r="AE678">
        <v>11</v>
      </c>
      <c r="AF678" t="s">
        <v>128</v>
      </c>
      <c r="AG678" t="s">
        <v>135</v>
      </c>
    </row>
    <row r="679" spans="1:33">
      <c r="A679" t="s">
        <v>830</v>
      </c>
      <c r="B679">
        <v>45979</v>
      </c>
      <c r="D679" t="s">
        <v>23</v>
      </c>
      <c r="E679">
        <v>1000</v>
      </c>
      <c r="F679">
        <v>1401.65</v>
      </c>
      <c r="G679">
        <v>0.22</v>
      </c>
      <c r="H679">
        <v>0</v>
      </c>
      <c r="I679" t="s">
        <v>1728</v>
      </c>
      <c r="J679">
        <v>1070.8399999999999</v>
      </c>
      <c r="K679">
        <v>0</v>
      </c>
      <c r="L679">
        <v>0</v>
      </c>
      <c r="M679">
        <v>0</v>
      </c>
      <c r="N679">
        <v>0</v>
      </c>
      <c r="O679">
        <v>0</v>
      </c>
      <c r="P679">
        <v>0</v>
      </c>
      <c r="Q679">
        <v>0</v>
      </c>
      <c r="R679" t="s">
        <v>65</v>
      </c>
      <c r="S679">
        <v>0</v>
      </c>
      <c r="T679">
        <v>0</v>
      </c>
      <c r="U679" t="s">
        <v>117</v>
      </c>
      <c r="V679" t="s">
        <v>8</v>
      </c>
      <c r="W679" t="s">
        <v>74</v>
      </c>
      <c r="X679" t="s">
        <v>371</v>
      </c>
      <c r="Y679" t="s">
        <v>26</v>
      </c>
      <c r="Z679">
        <v>2.19</v>
      </c>
      <c r="AA679">
        <f t="shared" si="30"/>
        <v>0</v>
      </c>
      <c r="AB679" t="e">
        <f t="shared" si="31"/>
        <v>#DIV/0!</v>
      </c>
      <c r="AC679">
        <f t="shared" si="32"/>
        <v>0</v>
      </c>
      <c r="AD679">
        <v>2025</v>
      </c>
      <c r="AE679">
        <v>11</v>
      </c>
      <c r="AF679" t="s">
        <v>128</v>
      </c>
      <c r="AG679" t="s">
        <v>135</v>
      </c>
    </row>
    <row r="680" spans="1:33">
      <c r="A680" t="s">
        <v>831</v>
      </c>
      <c r="B680">
        <v>45312</v>
      </c>
      <c r="C680">
        <v>45323</v>
      </c>
      <c r="D680" t="s">
        <v>25</v>
      </c>
      <c r="E680">
        <v>100</v>
      </c>
      <c r="F680">
        <v>988.26</v>
      </c>
      <c r="G680">
        <v>0.3</v>
      </c>
      <c r="H680">
        <v>98529.52</v>
      </c>
      <c r="I680" t="s">
        <v>1726</v>
      </c>
      <c r="J680">
        <v>810.59</v>
      </c>
      <c r="K680">
        <v>81059</v>
      </c>
      <c r="L680">
        <v>1091.83</v>
      </c>
      <c r="M680">
        <v>169.39</v>
      </c>
      <c r="N680">
        <v>2966.9</v>
      </c>
      <c r="O680">
        <v>85287.12</v>
      </c>
      <c r="P680">
        <v>17470.52</v>
      </c>
      <c r="Q680">
        <v>13242.4</v>
      </c>
      <c r="R680" t="s">
        <v>134</v>
      </c>
      <c r="S680">
        <v>0</v>
      </c>
      <c r="T680">
        <v>98529.52</v>
      </c>
      <c r="U680" t="s">
        <v>73</v>
      </c>
      <c r="V680" t="s">
        <v>6</v>
      </c>
      <c r="W680" t="s">
        <v>74</v>
      </c>
      <c r="X680" t="s">
        <v>150</v>
      </c>
      <c r="Y680" t="s">
        <v>30</v>
      </c>
      <c r="Z680">
        <v>1.1599999999999999</v>
      </c>
      <c r="AA680">
        <f t="shared" si="30"/>
        <v>13242.4</v>
      </c>
      <c r="AB680">
        <f t="shared" si="31"/>
        <v>0.13440032997217483</v>
      </c>
      <c r="AC680">
        <f t="shared" si="32"/>
        <v>0</v>
      </c>
      <c r="AD680">
        <v>2024</v>
      </c>
      <c r="AE680">
        <v>1</v>
      </c>
      <c r="AF680" t="s">
        <v>102</v>
      </c>
      <c r="AG680" t="s">
        <v>103</v>
      </c>
    </row>
    <row r="681" spans="1:33">
      <c r="A681" t="s">
        <v>832</v>
      </c>
      <c r="B681">
        <v>45956</v>
      </c>
      <c r="D681" t="s">
        <v>25</v>
      </c>
      <c r="E681">
        <v>500</v>
      </c>
      <c r="F681">
        <v>978.19</v>
      </c>
      <c r="G681">
        <v>0.86</v>
      </c>
      <c r="H681">
        <v>484888.78</v>
      </c>
      <c r="I681" t="s">
        <v>1728</v>
      </c>
      <c r="J681">
        <v>734.96</v>
      </c>
      <c r="K681">
        <v>367480</v>
      </c>
      <c r="L681">
        <v>9241.18</v>
      </c>
      <c r="M681">
        <v>1254.94</v>
      </c>
      <c r="N681">
        <v>10215.98</v>
      </c>
      <c r="O681">
        <v>388192.1</v>
      </c>
      <c r="P681">
        <v>117408.78</v>
      </c>
      <c r="Q681">
        <v>96696.68</v>
      </c>
      <c r="R681" t="s">
        <v>134</v>
      </c>
      <c r="S681">
        <v>0</v>
      </c>
      <c r="T681">
        <v>484888.78</v>
      </c>
      <c r="U681" t="s">
        <v>91</v>
      </c>
      <c r="V681" t="s">
        <v>14</v>
      </c>
      <c r="W681" t="s">
        <v>74</v>
      </c>
      <c r="X681" t="s">
        <v>75</v>
      </c>
      <c r="Y681" t="s">
        <v>28</v>
      </c>
      <c r="Z681">
        <v>1.59</v>
      </c>
      <c r="AA681">
        <f t="shared" si="30"/>
        <v>96696.68</v>
      </c>
      <c r="AB681">
        <f t="shared" si="31"/>
        <v>0.19942032892573835</v>
      </c>
      <c r="AC681">
        <f t="shared" si="32"/>
        <v>0</v>
      </c>
      <c r="AD681">
        <v>2025</v>
      </c>
      <c r="AE681">
        <v>10</v>
      </c>
      <c r="AF681" t="s">
        <v>138</v>
      </c>
      <c r="AG681" t="s">
        <v>160</v>
      </c>
    </row>
    <row r="682" spans="1:33">
      <c r="A682" t="s">
        <v>833</v>
      </c>
      <c r="B682">
        <v>45447</v>
      </c>
      <c r="C682">
        <v>45457</v>
      </c>
      <c r="D682" t="s">
        <v>25</v>
      </c>
      <c r="E682">
        <v>300</v>
      </c>
      <c r="F682">
        <v>934.56</v>
      </c>
      <c r="G682">
        <v>0.71</v>
      </c>
      <c r="H682">
        <v>278377.39</v>
      </c>
      <c r="I682" t="s">
        <v>1727</v>
      </c>
      <c r="J682">
        <v>797.41</v>
      </c>
      <c r="K682">
        <v>239223</v>
      </c>
      <c r="L682">
        <v>7078.41</v>
      </c>
      <c r="M682">
        <v>1575.64</v>
      </c>
      <c r="N682">
        <v>5008.8599999999997</v>
      </c>
      <c r="O682">
        <v>252885.91</v>
      </c>
      <c r="P682">
        <v>39154.39</v>
      </c>
      <c r="Q682">
        <v>25491.48</v>
      </c>
      <c r="R682" t="s">
        <v>65</v>
      </c>
      <c r="S682">
        <v>278377.39</v>
      </c>
      <c r="T682">
        <v>0</v>
      </c>
      <c r="U682" t="s">
        <v>66</v>
      </c>
      <c r="V682" t="s">
        <v>6</v>
      </c>
      <c r="W682" t="s">
        <v>67</v>
      </c>
      <c r="X682" t="s">
        <v>101</v>
      </c>
      <c r="Y682" t="s">
        <v>22</v>
      </c>
      <c r="Z682">
        <v>2.29</v>
      </c>
      <c r="AA682">
        <f t="shared" si="30"/>
        <v>25491.48</v>
      </c>
      <c r="AB682">
        <f t="shared" si="31"/>
        <v>9.1571661046179073E-2</v>
      </c>
      <c r="AC682">
        <f t="shared" si="32"/>
        <v>0</v>
      </c>
      <c r="AD682">
        <v>2024</v>
      </c>
      <c r="AE682">
        <v>6</v>
      </c>
      <c r="AF682" t="s">
        <v>111</v>
      </c>
      <c r="AG682" t="s">
        <v>148</v>
      </c>
    </row>
    <row r="683" spans="1:33">
      <c r="A683" t="s">
        <v>834</v>
      </c>
      <c r="B683">
        <v>45839</v>
      </c>
      <c r="C683">
        <v>45841</v>
      </c>
      <c r="D683" t="s">
        <v>25</v>
      </c>
      <c r="E683">
        <v>250</v>
      </c>
      <c r="F683">
        <v>966.7</v>
      </c>
      <c r="G683">
        <v>2.21</v>
      </c>
      <c r="H683">
        <v>236333.98</v>
      </c>
      <c r="I683" t="s">
        <v>1727</v>
      </c>
      <c r="J683">
        <v>812.54</v>
      </c>
      <c r="K683">
        <v>203135</v>
      </c>
      <c r="L683">
        <v>3147.87</v>
      </c>
      <c r="M683">
        <v>1392.37</v>
      </c>
      <c r="N683">
        <v>9530.57</v>
      </c>
      <c r="O683">
        <v>217205.81</v>
      </c>
      <c r="P683">
        <v>33198.980000000003</v>
      </c>
      <c r="Q683">
        <v>19128.169999999998</v>
      </c>
      <c r="R683" t="s">
        <v>65</v>
      </c>
      <c r="S683">
        <v>236333.98</v>
      </c>
      <c r="T683">
        <v>0</v>
      </c>
      <c r="U683" t="s">
        <v>66</v>
      </c>
      <c r="V683" t="s">
        <v>14</v>
      </c>
      <c r="W683" t="s">
        <v>74</v>
      </c>
      <c r="X683" t="s">
        <v>127</v>
      </c>
      <c r="Y683" t="s">
        <v>22</v>
      </c>
      <c r="Z683">
        <v>0.06</v>
      </c>
      <c r="AA683">
        <f t="shared" si="30"/>
        <v>19128.169999999998</v>
      </c>
      <c r="AB683">
        <f t="shared" si="31"/>
        <v>8.0937028183590012E-2</v>
      </c>
      <c r="AC683">
        <f t="shared" si="32"/>
        <v>0</v>
      </c>
      <c r="AD683">
        <v>2025</v>
      </c>
      <c r="AE683">
        <v>7</v>
      </c>
      <c r="AF683" t="s">
        <v>69</v>
      </c>
      <c r="AG683" t="s">
        <v>151</v>
      </c>
    </row>
    <row r="684" spans="1:33">
      <c r="A684" t="s">
        <v>835</v>
      </c>
      <c r="B684">
        <v>45939</v>
      </c>
      <c r="C684">
        <v>45940</v>
      </c>
      <c r="D684" t="s">
        <v>23</v>
      </c>
      <c r="E684">
        <v>150</v>
      </c>
      <c r="F684">
        <v>1403.06</v>
      </c>
      <c r="G684">
        <v>1.53</v>
      </c>
      <c r="H684">
        <v>207238.98</v>
      </c>
      <c r="I684" t="s">
        <v>1727</v>
      </c>
      <c r="J684">
        <v>1030.31</v>
      </c>
      <c r="K684">
        <v>154546.5</v>
      </c>
      <c r="L684">
        <v>2317.6799999999998</v>
      </c>
      <c r="M684">
        <v>836.89</v>
      </c>
      <c r="N684">
        <v>468.28</v>
      </c>
      <c r="O684">
        <v>158169.35</v>
      </c>
      <c r="P684">
        <v>52692.480000000003</v>
      </c>
      <c r="Q684">
        <v>49069.63</v>
      </c>
      <c r="R684" t="s">
        <v>65</v>
      </c>
      <c r="S684">
        <v>207238.98</v>
      </c>
      <c r="T684">
        <v>0</v>
      </c>
      <c r="U684" t="s">
        <v>73</v>
      </c>
      <c r="V684" t="s">
        <v>6</v>
      </c>
      <c r="W684" t="s">
        <v>67</v>
      </c>
      <c r="X684" t="s">
        <v>162</v>
      </c>
      <c r="Y684" t="s">
        <v>26</v>
      </c>
      <c r="Z684">
        <v>2.15</v>
      </c>
      <c r="AA684">
        <f t="shared" si="30"/>
        <v>49069.63</v>
      </c>
      <c r="AB684">
        <f t="shared" si="31"/>
        <v>0.23677799417850828</v>
      </c>
      <c r="AC684">
        <f t="shared" si="32"/>
        <v>0</v>
      </c>
      <c r="AD684">
        <v>2025</v>
      </c>
      <c r="AE684">
        <v>10</v>
      </c>
      <c r="AF684" t="s">
        <v>138</v>
      </c>
      <c r="AG684" t="s">
        <v>160</v>
      </c>
    </row>
    <row r="685" spans="1:33">
      <c r="A685" t="s">
        <v>836</v>
      </c>
      <c r="B685">
        <v>45347</v>
      </c>
      <c r="D685" t="s">
        <v>21</v>
      </c>
      <c r="E685">
        <v>1000</v>
      </c>
      <c r="F685">
        <v>889.51</v>
      </c>
      <c r="G685">
        <v>3.57</v>
      </c>
      <c r="H685">
        <v>857754.49</v>
      </c>
      <c r="I685" t="s">
        <v>1727</v>
      </c>
      <c r="J685">
        <v>726.52</v>
      </c>
      <c r="K685">
        <v>726520</v>
      </c>
      <c r="L685">
        <v>9033.27</v>
      </c>
      <c r="M685">
        <v>3164.5</v>
      </c>
      <c r="N685">
        <v>176.29</v>
      </c>
      <c r="O685">
        <v>738894.06</v>
      </c>
      <c r="P685">
        <v>131234.49</v>
      </c>
      <c r="Q685">
        <v>118860.43</v>
      </c>
      <c r="R685" t="s">
        <v>65</v>
      </c>
      <c r="S685">
        <v>857754.49</v>
      </c>
      <c r="T685">
        <v>0</v>
      </c>
      <c r="U685" t="s">
        <v>91</v>
      </c>
      <c r="V685" t="s">
        <v>10</v>
      </c>
      <c r="W685" t="s">
        <v>80</v>
      </c>
      <c r="X685" t="s">
        <v>101</v>
      </c>
      <c r="Y685" t="s">
        <v>22</v>
      </c>
      <c r="Z685">
        <v>1.59</v>
      </c>
      <c r="AA685">
        <f t="shared" si="30"/>
        <v>118860.43</v>
      </c>
      <c r="AB685">
        <f t="shared" si="31"/>
        <v>0.13857162088419961</v>
      </c>
      <c r="AC685">
        <f t="shared" si="32"/>
        <v>0</v>
      </c>
      <c r="AD685">
        <v>2024</v>
      </c>
      <c r="AE685">
        <v>2</v>
      </c>
      <c r="AF685" t="s">
        <v>172</v>
      </c>
      <c r="AG685" t="s">
        <v>173</v>
      </c>
    </row>
    <row r="686" spans="1:33">
      <c r="A686" t="s">
        <v>837</v>
      </c>
      <c r="B686">
        <v>45797</v>
      </c>
      <c r="C686">
        <v>45803</v>
      </c>
      <c r="D686" t="s">
        <v>21</v>
      </c>
      <c r="E686">
        <v>50</v>
      </c>
      <c r="F686">
        <v>928.88</v>
      </c>
      <c r="G686">
        <v>1.42</v>
      </c>
      <c r="H686">
        <v>45784.5</v>
      </c>
      <c r="I686" t="s">
        <v>1728</v>
      </c>
      <c r="J686">
        <v>677.47</v>
      </c>
      <c r="K686">
        <v>33873.5</v>
      </c>
      <c r="L686">
        <v>638.58000000000004</v>
      </c>
      <c r="M686">
        <v>190.47</v>
      </c>
      <c r="N686">
        <v>8620.5400000000009</v>
      </c>
      <c r="O686">
        <v>43323.09</v>
      </c>
      <c r="P686">
        <v>11911</v>
      </c>
      <c r="Q686">
        <v>2461.41</v>
      </c>
      <c r="R686" t="s">
        <v>65</v>
      </c>
      <c r="S686">
        <v>45784.5</v>
      </c>
      <c r="T686">
        <v>0</v>
      </c>
      <c r="U686" t="s">
        <v>66</v>
      </c>
      <c r="V686" t="s">
        <v>8</v>
      </c>
      <c r="W686" t="s">
        <v>67</v>
      </c>
      <c r="X686" t="s">
        <v>176</v>
      </c>
      <c r="Y686" t="s">
        <v>22</v>
      </c>
      <c r="Z686">
        <v>1.5</v>
      </c>
      <c r="AA686">
        <f t="shared" si="30"/>
        <v>2461.41</v>
      </c>
      <c r="AB686">
        <f t="shared" si="31"/>
        <v>5.3760770566458074E-2</v>
      </c>
      <c r="AC686">
        <f t="shared" si="32"/>
        <v>0</v>
      </c>
      <c r="AD686">
        <v>2025</v>
      </c>
      <c r="AE686">
        <v>5</v>
      </c>
      <c r="AF686" t="s">
        <v>76</v>
      </c>
      <c r="AG686" t="s">
        <v>94</v>
      </c>
    </row>
    <row r="687" spans="1:33">
      <c r="A687" t="s">
        <v>838</v>
      </c>
      <c r="B687">
        <v>45319</v>
      </c>
      <c r="C687">
        <v>45324</v>
      </c>
      <c r="D687" t="s">
        <v>23</v>
      </c>
      <c r="E687">
        <v>1000</v>
      </c>
      <c r="F687">
        <v>1347.79</v>
      </c>
      <c r="G687">
        <v>1.1299999999999999</v>
      </c>
      <c r="H687">
        <v>1332559.97</v>
      </c>
      <c r="I687" t="s">
        <v>1726</v>
      </c>
      <c r="J687">
        <v>975.65</v>
      </c>
      <c r="K687">
        <v>975650</v>
      </c>
      <c r="L687">
        <v>22214.48</v>
      </c>
      <c r="M687">
        <v>5061.4799999999996</v>
      </c>
      <c r="N687">
        <v>9195.86</v>
      </c>
      <c r="O687">
        <v>1012121.82</v>
      </c>
      <c r="P687">
        <v>356909.97</v>
      </c>
      <c r="Q687">
        <v>320438.15000000002</v>
      </c>
      <c r="R687" t="s">
        <v>65</v>
      </c>
      <c r="S687">
        <v>1332559.97</v>
      </c>
      <c r="T687">
        <v>0</v>
      </c>
      <c r="U687" t="s">
        <v>66</v>
      </c>
      <c r="V687" t="s">
        <v>6</v>
      </c>
      <c r="W687" t="s">
        <v>92</v>
      </c>
      <c r="X687" t="s">
        <v>208</v>
      </c>
      <c r="Y687" t="s">
        <v>26</v>
      </c>
      <c r="Z687">
        <v>1.49</v>
      </c>
      <c r="AA687">
        <f t="shared" si="30"/>
        <v>320438.15000000002</v>
      </c>
      <c r="AB687">
        <f t="shared" si="31"/>
        <v>0.24046808940238543</v>
      </c>
      <c r="AC687">
        <f t="shared" si="32"/>
        <v>0</v>
      </c>
      <c r="AD687">
        <v>2024</v>
      </c>
      <c r="AE687">
        <v>1</v>
      </c>
      <c r="AF687" t="s">
        <v>102</v>
      </c>
      <c r="AG687" t="s">
        <v>103</v>
      </c>
    </row>
    <row r="688" spans="1:33">
      <c r="A688" t="s">
        <v>839</v>
      </c>
      <c r="B688">
        <v>45972</v>
      </c>
      <c r="C688">
        <v>45976</v>
      </c>
      <c r="D688" t="s">
        <v>29</v>
      </c>
      <c r="E688">
        <v>250</v>
      </c>
      <c r="F688">
        <v>3139.17</v>
      </c>
      <c r="G688">
        <v>0.05</v>
      </c>
      <c r="H688">
        <v>784400.1</v>
      </c>
      <c r="I688" t="s">
        <v>1726</v>
      </c>
      <c r="J688">
        <v>2301.25</v>
      </c>
      <c r="K688">
        <v>575312.5</v>
      </c>
      <c r="L688">
        <v>5047.09</v>
      </c>
      <c r="M688">
        <v>434.2</v>
      </c>
      <c r="N688">
        <v>11410.21</v>
      </c>
      <c r="O688">
        <v>592204</v>
      </c>
      <c r="P688">
        <v>209087.6</v>
      </c>
      <c r="Q688">
        <v>192196.1</v>
      </c>
      <c r="R688" t="s">
        <v>65</v>
      </c>
      <c r="S688">
        <v>784400.1</v>
      </c>
      <c r="T688">
        <v>0</v>
      </c>
      <c r="U688" t="s">
        <v>66</v>
      </c>
      <c r="V688" t="s">
        <v>16</v>
      </c>
      <c r="W688" t="s">
        <v>141</v>
      </c>
      <c r="X688" t="s">
        <v>285</v>
      </c>
      <c r="Y688" t="s">
        <v>28</v>
      </c>
      <c r="Z688">
        <v>0.82</v>
      </c>
      <c r="AA688">
        <f t="shared" si="30"/>
        <v>192196.1</v>
      </c>
      <c r="AB688">
        <f t="shared" si="31"/>
        <v>0.24502304372475223</v>
      </c>
      <c r="AC688">
        <f t="shared" si="32"/>
        <v>0</v>
      </c>
      <c r="AD688">
        <v>2025</v>
      </c>
      <c r="AE688">
        <v>11</v>
      </c>
      <c r="AF688" t="s">
        <v>128</v>
      </c>
      <c r="AG688" t="s">
        <v>135</v>
      </c>
    </row>
    <row r="689" spans="1:33">
      <c r="A689" t="s">
        <v>840</v>
      </c>
      <c r="B689">
        <v>45996</v>
      </c>
      <c r="C689">
        <v>45999</v>
      </c>
      <c r="D689" t="s">
        <v>27</v>
      </c>
      <c r="E689">
        <v>200</v>
      </c>
      <c r="F689">
        <v>739.93</v>
      </c>
      <c r="G689">
        <v>1.94</v>
      </c>
      <c r="H689">
        <v>145115.07</v>
      </c>
      <c r="I689" t="s">
        <v>1726</v>
      </c>
      <c r="J689">
        <v>610.05999999999995</v>
      </c>
      <c r="K689">
        <v>122012</v>
      </c>
      <c r="L689">
        <v>2507.4899999999998</v>
      </c>
      <c r="M689">
        <v>636.66</v>
      </c>
      <c r="N689">
        <v>5039.04</v>
      </c>
      <c r="O689">
        <v>130195.19</v>
      </c>
      <c r="P689">
        <v>23103.07</v>
      </c>
      <c r="Q689">
        <v>14919.88</v>
      </c>
      <c r="R689" t="s">
        <v>85</v>
      </c>
      <c r="S689">
        <v>98267.87</v>
      </c>
      <c r="T689">
        <v>46847.199999999997</v>
      </c>
      <c r="U689" t="s">
        <v>66</v>
      </c>
      <c r="V689" t="s">
        <v>6</v>
      </c>
      <c r="W689" t="s">
        <v>74</v>
      </c>
      <c r="X689" t="s">
        <v>108</v>
      </c>
      <c r="Y689" t="s">
        <v>22</v>
      </c>
      <c r="Z689">
        <v>0.55000000000000004</v>
      </c>
      <c r="AA689">
        <f t="shared" si="30"/>
        <v>14919.88</v>
      </c>
      <c r="AB689">
        <f t="shared" si="31"/>
        <v>0.1028141322606949</v>
      </c>
      <c r="AC689">
        <f t="shared" si="32"/>
        <v>0</v>
      </c>
      <c r="AD689">
        <v>2025</v>
      </c>
      <c r="AE689">
        <v>12</v>
      </c>
      <c r="AF689" t="s">
        <v>98</v>
      </c>
      <c r="AG689" t="s">
        <v>168</v>
      </c>
    </row>
    <row r="690" spans="1:33">
      <c r="A690" t="s">
        <v>841</v>
      </c>
      <c r="B690">
        <v>45651</v>
      </c>
      <c r="C690">
        <v>45662</v>
      </c>
      <c r="D690" t="s">
        <v>21</v>
      </c>
      <c r="E690">
        <v>50</v>
      </c>
      <c r="F690">
        <v>924.18</v>
      </c>
      <c r="G690">
        <v>2.38</v>
      </c>
      <c r="H690">
        <v>45109.23</v>
      </c>
      <c r="I690" t="s">
        <v>1727</v>
      </c>
      <c r="J690">
        <v>669.21</v>
      </c>
      <c r="K690">
        <v>33460.5</v>
      </c>
      <c r="L690">
        <v>353.74</v>
      </c>
      <c r="M690">
        <v>193.34</v>
      </c>
      <c r="N690">
        <v>6827.91</v>
      </c>
      <c r="O690">
        <v>40835.49</v>
      </c>
      <c r="P690">
        <v>11648.73</v>
      </c>
      <c r="Q690">
        <v>4273.74</v>
      </c>
      <c r="R690" t="s">
        <v>85</v>
      </c>
      <c r="S690">
        <v>34403.480000000003</v>
      </c>
      <c r="T690">
        <v>10705.75</v>
      </c>
      <c r="U690" t="s">
        <v>66</v>
      </c>
      <c r="V690" t="s">
        <v>6</v>
      </c>
      <c r="W690" t="s">
        <v>80</v>
      </c>
      <c r="X690" t="s">
        <v>375</v>
      </c>
      <c r="Y690" t="s">
        <v>30</v>
      </c>
      <c r="Z690">
        <v>7.0000000000000007E-2</v>
      </c>
      <c r="AA690">
        <f t="shared" si="30"/>
        <v>4273.74</v>
      </c>
      <c r="AB690">
        <f t="shared" si="31"/>
        <v>9.4742029513693746E-2</v>
      </c>
      <c r="AC690">
        <f t="shared" si="32"/>
        <v>0</v>
      </c>
      <c r="AD690">
        <v>2024</v>
      </c>
      <c r="AE690">
        <v>12</v>
      </c>
      <c r="AF690" t="s">
        <v>98</v>
      </c>
      <c r="AG690" t="s">
        <v>99</v>
      </c>
    </row>
    <row r="691" spans="1:33">
      <c r="A691" t="s">
        <v>842</v>
      </c>
      <c r="B691">
        <v>45543</v>
      </c>
      <c r="C691">
        <v>45556</v>
      </c>
      <c r="D691" t="s">
        <v>27</v>
      </c>
      <c r="E691">
        <v>300</v>
      </c>
      <c r="F691">
        <v>767.08</v>
      </c>
      <c r="G691">
        <v>2.2200000000000002</v>
      </c>
      <c r="H691">
        <v>225015.25</v>
      </c>
      <c r="I691" t="s">
        <v>1728</v>
      </c>
      <c r="J691">
        <v>528.16999999999996</v>
      </c>
      <c r="K691">
        <v>158451</v>
      </c>
      <c r="L691">
        <v>4379.76</v>
      </c>
      <c r="M691">
        <v>1636.34</v>
      </c>
      <c r="N691">
        <v>3092.12</v>
      </c>
      <c r="O691">
        <v>167559.22</v>
      </c>
      <c r="P691">
        <v>66564.25</v>
      </c>
      <c r="Q691">
        <v>57456.03</v>
      </c>
      <c r="R691" t="s">
        <v>65</v>
      </c>
      <c r="S691">
        <v>225015.25</v>
      </c>
      <c r="T691">
        <v>0</v>
      </c>
      <c r="U691" t="s">
        <v>66</v>
      </c>
      <c r="V691" t="s">
        <v>14</v>
      </c>
      <c r="W691" t="s">
        <v>80</v>
      </c>
      <c r="X691" t="s">
        <v>81</v>
      </c>
      <c r="Y691" t="s">
        <v>24</v>
      </c>
      <c r="Z691">
        <v>1.35</v>
      </c>
      <c r="AA691">
        <f t="shared" si="30"/>
        <v>57456.03</v>
      </c>
      <c r="AB691">
        <f t="shared" si="31"/>
        <v>0.25534282676396375</v>
      </c>
      <c r="AC691">
        <f t="shared" si="32"/>
        <v>0</v>
      </c>
      <c r="AD691">
        <v>2024</v>
      </c>
      <c r="AE691">
        <v>9</v>
      </c>
      <c r="AF691" t="s">
        <v>131</v>
      </c>
      <c r="AG691" t="s">
        <v>188</v>
      </c>
    </row>
    <row r="692" spans="1:33">
      <c r="A692" t="s">
        <v>843</v>
      </c>
      <c r="B692">
        <v>45652</v>
      </c>
      <c r="C692">
        <v>45656</v>
      </c>
      <c r="D692" t="s">
        <v>21</v>
      </c>
      <c r="E692">
        <v>250</v>
      </c>
      <c r="F692">
        <v>963.83</v>
      </c>
      <c r="G692">
        <v>1.83</v>
      </c>
      <c r="H692">
        <v>236547.98</v>
      </c>
      <c r="I692" t="s">
        <v>1727</v>
      </c>
      <c r="J692">
        <v>685.49</v>
      </c>
      <c r="K692">
        <v>171372.5</v>
      </c>
      <c r="L692">
        <v>3438.02</v>
      </c>
      <c r="M692">
        <v>1204.94</v>
      </c>
      <c r="N692">
        <v>1506.74</v>
      </c>
      <c r="O692">
        <v>177522.2</v>
      </c>
      <c r="P692">
        <v>65175.48</v>
      </c>
      <c r="Q692">
        <v>59025.78</v>
      </c>
      <c r="R692" t="s">
        <v>65</v>
      </c>
      <c r="S692">
        <v>236547.98</v>
      </c>
      <c r="T692">
        <v>0</v>
      </c>
      <c r="U692" t="s">
        <v>73</v>
      </c>
      <c r="V692" t="s">
        <v>12</v>
      </c>
      <c r="W692" t="s">
        <v>74</v>
      </c>
      <c r="X692" t="s">
        <v>147</v>
      </c>
      <c r="Y692" t="s">
        <v>28</v>
      </c>
      <c r="Z692">
        <v>0.75</v>
      </c>
      <c r="AA692">
        <f t="shared" si="30"/>
        <v>59025.78</v>
      </c>
      <c r="AB692">
        <f t="shared" si="31"/>
        <v>0.24952984168370407</v>
      </c>
      <c r="AC692">
        <f t="shared" si="32"/>
        <v>0</v>
      </c>
      <c r="AD692">
        <v>2024</v>
      </c>
      <c r="AE692">
        <v>12</v>
      </c>
      <c r="AF692" t="s">
        <v>98</v>
      </c>
      <c r="AG692" t="s">
        <v>99</v>
      </c>
    </row>
    <row r="693" spans="1:33">
      <c r="A693" t="s">
        <v>844</v>
      </c>
      <c r="B693">
        <v>45645</v>
      </c>
      <c r="D693" t="s">
        <v>21</v>
      </c>
      <c r="E693">
        <v>300</v>
      </c>
      <c r="F693">
        <v>987.38</v>
      </c>
      <c r="G693">
        <v>1.59</v>
      </c>
      <c r="H693">
        <v>291504.2</v>
      </c>
      <c r="I693" t="s">
        <v>1728</v>
      </c>
      <c r="J693">
        <v>688.73</v>
      </c>
      <c r="K693">
        <v>206619</v>
      </c>
      <c r="L693">
        <v>5958.88</v>
      </c>
      <c r="M693">
        <v>1094.43</v>
      </c>
      <c r="N693">
        <v>8860.57</v>
      </c>
      <c r="O693">
        <v>222532.88</v>
      </c>
      <c r="P693">
        <v>84885.2</v>
      </c>
      <c r="Q693">
        <v>68971.320000000007</v>
      </c>
      <c r="R693" t="s">
        <v>65</v>
      </c>
      <c r="S693">
        <v>291504.2</v>
      </c>
      <c r="T693">
        <v>0</v>
      </c>
      <c r="U693" t="s">
        <v>91</v>
      </c>
      <c r="V693" t="s">
        <v>8</v>
      </c>
      <c r="W693" t="s">
        <v>74</v>
      </c>
      <c r="X693" t="s">
        <v>75</v>
      </c>
      <c r="Y693" t="s">
        <v>28</v>
      </c>
      <c r="Z693">
        <v>1.78</v>
      </c>
      <c r="AA693">
        <f t="shared" si="30"/>
        <v>68971.320000000007</v>
      </c>
      <c r="AB693">
        <f t="shared" si="31"/>
        <v>0.23660489282830233</v>
      </c>
      <c r="AC693">
        <f t="shared" si="32"/>
        <v>0</v>
      </c>
      <c r="AD693">
        <v>2024</v>
      </c>
      <c r="AE693">
        <v>12</v>
      </c>
      <c r="AF693" t="s">
        <v>98</v>
      </c>
      <c r="AG693" t="s">
        <v>99</v>
      </c>
    </row>
    <row r="694" spans="1:33">
      <c r="A694" t="s">
        <v>845</v>
      </c>
      <c r="B694">
        <v>45562</v>
      </c>
      <c r="C694">
        <v>45573</v>
      </c>
      <c r="D694" t="s">
        <v>21</v>
      </c>
      <c r="E694">
        <v>200</v>
      </c>
      <c r="F694">
        <v>849.98</v>
      </c>
      <c r="G694">
        <v>1.5</v>
      </c>
      <c r="H694">
        <v>167446.06</v>
      </c>
      <c r="I694" t="s">
        <v>1729</v>
      </c>
      <c r="J694">
        <v>741.83</v>
      </c>
      <c r="K694">
        <v>148366</v>
      </c>
      <c r="L694">
        <v>1194.74</v>
      </c>
      <c r="M694">
        <v>554.08000000000004</v>
      </c>
      <c r="N694">
        <v>3583</v>
      </c>
      <c r="O694">
        <v>153697.82</v>
      </c>
      <c r="P694">
        <v>19080.060000000001</v>
      </c>
      <c r="Q694">
        <v>13748.24</v>
      </c>
      <c r="R694" t="s">
        <v>134</v>
      </c>
      <c r="S694">
        <v>0</v>
      </c>
      <c r="T694">
        <v>167446.06</v>
      </c>
      <c r="U694" t="s">
        <v>66</v>
      </c>
      <c r="V694" t="s">
        <v>16</v>
      </c>
      <c r="W694" t="s">
        <v>74</v>
      </c>
      <c r="X694" t="s">
        <v>371</v>
      </c>
      <c r="Y694" t="s">
        <v>26</v>
      </c>
      <c r="Z694">
        <v>1.1599999999999999</v>
      </c>
      <c r="AA694">
        <f t="shared" si="30"/>
        <v>13748.24</v>
      </c>
      <c r="AB694">
        <f t="shared" si="31"/>
        <v>8.2105485193261635E-2</v>
      </c>
      <c r="AC694">
        <f t="shared" si="32"/>
        <v>0</v>
      </c>
      <c r="AD694">
        <v>2024</v>
      </c>
      <c r="AE694">
        <v>9</v>
      </c>
      <c r="AF694" t="s">
        <v>131</v>
      </c>
      <c r="AG694" t="s">
        <v>188</v>
      </c>
    </row>
    <row r="695" spans="1:33">
      <c r="A695" t="s">
        <v>846</v>
      </c>
      <c r="B695">
        <v>45428</v>
      </c>
      <c r="C695">
        <v>45438</v>
      </c>
      <c r="D695" t="s">
        <v>21</v>
      </c>
      <c r="E695">
        <v>1200</v>
      </c>
      <c r="F695">
        <v>897.9</v>
      </c>
      <c r="G695">
        <v>4.76</v>
      </c>
      <c r="H695">
        <v>1026191.95</v>
      </c>
      <c r="I695" t="s">
        <v>1726</v>
      </c>
      <c r="J695">
        <v>745.77</v>
      </c>
      <c r="K695">
        <v>894924</v>
      </c>
      <c r="L695">
        <v>19532.02</v>
      </c>
      <c r="M695">
        <v>2988.33</v>
      </c>
      <c r="N695">
        <v>735.2</v>
      </c>
      <c r="O695">
        <v>918179.55</v>
      </c>
      <c r="P695">
        <v>131267.95000000001</v>
      </c>
      <c r="Q695">
        <v>108012.4</v>
      </c>
      <c r="R695" t="s">
        <v>65</v>
      </c>
      <c r="S695">
        <v>1026191.95</v>
      </c>
      <c r="T695">
        <v>0</v>
      </c>
      <c r="U695" t="s">
        <v>66</v>
      </c>
      <c r="V695" t="s">
        <v>6</v>
      </c>
      <c r="W695" t="s">
        <v>80</v>
      </c>
      <c r="X695" t="s">
        <v>127</v>
      </c>
      <c r="Y695" t="s">
        <v>22</v>
      </c>
      <c r="Z695">
        <v>2.4300000000000002</v>
      </c>
      <c r="AA695">
        <f t="shared" si="30"/>
        <v>108012.4</v>
      </c>
      <c r="AB695">
        <f t="shared" si="31"/>
        <v>0.105255551848755</v>
      </c>
      <c r="AC695">
        <f t="shared" si="32"/>
        <v>0</v>
      </c>
      <c r="AD695">
        <v>2024</v>
      </c>
      <c r="AE695">
        <v>5</v>
      </c>
      <c r="AF695" t="s">
        <v>76</v>
      </c>
      <c r="AG695" t="s">
        <v>77</v>
      </c>
    </row>
    <row r="696" spans="1:33">
      <c r="A696" t="s">
        <v>847</v>
      </c>
      <c r="B696">
        <v>45581</v>
      </c>
      <c r="D696" t="s">
        <v>21</v>
      </c>
      <c r="E696">
        <v>1000</v>
      </c>
      <c r="F696">
        <v>933.98</v>
      </c>
      <c r="G696">
        <v>2.68</v>
      </c>
      <c r="H696">
        <v>0</v>
      </c>
      <c r="I696" t="s">
        <v>1727</v>
      </c>
      <c r="J696">
        <v>691.03</v>
      </c>
      <c r="K696">
        <v>0</v>
      </c>
      <c r="L696">
        <v>0</v>
      </c>
      <c r="M696">
        <v>0</v>
      </c>
      <c r="N696">
        <v>0</v>
      </c>
      <c r="O696">
        <v>0</v>
      </c>
      <c r="P696">
        <v>0</v>
      </c>
      <c r="Q696">
        <v>0</v>
      </c>
      <c r="R696" t="s">
        <v>85</v>
      </c>
      <c r="S696">
        <v>0</v>
      </c>
      <c r="T696">
        <v>0</v>
      </c>
      <c r="U696" t="s">
        <v>117</v>
      </c>
      <c r="V696" t="s">
        <v>8</v>
      </c>
      <c r="W696" t="s">
        <v>74</v>
      </c>
      <c r="X696" t="s">
        <v>145</v>
      </c>
      <c r="Y696" t="s">
        <v>30</v>
      </c>
      <c r="Z696">
        <v>2.4500000000000002</v>
      </c>
      <c r="AA696">
        <f t="shared" si="30"/>
        <v>0</v>
      </c>
      <c r="AB696" t="e">
        <f t="shared" si="31"/>
        <v>#DIV/0!</v>
      </c>
      <c r="AC696">
        <f t="shared" si="32"/>
        <v>0</v>
      </c>
      <c r="AD696">
        <v>2024</v>
      </c>
      <c r="AE696">
        <v>10</v>
      </c>
      <c r="AF696" t="s">
        <v>138</v>
      </c>
      <c r="AG696" t="s">
        <v>139</v>
      </c>
    </row>
    <row r="697" spans="1:33">
      <c r="A697" t="s">
        <v>848</v>
      </c>
      <c r="B697">
        <v>45490</v>
      </c>
      <c r="D697" t="s">
        <v>23</v>
      </c>
      <c r="E697">
        <v>100</v>
      </c>
      <c r="F697">
        <v>1234.01</v>
      </c>
      <c r="G697">
        <v>0.64</v>
      </c>
      <c r="H697">
        <v>122611.23</v>
      </c>
      <c r="I697" t="s">
        <v>1728</v>
      </c>
      <c r="J697">
        <v>1045.6500000000001</v>
      </c>
      <c r="K697">
        <v>104565</v>
      </c>
      <c r="L697">
        <v>1020.66</v>
      </c>
      <c r="M697">
        <v>332.38</v>
      </c>
      <c r="N697">
        <v>6672.05</v>
      </c>
      <c r="O697">
        <v>112590.09</v>
      </c>
      <c r="P697">
        <v>18046.23</v>
      </c>
      <c r="Q697">
        <v>10021.14</v>
      </c>
      <c r="R697" t="s">
        <v>85</v>
      </c>
      <c r="S697">
        <v>52143.72</v>
      </c>
      <c r="T697">
        <v>70467.509999999995</v>
      </c>
      <c r="U697" t="s">
        <v>91</v>
      </c>
      <c r="V697" t="s">
        <v>12</v>
      </c>
      <c r="W697" t="s">
        <v>92</v>
      </c>
      <c r="X697" t="s">
        <v>101</v>
      </c>
      <c r="Y697" t="s">
        <v>22</v>
      </c>
      <c r="Z697">
        <v>1.27</v>
      </c>
      <c r="AA697">
        <f t="shared" si="30"/>
        <v>10021.14</v>
      </c>
      <c r="AB697">
        <f t="shared" si="31"/>
        <v>8.1731012730236863E-2</v>
      </c>
      <c r="AC697">
        <f t="shared" si="32"/>
        <v>0</v>
      </c>
      <c r="AD697">
        <v>2024</v>
      </c>
      <c r="AE697">
        <v>7</v>
      </c>
      <c r="AF697" t="s">
        <v>69</v>
      </c>
      <c r="AG697" t="s">
        <v>70</v>
      </c>
    </row>
    <row r="698" spans="1:33">
      <c r="A698" t="s">
        <v>849</v>
      </c>
      <c r="B698">
        <v>45862</v>
      </c>
      <c r="C698">
        <v>45866</v>
      </c>
      <c r="D698" t="s">
        <v>21</v>
      </c>
      <c r="E698">
        <v>300</v>
      </c>
      <c r="F698">
        <v>885.57</v>
      </c>
      <c r="G698">
        <v>0.25</v>
      </c>
      <c r="H698">
        <v>265006.82</v>
      </c>
      <c r="I698" t="s">
        <v>1729</v>
      </c>
      <c r="J698">
        <v>730.66</v>
      </c>
      <c r="K698">
        <v>219198</v>
      </c>
      <c r="L698">
        <v>3849.82</v>
      </c>
      <c r="M698">
        <v>1494.41</v>
      </c>
      <c r="N698">
        <v>7549.74</v>
      </c>
      <c r="O698">
        <v>232091.97</v>
      </c>
      <c r="P698">
        <v>45808.82</v>
      </c>
      <c r="Q698">
        <v>32914.85</v>
      </c>
      <c r="R698" t="s">
        <v>65</v>
      </c>
      <c r="S698">
        <v>265006.82</v>
      </c>
      <c r="T698">
        <v>0</v>
      </c>
      <c r="U698" t="s">
        <v>66</v>
      </c>
      <c r="V698" t="s">
        <v>6</v>
      </c>
      <c r="W698" t="s">
        <v>74</v>
      </c>
      <c r="X698" t="s">
        <v>285</v>
      </c>
      <c r="Y698" t="s">
        <v>28</v>
      </c>
      <c r="Z698">
        <v>0.2</v>
      </c>
      <c r="AA698">
        <f t="shared" si="30"/>
        <v>32914.85</v>
      </c>
      <c r="AB698">
        <f t="shared" si="31"/>
        <v>0.12420378464222165</v>
      </c>
      <c r="AC698">
        <f t="shared" si="32"/>
        <v>0</v>
      </c>
      <c r="AD698">
        <v>2025</v>
      </c>
      <c r="AE698">
        <v>7</v>
      </c>
      <c r="AF698" t="s">
        <v>69</v>
      </c>
      <c r="AG698" t="s">
        <v>151</v>
      </c>
    </row>
    <row r="699" spans="1:33">
      <c r="A699" t="s">
        <v>850</v>
      </c>
      <c r="B699">
        <v>45356</v>
      </c>
      <c r="D699" t="s">
        <v>23</v>
      </c>
      <c r="E699">
        <v>250</v>
      </c>
      <c r="F699">
        <v>1358.27</v>
      </c>
      <c r="G699">
        <v>1.72</v>
      </c>
      <c r="H699">
        <v>333726.94</v>
      </c>
      <c r="I699" t="s">
        <v>1726</v>
      </c>
      <c r="J699">
        <v>970.41</v>
      </c>
      <c r="K699">
        <v>242602.5</v>
      </c>
      <c r="L699">
        <v>4916.57</v>
      </c>
      <c r="M699">
        <v>916.66</v>
      </c>
      <c r="N699">
        <v>89.28</v>
      </c>
      <c r="O699">
        <v>248525.01</v>
      </c>
      <c r="P699">
        <v>91124.44</v>
      </c>
      <c r="Q699">
        <v>85201.93</v>
      </c>
      <c r="R699" t="s">
        <v>65</v>
      </c>
      <c r="S699">
        <v>333726.94</v>
      </c>
      <c r="T699">
        <v>0</v>
      </c>
      <c r="U699" t="s">
        <v>91</v>
      </c>
      <c r="V699" t="s">
        <v>6</v>
      </c>
      <c r="W699" t="s">
        <v>92</v>
      </c>
      <c r="X699" t="s">
        <v>110</v>
      </c>
      <c r="Y699" t="s">
        <v>28</v>
      </c>
      <c r="Z699">
        <v>1.78</v>
      </c>
      <c r="AA699">
        <f t="shared" si="30"/>
        <v>85201.93</v>
      </c>
      <c r="AB699">
        <f t="shared" si="31"/>
        <v>0.25530432155102611</v>
      </c>
      <c r="AC699">
        <f t="shared" si="32"/>
        <v>0</v>
      </c>
      <c r="AD699">
        <v>2024</v>
      </c>
      <c r="AE699">
        <v>3</v>
      </c>
      <c r="AF699" t="s">
        <v>105</v>
      </c>
      <c r="AG699" t="s">
        <v>120</v>
      </c>
    </row>
    <row r="700" spans="1:33">
      <c r="A700" t="s">
        <v>851</v>
      </c>
      <c r="B700">
        <v>45632</v>
      </c>
      <c r="C700">
        <v>45640</v>
      </c>
      <c r="D700" t="s">
        <v>21</v>
      </c>
      <c r="E700">
        <v>750</v>
      </c>
      <c r="F700">
        <v>977.93</v>
      </c>
      <c r="G700">
        <v>0.26</v>
      </c>
      <c r="H700">
        <v>731540.54</v>
      </c>
      <c r="I700" t="s">
        <v>1726</v>
      </c>
      <c r="J700">
        <v>668.18</v>
      </c>
      <c r="K700">
        <v>501135</v>
      </c>
      <c r="L700">
        <v>17387.419999999998</v>
      </c>
      <c r="M700">
        <v>2514.19</v>
      </c>
      <c r="N700">
        <v>10740.81</v>
      </c>
      <c r="O700">
        <v>531777.42000000004</v>
      </c>
      <c r="P700">
        <v>230405.54</v>
      </c>
      <c r="Q700">
        <v>199763.12</v>
      </c>
      <c r="R700" t="s">
        <v>65</v>
      </c>
      <c r="S700">
        <v>731540.54</v>
      </c>
      <c r="T700">
        <v>0</v>
      </c>
      <c r="U700" t="s">
        <v>66</v>
      </c>
      <c r="V700" t="s">
        <v>14</v>
      </c>
      <c r="W700" t="s">
        <v>74</v>
      </c>
      <c r="X700" t="s">
        <v>115</v>
      </c>
      <c r="Y700" t="s">
        <v>22</v>
      </c>
      <c r="Z700">
        <v>1.73</v>
      </c>
      <c r="AA700">
        <f t="shared" si="30"/>
        <v>199763.12</v>
      </c>
      <c r="AB700">
        <f t="shared" si="31"/>
        <v>0.27307183823332604</v>
      </c>
      <c r="AC700">
        <f t="shared" si="32"/>
        <v>0</v>
      </c>
      <c r="AD700">
        <v>2024</v>
      </c>
      <c r="AE700">
        <v>12</v>
      </c>
      <c r="AF700" t="s">
        <v>98</v>
      </c>
      <c r="AG700" t="s">
        <v>99</v>
      </c>
    </row>
    <row r="701" spans="1:33">
      <c r="A701" t="s">
        <v>852</v>
      </c>
      <c r="B701">
        <v>45885</v>
      </c>
      <c r="C701">
        <v>45891</v>
      </c>
      <c r="D701" t="s">
        <v>21</v>
      </c>
      <c r="E701">
        <v>300</v>
      </c>
      <c r="F701">
        <v>832</v>
      </c>
      <c r="G701">
        <v>0.82</v>
      </c>
      <c r="H701">
        <v>247553.28</v>
      </c>
      <c r="I701" t="s">
        <v>1726</v>
      </c>
      <c r="J701">
        <v>678.18</v>
      </c>
      <c r="K701">
        <v>203454</v>
      </c>
      <c r="L701">
        <v>5721.18</v>
      </c>
      <c r="M701">
        <v>1455.92</v>
      </c>
      <c r="N701">
        <v>8324.9500000000007</v>
      </c>
      <c r="O701">
        <v>218956.05</v>
      </c>
      <c r="P701">
        <v>44099.28</v>
      </c>
      <c r="Q701">
        <v>28597.23</v>
      </c>
      <c r="R701" t="s">
        <v>65</v>
      </c>
      <c r="S701">
        <v>247553.28</v>
      </c>
      <c r="T701">
        <v>0</v>
      </c>
      <c r="U701" t="s">
        <v>73</v>
      </c>
      <c r="V701" t="s">
        <v>8</v>
      </c>
      <c r="W701" t="s">
        <v>141</v>
      </c>
      <c r="X701" t="s">
        <v>176</v>
      </c>
      <c r="Y701" t="s">
        <v>22</v>
      </c>
      <c r="Z701">
        <v>2.4</v>
      </c>
      <c r="AA701">
        <f t="shared" si="30"/>
        <v>28597.23</v>
      </c>
      <c r="AB701">
        <f t="shared" si="31"/>
        <v>0.11551949543952719</v>
      </c>
      <c r="AC701">
        <f t="shared" si="32"/>
        <v>0</v>
      </c>
      <c r="AD701">
        <v>2025</v>
      </c>
      <c r="AE701">
        <v>8</v>
      </c>
      <c r="AF701" t="s">
        <v>82</v>
      </c>
      <c r="AG701" t="s">
        <v>87</v>
      </c>
    </row>
    <row r="702" spans="1:33">
      <c r="A702" t="s">
        <v>853</v>
      </c>
      <c r="B702">
        <v>45846</v>
      </c>
      <c r="C702">
        <v>45846</v>
      </c>
      <c r="D702" t="s">
        <v>25</v>
      </c>
      <c r="E702">
        <v>50</v>
      </c>
      <c r="F702">
        <v>905.56</v>
      </c>
      <c r="G702">
        <v>2.19</v>
      </c>
      <c r="H702">
        <v>44286.41</v>
      </c>
      <c r="I702" t="s">
        <v>1728</v>
      </c>
      <c r="J702">
        <v>716.7</v>
      </c>
      <c r="K702">
        <v>35835</v>
      </c>
      <c r="L702">
        <v>743.55</v>
      </c>
      <c r="M702">
        <v>100.74</v>
      </c>
      <c r="N702">
        <v>2534.2600000000002</v>
      </c>
      <c r="O702">
        <v>39213.550000000003</v>
      </c>
      <c r="P702">
        <v>8451.41</v>
      </c>
      <c r="Q702">
        <v>5072.8599999999997</v>
      </c>
      <c r="R702" t="s">
        <v>65</v>
      </c>
      <c r="S702">
        <v>44286.41</v>
      </c>
      <c r="T702">
        <v>0</v>
      </c>
      <c r="U702" t="s">
        <v>66</v>
      </c>
      <c r="V702" t="s">
        <v>6</v>
      </c>
      <c r="W702" t="s">
        <v>92</v>
      </c>
      <c r="X702" t="s">
        <v>327</v>
      </c>
      <c r="Y702" t="s">
        <v>26</v>
      </c>
      <c r="Z702">
        <v>0.09</v>
      </c>
      <c r="AA702">
        <f t="shared" si="30"/>
        <v>5072.8599999999997</v>
      </c>
      <c r="AB702">
        <f t="shared" si="31"/>
        <v>0.11454665212194891</v>
      </c>
      <c r="AC702">
        <f t="shared" si="32"/>
        <v>0</v>
      </c>
      <c r="AD702">
        <v>2025</v>
      </c>
      <c r="AE702">
        <v>7</v>
      </c>
      <c r="AF702" t="s">
        <v>69</v>
      </c>
      <c r="AG702" t="s">
        <v>151</v>
      </c>
    </row>
    <row r="703" spans="1:33">
      <c r="A703" t="s">
        <v>854</v>
      </c>
      <c r="B703">
        <v>45284</v>
      </c>
      <c r="C703">
        <v>45298</v>
      </c>
      <c r="D703" t="s">
        <v>25</v>
      </c>
      <c r="E703">
        <v>100</v>
      </c>
      <c r="F703">
        <v>1030.03</v>
      </c>
      <c r="G703">
        <v>1.73</v>
      </c>
      <c r="H703">
        <v>101221.05</v>
      </c>
      <c r="I703" t="s">
        <v>1726</v>
      </c>
      <c r="J703">
        <v>737.03</v>
      </c>
      <c r="K703">
        <v>73703</v>
      </c>
      <c r="L703">
        <v>1958.84</v>
      </c>
      <c r="M703">
        <v>172.17</v>
      </c>
      <c r="N703">
        <v>5003.9799999999996</v>
      </c>
      <c r="O703">
        <v>80837.990000000005</v>
      </c>
      <c r="P703">
        <v>27518.05</v>
      </c>
      <c r="Q703">
        <v>20383.060000000001</v>
      </c>
      <c r="R703" t="s">
        <v>65</v>
      </c>
      <c r="S703">
        <v>101221.05</v>
      </c>
      <c r="T703">
        <v>0</v>
      </c>
      <c r="U703" t="s">
        <v>66</v>
      </c>
      <c r="V703" t="s">
        <v>14</v>
      </c>
      <c r="W703" t="s">
        <v>80</v>
      </c>
      <c r="X703" t="s">
        <v>86</v>
      </c>
      <c r="Y703" t="s">
        <v>30</v>
      </c>
      <c r="Z703">
        <v>2.2400000000000002</v>
      </c>
      <c r="AA703">
        <f t="shared" si="30"/>
        <v>20383.060000000001</v>
      </c>
      <c r="AB703">
        <f t="shared" si="31"/>
        <v>0.20137175024364992</v>
      </c>
      <c r="AC703">
        <f t="shared" si="32"/>
        <v>0</v>
      </c>
      <c r="AD703">
        <v>2023</v>
      </c>
      <c r="AE703">
        <v>12</v>
      </c>
      <c r="AF703" t="s">
        <v>98</v>
      </c>
      <c r="AG703" t="s">
        <v>232</v>
      </c>
    </row>
    <row r="704" spans="1:33">
      <c r="A704" t="s">
        <v>855</v>
      </c>
      <c r="B704">
        <v>45578</v>
      </c>
      <c r="D704" t="s">
        <v>21</v>
      </c>
      <c r="E704">
        <v>150</v>
      </c>
      <c r="F704">
        <v>948.84</v>
      </c>
      <c r="G704">
        <v>0.17</v>
      </c>
      <c r="H704">
        <v>142084.04999999999</v>
      </c>
      <c r="I704" t="s">
        <v>1728</v>
      </c>
      <c r="J704">
        <v>716.94</v>
      </c>
      <c r="K704">
        <v>107541</v>
      </c>
      <c r="L704">
        <v>2535.1</v>
      </c>
      <c r="M704">
        <v>869.54</v>
      </c>
      <c r="N704">
        <v>10510.13</v>
      </c>
      <c r="O704">
        <v>121455.77</v>
      </c>
      <c r="P704">
        <v>34543.050000000003</v>
      </c>
      <c r="Q704">
        <v>20628.28</v>
      </c>
      <c r="R704" t="s">
        <v>65</v>
      </c>
      <c r="S704">
        <v>142084.04999999999</v>
      </c>
      <c r="T704">
        <v>0</v>
      </c>
      <c r="U704" t="s">
        <v>91</v>
      </c>
      <c r="V704" t="s">
        <v>14</v>
      </c>
      <c r="W704" t="s">
        <v>92</v>
      </c>
      <c r="X704" t="s">
        <v>97</v>
      </c>
      <c r="Y704" t="s">
        <v>24</v>
      </c>
      <c r="Z704">
        <v>1.04</v>
      </c>
      <c r="AA704">
        <f t="shared" si="30"/>
        <v>20628.28</v>
      </c>
      <c r="AB704">
        <f t="shared" si="31"/>
        <v>0.14518364306197634</v>
      </c>
      <c r="AC704">
        <f t="shared" si="32"/>
        <v>0</v>
      </c>
      <c r="AD704">
        <v>2024</v>
      </c>
      <c r="AE704">
        <v>10</v>
      </c>
      <c r="AF704" t="s">
        <v>138</v>
      </c>
      <c r="AG704" t="s">
        <v>139</v>
      </c>
    </row>
    <row r="705" spans="1:33">
      <c r="A705" t="s">
        <v>856</v>
      </c>
      <c r="B705">
        <v>45540</v>
      </c>
      <c r="C705">
        <v>45540</v>
      </c>
      <c r="D705" t="s">
        <v>25</v>
      </c>
      <c r="E705">
        <v>100</v>
      </c>
      <c r="F705">
        <v>958.36</v>
      </c>
      <c r="G705">
        <v>2.31</v>
      </c>
      <c r="H705">
        <v>93622.19</v>
      </c>
      <c r="I705" t="s">
        <v>1727</v>
      </c>
      <c r="J705">
        <v>785.62</v>
      </c>
      <c r="K705">
        <v>78562</v>
      </c>
      <c r="L705">
        <v>599.08000000000004</v>
      </c>
      <c r="M705">
        <v>195.16</v>
      </c>
      <c r="N705">
        <v>2266.1799999999998</v>
      </c>
      <c r="O705">
        <v>81622.42</v>
      </c>
      <c r="P705">
        <v>15060.19</v>
      </c>
      <c r="Q705">
        <v>11999.77</v>
      </c>
      <c r="R705" t="s">
        <v>65</v>
      </c>
      <c r="S705">
        <v>93622.19</v>
      </c>
      <c r="T705">
        <v>0</v>
      </c>
      <c r="U705" t="s">
        <v>73</v>
      </c>
      <c r="V705" t="s">
        <v>8</v>
      </c>
      <c r="W705" t="s">
        <v>80</v>
      </c>
      <c r="X705" t="s">
        <v>86</v>
      </c>
      <c r="Y705" t="s">
        <v>30</v>
      </c>
      <c r="Z705">
        <v>0.84</v>
      </c>
      <c r="AA705">
        <f t="shared" si="30"/>
        <v>11999.77</v>
      </c>
      <c r="AB705">
        <f t="shared" si="31"/>
        <v>0.12817228479701234</v>
      </c>
      <c r="AC705">
        <f t="shared" si="32"/>
        <v>0</v>
      </c>
      <c r="AD705">
        <v>2024</v>
      </c>
      <c r="AE705">
        <v>9</v>
      </c>
      <c r="AF705" t="s">
        <v>131</v>
      </c>
      <c r="AG705" t="s">
        <v>188</v>
      </c>
    </row>
    <row r="706" spans="1:33">
      <c r="A706" t="s">
        <v>857</v>
      </c>
      <c r="B706">
        <v>45398</v>
      </c>
      <c r="C706">
        <v>45408</v>
      </c>
      <c r="D706" t="s">
        <v>21</v>
      </c>
      <c r="E706">
        <v>100</v>
      </c>
      <c r="F706">
        <v>873.6</v>
      </c>
      <c r="G706">
        <v>1.32</v>
      </c>
      <c r="H706">
        <v>86206.85</v>
      </c>
      <c r="I706" t="s">
        <v>1727</v>
      </c>
      <c r="J706">
        <v>661.99</v>
      </c>
      <c r="K706">
        <v>66199</v>
      </c>
      <c r="L706">
        <v>1864.67</v>
      </c>
      <c r="M706">
        <v>376</v>
      </c>
      <c r="N706">
        <v>9667.06</v>
      </c>
      <c r="O706">
        <v>78106.73</v>
      </c>
      <c r="P706">
        <v>20007.849999999999</v>
      </c>
      <c r="Q706">
        <v>8100.12</v>
      </c>
      <c r="R706" t="s">
        <v>65</v>
      </c>
      <c r="S706">
        <v>86206.85</v>
      </c>
      <c r="T706">
        <v>0</v>
      </c>
      <c r="U706" t="s">
        <v>73</v>
      </c>
      <c r="V706" t="s">
        <v>12</v>
      </c>
      <c r="W706" t="s">
        <v>74</v>
      </c>
      <c r="X706" t="s">
        <v>68</v>
      </c>
      <c r="Y706" t="s">
        <v>31</v>
      </c>
      <c r="Z706">
        <v>1.98</v>
      </c>
      <c r="AA706">
        <f t="shared" ref="AA706:AA769" si="33">ROUND(H706-O706,2)</f>
        <v>8100.12</v>
      </c>
      <c r="AB706">
        <f t="shared" ref="AB706:AB769" si="34">AA706/H706</f>
        <v>9.3961442739179071E-2</v>
      </c>
      <c r="AC706">
        <f t="shared" ref="AC706:AC769" si="35">ROUND(AA706-Q706,2)</f>
        <v>0</v>
      </c>
      <c r="AD706">
        <v>2024</v>
      </c>
      <c r="AE706">
        <v>4</v>
      </c>
      <c r="AF706" t="s">
        <v>154</v>
      </c>
      <c r="AG706" t="s">
        <v>157</v>
      </c>
    </row>
    <row r="707" spans="1:33">
      <c r="A707" t="s">
        <v>858</v>
      </c>
      <c r="B707">
        <v>45568</v>
      </c>
      <c r="C707">
        <v>45570</v>
      </c>
      <c r="D707" t="s">
        <v>21</v>
      </c>
      <c r="E707">
        <v>200</v>
      </c>
      <c r="F707">
        <v>889.14</v>
      </c>
      <c r="G707">
        <v>0.28000000000000003</v>
      </c>
      <c r="H707">
        <v>177330.08</v>
      </c>
      <c r="I707" t="s">
        <v>1726</v>
      </c>
      <c r="J707">
        <v>712.28</v>
      </c>
      <c r="K707">
        <v>142456</v>
      </c>
      <c r="L707">
        <v>2350.59</v>
      </c>
      <c r="M707">
        <v>740.48</v>
      </c>
      <c r="N707">
        <v>10242.11</v>
      </c>
      <c r="O707">
        <v>155789.18</v>
      </c>
      <c r="P707">
        <v>34874.080000000002</v>
      </c>
      <c r="Q707">
        <v>21540.9</v>
      </c>
      <c r="R707" t="s">
        <v>65</v>
      </c>
      <c r="S707">
        <v>177330.08</v>
      </c>
      <c r="T707">
        <v>0</v>
      </c>
      <c r="U707" t="s">
        <v>66</v>
      </c>
      <c r="V707" t="s">
        <v>12</v>
      </c>
      <c r="W707" t="s">
        <v>141</v>
      </c>
      <c r="X707" t="s">
        <v>208</v>
      </c>
      <c r="Y707" t="s">
        <v>26</v>
      </c>
      <c r="Z707">
        <v>2.37</v>
      </c>
      <c r="AA707">
        <f t="shared" si="33"/>
        <v>21540.9</v>
      </c>
      <c r="AB707">
        <f t="shared" si="34"/>
        <v>0.12147346913732855</v>
      </c>
      <c r="AC707">
        <f t="shared" si="35"/>
        <v>0</v>
      </c>
      <c r="AD707">
        <v>2024</v>
      </c>
      <c r="AE707">
        <v>10</v>
      </c>
      <c r="AF707" t="s">
        <v>138</v>
      </c>
      <c r="AG707" t="s">
        <v>139</v>
      </c>
    </row>
    <row r="708" spans="1:33">
      <c r="A708" t="s">
        <v>859</v>
      </c>
      <c r="B708">
        <v>45348</v>
      </c>
      <c r="C708">
        <v>45353</v>
      </c>
      <c r="D708" t="s">
        <v>29</v>
      </c>
      <c r="E708">
        <v>50</v>
      </c>
      <c r="F708">
        <v>3042.6</v>
      </c>
      <c r="G708">
        <v>2.25</v>
      </c>
      <c r="H708">
        <v>148707.07999999999</v>
      </c>
      <c r="I708" t="s">
        <v>1729</v>
      </c>
      <c r="J708">
        <v>2335.94</v>
      </c>
      <c r="K708">
        <v>116797</v>
      </c>
      <c r="L708">
        <v>301.42</v>
      </c>
      <c r="M708">
        <v>133.79</v>
      </c>
      <c r="N708">
        <v>1593.41</v>
      </c>
      <c r="O708">
        <v>118825.62</v>
      </c>
      <c r="P708">
        <v>31910.080000000002</v>
      </c>
      <c r="Q708">
        <v>29881.46</v>
      </c>
      <c r="R708" t="s">
        <v>85</v>
      </c>
      <c r="S708">
        <v>77742.41</v>
      </c>
      <c r="T708">
        <v>70964.67</v>
      </c>
      <c r="U708" t="s">
        <v>66</v>
      </c>
      <c r="V708" t="s">
        <v>10</v>
      </c>
      <c r="W708" t="s">
        <v>67</v>
      </c>
      <c r="X708" t="s">
        <v>150</v>
      </c>
      <c r="Y708" t="s">
        <v>30</v>
      </c>
      <c r="Z708">
        <v>0.45</v>
      </c>
      <c r="AA708">
        <f t="shared" si="33"/>
        <v>29881.46</v>
      </c>
      <c r="AB708">
        <f t="shared" si="34"/>
        <v>0.20094174399766307</v>
      </c>
      <c r="AC708">
        <f t="shared" si="35"/>
        <v>0</v>
      </c>
      <c r="AD708">
        <v>2024</v>
      </c>
      <c r="AE708">
        <v>2</v>
      </c>
      <c r="AF708" t="s">
        <v>172</v>
      </c>
      <c r="AG708" t="s">
        <v>173</v>
      </c>
    </row>
    <row r="709" spans="1:33">
      <c r="A709" t="s">
        <v>860</v>
      </c>
      <c r="B709">
        <v>45366</v>
      </c>
      <c r="C709">
        <v>45372</v>
      </c>
      <c r="D709" t="s">
        <v>25</v>
      </c>
      <c r="E709">
        <v>200</v>
      </c>
      <c r="F709">
        <v>1034.58</v>
      </c>
      <c r="G709">
        <v>2.42</v>
      </c>
      <c r="H709">
        <v>201908.63</v>
      </c>
      <c r="I709" t="s">
        <v>1726</v>
      </c>
      <c r="J709">
        <v>770.24</v>
      </c>
      <c r="K709">
        <v>154048</v>
      </c>
      <c r="L709">
        <v>1607.83</v>
      </c>
      <c r="M709">
        <v>1027.1099999999999</v>
      </c>
      <c r="N709">
        <v>10888.75</v>
      </c>
      <c r="O709">
        <v>167571.69</v>
      </c>
      <c r="P709">
        <v>47860.63</v>
      </c>
      <c r="Q709">
        <v>34336.94</v>
      </c>
      <c r="R709" t="s">
        <v>65</v>
      </c>
      <c r="S709">
        <v>201908.63</v>
      </c>
      <c r="T709">
        <v>0</v>
      </c>
      <c r="U709" t="s">
        <v>73</v>
      </c>
      <c r="V709" t="s">
        <v>8</v>
      </c>
      <c r="W709" t="s">
        <v>74</v>
      </c>
      <c r="X709" t="s">
        <v>123</v>
      </c>
      <c r="Y709" t="s">
        <v>22</v>
      </c>
      <c r="Z709">
        <v>1.1399999999999999</v>
      </c>
      <c r="AA709">
        <f t="shared" si="33"/>
        <v>34336.94</v>
      </c>
      <c r="AB709">
        <f t="shared" si="34"/>
        <v>0.17006177497217431</v>
      </c>
      <c r="AC709">
        <f t="shared" si="35"/>
        <v>0</v>
      </c>
      <c r="AD709">
        <v>2024</v>
      </c>
      <c r="AE709">
        <v>3</v>
      </c>
      <c r="AF709" t="s">
        <v>105</v>
      </c>
      <c r="AG709" t="s">
        <v>120</v>
      </c>
    </row>
    <row r="710" spans="1:33">
      <c r="A710" t="s">
        <v>861</v>
      </c>
      <c r="B710">
        <v>45749</v>
      </c>
      <c r="C710">
        <v>45761</v>
      </c>
      <c r="D710" t="s">
        <v>23</v>
      </c>
      <c r="E710">
        <v>500</v>
      </c>
      <c r="F710">
        <v>1302.3499999999999</v>
      </c>
      <c r="G710">
        <v>0.49</v>
      </c>
      <c r="H710">
        <v>647984.24</v>
      </c>
      <c r="I710" t="s">
        <v>1726</v>
      </c>
      <c r="J710">
        <v>977.23</v>
      </c>
      <c r="K710">
        <v>488615</v>
      </c>
      <c r="L710">
        <v>9685.89</v>
      </c>
      <c r="M710">
        <v>2221.2399999999998</v>
      </c>
      <c r="N710">
        <v>2985.33</v>
      </c>
      <c r="O710">
        <v>503507.46</v>
      </c>
      <c r="P710">
        <v>159369.24</v>
      </c>
      <c r="Q710">
        <v>144476.78</v>
      </c>
      <c r="R710" t="s">
        <v>65</v>
      </c>
      <c r="S710">
        <v>647984.24</v>
      </c>
      <c r="T710">
        <v>0</v>
      </c>
      <c r="U710" t="s">
        <v>73</v>
      </c>
      <c r="V710" t="s">
        <v>16</v>
      </c>
      <c r="W710" t="s">
        <v>67</v>
      </c>
      <c r="X710" t="s">
        <v>150</v>
      </c>
      <c r="Y710" t="s">
        <v>30</v>
      </c>
      <c r="Z710">
        <v>2.37</v>
      </c>
      <c r="AA710">
        <f t="shared" si="33"/>
        <v>144476.78</v>
      </c>
      <c r="AB710">
        <f t="shared" si="34"/>
        <v>0.222963416517661</v>
      </c>
      <c r="AC710">
        <f t="shared" si="35"/>
        <v>0</v>
      </c>
      <c r="AD710">
        <v>2025</v>
      </c>
      <c r="AE710">
        <v>4</v>
      </c>
      <c r="AF710" t="s">
        <v>154</v>
      </c>
      <c r="AG710" t="s">
        <v>155</v>
      </c>
    </row>
    <row r="711" spans="1:33">
      <c r="A711" t="s">
        <v>862</v>
      </c>
      <c r="B711">
        <v>45565</v>
      </c>
      <c r="C711">
        <v>45579</v>
      </c>
      <c r="D711" t="s">
        <v>23</v>
      </c>
      <c r="E711">
        <v>100</v>
      </c>
      <c r="F711">
        <v>1398.3</v>
      </c>
      <c r="G711">
        <v>1.7</v>
      </c>
      <c r="H711">
        <v>137452.89000000001</v>
      </c>
      <c r="I711" t="s">
        <v>1726</v>
      </c>
      <c r="J711">
        <v>1077.08</v>
      </c>
      <c r="K711">
        <v>107708</v>
      </c>
      <c r="L711">
        <v>2000.09</v>
      </c>
      <c r="M711">
        <v>301.87</v>
      </c>
      <c r="N711">
        <v>4492.45</v>
      </c>
      <c r="O711">
        <v>114502.41</v>
      </c>
      <c r="P711">
        <v>29744.89</v>
      </c>
      <c r="Q711">
        <v>22950.48</v>
      </c>
      <c r="R711" t="s">
        <v>134</v>
      </c>
      <c r="S711">
        <v>0</v>
      </c>
      <c r="T711">
        <v>137452.89000000001</v>
      </c>
      <c r="U711" t="s">
        <v>73</v>
      </c>
      <c r="V711" t="s">
        <v>10</v>
      </c>
      <c r="W711" t="s">
        <v>74</v>
      </c>
      <c r="X711" t="s">
        <v>327</v>
      </c>
      <c r="Y711" t="s">
        <v>26</v>
      </c>
      <c r="Z711">
        <v>1.28</v>
      </c>
      <c r="AA711">
        <f t="shared" si="33"/>
        <v>22950.48</v>
      </c>
      <c r="AB711">
        <f t="shared" si="34"/>
        <v>0.16696978870360599</v>
      </c>
      <c r="AC711">
        <f t="shared" si="35"/>
        <v>0</v>
      </c>
      <c r="AD711">
        <v>2024</v>
      </c>
      <c r="AE711">
        <v>9</v>
      </c>
      <c r="AF711" t="s">
        <v>131</v>
      </c>
      <c r="AG711" t="s">
        <v>188</v>
      </c>
    </row>
    <row r="712" spans="1:33">
      <c r="A712" t="s">
        <v>863</v>
      </c>
      <c r="B712">
        <v>45993</v>
      </c>
      <c r="C712">
        <v>46006</v>
      </c>
      <c r="D712" t="s">
        <v>25</v>
      </c>
      <c r="E712">
        <v>1200</v>
      </c>
      <c r="F712">
        <v>1055.19</v>
      </c>
      <c r="G712">
        <v>3.69</v>
      </c>
      <c r="H712">
        <v>1219504.19</v>
      </c>
      <c r="I712" t="s">
        <v>1727</v>
      </c>
      <c r="J712">
        <v>760.34</v>
      </c>
      <c r="K712">
        <v>912408</v>
      </c>
      <c r="L712">
        <v>15238.69</v>
      </c>
      <c r="M712">
        <v>6484.13</v>
      </c>
      <c r="N712">
        <v>7108.21</v>
      </c>
      <c r="O712">
        <v>941239.03</v>
      </c>
      <c r="P712">
        <v>307096.19</v>
      </c>
      <c r="Q712">
        <v>278265.15999999997</v>
      </c>
      <c r="R712" t="s">
        <v>134</v>
      </c>
      <c r="S712">
        <v>0</v>
      </c>
      <c r="T712">
        <v>1219504.19</v>
      </c>
      <c r="U712" t="s">
        <v>73</v>
      </c>
      <c r="V712" t="s">
        <v>6</v>
      </c>
      <c r="W712" t="s">
        <v>141</v>
      </c>
      <c r="X712" t="s">
        <v>327</v>
      </c>
      <c r="Y712" t="s">
        <v>26</v>
      </c>
      <c r="Z712">
        <v>0.32</v>
      </c>
      <c r="AA712">
        <f t="shared" si="33"/>
        <v>278265.15999999997</v>
      </c>
      <c r="AB712">
        <f t="shared" si="34"/>
        <v>0.2281789290121258</v>
      </c>
      <c r="AC712">
        <f t="shared" si="35"/>
        <v>0</v>
      </c>
      <c r="AD712">
        <v>2025</v>
      </c>
      <c r="AE712">
        <v>12</v>
      </c>
      <c r="AF712" t="s">
        <v>98</v>
      </c>
      <c r="AG712" t="s">
        <v>168</v>
      </c>
    </row>
    <row r="713" spans="1:33">
      <c r="A713" t="s">
        <v>864</v>
      </c>
      <c r="B713">
        <v>45841</v>
      </c>
      <c r="D713" t="s">
        <v>21</v>
      </c>
      <c r="E713">
        <v>300</v>
      </c>
      <c r="F713">
        <v>868.45</v>
      </c>
      <c r="G713">
        <v>0.89</v>
      </c>
      <c r="H713">
        <v>258216.24</v>
      </c>
      <c r="I713" t="s">
        <v>1726</v>
      </c>
      <c r="J713">
        <v>666.9</v>
      </c>
      <c r="K713">
        <v>200070</v>
      </c>
      <c r="L713">
        <v>3291.45</v>
      </c>
      <c r="M713">
        <v>1385.03</v>
      </c>
      <c r="N713">
        <v>10549.83</v>
      </c>
      <c r="O713">
        <v>215296.31</v>
      </c>
      <c r="P713">
        <v>58146.239999999998</v>
      </c>
      <c r="Q713">
        <v>42919.93</v>
      </c>
      <c r="R713" t="s">
        <v>65</v>
      </c>
      <c r="S713">
        <v>258216.24</v>
      </c>
      <c r="T713">
        <v>0</v>
      </c>
      <c r="U713" t="s">
        <v>91</v>
      </c>
      <c r="V713" t="s">
        <v>6</v>
      </c>
      <c r="W713" t="s">
        <v>141</v>
      </c>
      <c r="X713" t="s">
        <v>115</v>
      </c>
      <c r="Y713" t="s">
        <v>22</v>
      </c>
      <c r="Z713">
        <v>0.78</v>
      </c>
      <c r="AA713">
        <f t="shared" si="33"/>
        <v>42919.93</v>
      </c>
      <c r="AB713">
        <f t="shared" si="34"/>
        <v>0.16621700478637597</v>
      </c>
      <c r="AC713">
        <f t="shared" si="35"/>
        <v>0</v>
      </c>
      <c r="AD713">
        <v>2025</v>
      </c>
      <c r="AE713">
        <v>7</v>
      </c>
      <c r="AF713" t="s">
        <v>69</v>
      </c>
      <c r="AG713" t="s">
        <v>151</v>
      </c>
    </row>
    <row r="714" spans="1:33">
      <c r="A714" t="s">
        <v>865</v>
      </c>
      <c r="B714">
        <v>45916</v>
      </c>
      <c r="C714">
        <v>45923</v>
      </c>
      <c r="D714" t="s">
        <v>21</v>
      </c>
      <c r="E714">
        <v>150</v>
      </c>
      <c r="F714">
        <v>848.37</v>
      </c>
      <c r="G714">
        <v>0.85</v>
      </c>
      <c r="H714">
        <v>126173.83</v>
      </c>
      <c r="I714" t="s">
        <v>1726</v>
      </c>
      <c r="J714">
        <v>672.19</v>
      </c>
      <c r="K714">
        <v>100828.5</v>
      </c>
      <c r="L714">
        <v>2430.46</v>
      </c>
      <c r="M714">
        <v>361.09</v>
      </c>
      <c r="N714">
        <v>5202.8</v>
      </c>
      <c r="O714">
        <v>108822.85</v>
      </c>
      <c r="P714">
        <v>25345.33</v>
      </c>
      <c r="Q714">
        <v>17350.98</v>
      </c>
      <c r="R714" t="s">
        <v>85</v>
      </c>
      <c r="S714">
        <v>78591.520000000004</v>
      </c>
      <c r="T714">
        <v>47582.31</v>
      </c>
      <c r="U714" t="s">
        <v>66</v>
      </c>
      <c r="V714" t="s">
        <v>12</v>
      </c>
      <c r="W714" t="s">
        <v>74</v>
      </c>
      <c r="X714" t="s">
        <v>208</v>
      </c>
      <c r="Y714" t="s">
        <v>26</v>
      </c>
      <c r="Z714">
        <v>1.26</v>
      </c>
      <c r="AA714">
        <f t="shared" si="33"/>
        <v>17350.98</v>
      </c>
      <c r="AB714">
        <f t="shared" si="34"/>
        <v>0.13751647231442526</v>
      </c>
      <c r="AC714">
        <f t="shared" si="35"/>
        <v>0</v>
      </c>
      <c r="AD714">
        <v>2025</v>
      </c>
      <c r="AE714">
        <v>9</v>
      </c>
      <c r="AF714" t="s">
        <v>131</v>
      </c>
      <c r="AG714" t="s">
        <v>132</v>
      </c>
    </row>
    <row r="715" spans="1:33">
      <c r="A715" t="s">
        <v>866</v>
      </c>
      <c r="B715">
        <v>45461</v>
      </c>
      <c r="C715">
        <v>45469</v>
      </c>
      <c r="D715" t="s">
        <v>21</v>
      </c>
      <c r="E715">
        <v>1000</v>
      </c>
      <c r="F715">
        <v>898.03</v>
      </c>
      <c r="G715">
        <v>2.68</v>
      </c>
      <c r="H715">
        <v>873962.8</v>
      </c>
      <c r="I715" t="s">
        <v>1726</v>
      </c>
      <c r="J715">
        <v>677.94</v>
      </c>
      <c r="K715">
        <v>677940</v>
      </c>
      <c r="L715">
        <v>16884.95</v>
      </c>
      <c r="M715">
        <v>4917.13</v>
      </c>
      <c r="N715">
        <v>2634.01</v>
      </c>
      <c r="O715">
        <v>702376.09</v>
      </c>
      <c r="P715">
        <v>196022.8</v>
      </c>
      <c r="Q715">
        <v>171586.71</v>
      </c>
      <c r="R715" t="s">
        <v>65</v>
      </c>
      <c r="S715">
        <v>873962.8</v>
      </c>
      <c r="T715">
        <v>0</v>
      </c>
      <c r="U715" t="s">
        <v>66</v>
      </c>
      <c r="V715" t="s">
        <v>6</v>
      </c>
      <c r="W715" t="s">
        <v>74</v>
      </c>
      <c r="X715" t="s">
        <v>164</v>
      </c>
      <c r="Y715" t="s">
        <v>24</v>
      </c>
      <c r="Z715">
        <v>1.4</v>
      </c>
      <c r="AA715">
        <f t="shared" si="33"/>
        <v>171586.71</v>
      </c>
      <c r="AB715">
        <f t="shared" si="34"/>
        <v>0.19633182327668863</v>
      </c>
      <c r="AC715">
        <f t="shared" si="35"/>
        <v>0</v>
      </c>
      <c r="AD715">
        <v>2024</v>
      </c>
      <c r="AE715">
        <v>6</v>
      </c>
      <c r="AF715" t="s">
        <v>111</v>
      </c>
      <c r="AG715" t="s">
        <v>148</v>
      </c>
    </row>
    <row r="716" spans="1:33">
      <c r="A716" t="s">
        <v>867</v>
      </c>
      <c r="B716">
        <v>45601</v>
      </c>
      <c r="C716">
        <v>45610</v>
      </c>
      <c r="D716" t="s">
        <v>23</v>
      </c>
      <c r="E716">
        <v>200</v>
      </c>
      <c r="F716">
        <v>1279.77</v>
      </c>
      <c r="G716">
        <v>1.81</v>
      </c>
      <c r="H716">
        <v>251321.23</v>
      </c>
      <c r="I716" t="s">
        <v>1727</v>
      </c>
      <c r="J716">
        <v>1056.9100000000001</v>
      </c>
      <c r="K716">
        <v>211382</v>
      </c>
      <c r="L716">
        <v>2223.15</v>
      </c>
      <c r="M716">
        <v>820.54</v>
      </c>
      <c r="N716">
        <v>3582.33</v>
      </c>
      <c r="O716">
        <v>218008.02</v>
      </c>
      <c r="P716">
        <v>39939.230000000003</v>
      </c>
      <c r="Q716">
        <v>33313.21</v>
      </c>
      <c r="R716" t="s">
        <v>65</v>
      </c>
      <c r="S716">
        <v>251321.23</v>
      </c>
      <c r="T716">
        <v>0</v>
      </c>
      <c r="U716" t="s">
        <v>73</v>
      </c>
      <c r="V716" t="s">
        <v>8</v>
      </c>
      <c r="W716" t="s">
        <v>141</v>
      </c>
      <c r="X716" t="s">
        <v>208</v>
      </c>
      <c r="Y716" t="s">
        <v>26</v>
      </c>
      <c r="Z716">
        <v>1.76</v>
      </c>
      <c r="AA716">
        <f t="shared" si="33"/>
        <v>33313.21</v>
      </c>
      <c r="AB716">
        <f t="shared" si="34"/>
        <v>0.13255231163718242</v>
      </c>
      <c r="AC716">
        <f t="shared" si="35"/>
        <v>0</v>
      </c>
      <c r="AD716">
        <v>2024</v>
      </c>
      <c r="AE716">
        <v>11</v>
      </c>
      <c r="AF716" t="s">
        <v>128</v>
      </c>
      <c r="AG716" t="s">
        <v>129</v>
      </c>
    </row>
    <row r="717" spans="1:33">
      <c r="A717" t="s">
        <v>868</v>
      </c>
      <c r="B717">
        <v>45584</v>
      </c>
      <c r="C717">
        <v>45598</v>
      </c>
      <c r="D717" t="s">
        <v>23</v>
      </c>
      <c r="E717">
        <v>750</v>
      </c>
      <c r="F717">
        <v>1245.6199999999999</v>
      </c>
      <c r="G717">
        <v>3.73</v>
      </c>
      <c r="H717">
        <v>899368.78</v>
      </c>
      <c r="I717" t="s">
        <v>1727</v>
      </c>
      <c r="J717">
        <v>1011.58</v>
      </c>
      <c r="K717">
        <v>758685</v>
      </c>
      <c r="L717">
        <v>14125.01</v>
      </c>
      <c r="M717">
        <v>2247.66</v>
      </c>
      <c r="N717">
        <v>3998.73</v>
      </c>
      <c r="O717">
        <v>779056.4</v>
      </c>
      <c r="P717">
        <v>140683.78</v>
      </c>
      <c r="Q717">
        <v>120312.38</v>
      </c>
      <c r="R717" t="s">
        <v>85</v>
      </c>
      <c r="S717">
        <v>676925.59</v>
      </c>
      <c r="T717">
        <v>222443.19</v>
      </c>
      <c r="U717" t="s">
        <v>66</v>
      </c>
      <c r="V717" t="s">
        <v>16</v>
      </c>
      <c r="W717" t="s">
        <v>74</v>
      </c>
      <c r="X717" t="s">
        <v>142</v>
      </c>
      <c r="Y717" t="s">
        <v>28</v>
      </c>
      <c r="Z717">
        <v>0.02</v>
      </c>
      <c r="AA717">
        <f t="shared" si="33"/>
        <v>120312.38</v>
      </c>
      <c r="AB717">
        <f t="shared" si="34"/>
        <v>0.13377424553251671</v>
      </c>
      <c r="AC717">
        <f t="shared" si="35"/>
        <v>0</v>
      </c>
      <c r="AD717">
        <v>2024</v>
      </c>
      <c r="AE717">
        <v>10</v>
      </c>
      <c r="AF717" t="s">
        <v>138</v>
      </c>
      <c r="AG717" t="s">
        <v>139</v>
      </c>
    </row>
    <row r="718" spans="1:33">
      <c r="A718" t="s">
        <v>869</v>
      </c>
      <c r="B718">
        <v>45535</v>
      </c>
      <c r="C718">
        <v>45541</v>
      </c>
      <c r="D718" t="s">
        <v>21</v>
      </c>
      <c r="E718">
        <v>200</v>
      </c>
      <c r="F718">
        <v>911.23</v>
      </c>
      <c r="G718">
        <v>2.48</v>
      </c>
      <c r="H718">
        <v>177726.3</v>
      </c>
      <c r="I718" t="s">
        <v>1726</v>
      </c>
      <c r="J718">
        <v>692.81</v>
      </c>
      <c r="K718">
        <v>138562</v>
      </c>
      <c r="L718">
        <v>3560</v>
      </c>
      <c r="M718">
        <v>659.72</v>
      </c>
      <c r="N718">
        <v>9253.7099999999991</v>
      </c>
      <c r="O718">
        <v>152035.43</v>
      </c>
      <c r="P718">
        <v>39164.300000000003</v>
      </c>
      <c r="Q718">
        <v>25690.87</v>
      </c>
      <c r="R718" t="s">
        <v>65</v>
      </c>
      <c r="S718">
        <v>177726.3</v>
      </c>
      <c r="T718">
        <v>0</v>
      </c>
      <c r="U718" t="s">
        <v>66</v>
      </c>
      <c r="V718" t="s">
        <v>8</v>
      </c>
      <c r="W718" t="s">
        <v>74</v>
      </c>
      <c r="X718" t="s">
        <v>101</v>
      </c>
      <c r="Y718" t="s">
        <v>22</v>
      </c>
      <c r="Z718">
        <v>1.05</v>
      </c>
      <c r="AA718">
        <f t="shared" si="33"/>
        <v>25690.87</v>
      </c>
      <c r="AB718">
        <f t="shared" si="34"/>
        <v>0.14455300087831682</v>
      </c>
      <c r="AC718">
        <f t="shared" si="35"/>
        <v>0</v>
      </c>
      <c r="AD718">
        <v>2024</v>
      </c>
      <c r="AE718">
        <v>8</v>
      </c>
      <c r="AF718" t="s">
        <v>82</v>
      </c>
      <c r="AG718" t="s">
        <v>83</v>
      </c>
    </row>
    <row r="719" spans="1:33">
      <c r="A719" t="s">
        <v>870</v>
      </c>
      <c r="B719">
        <v>45431</v>
      </c>
      <c r="C719">
        <v>45439</v>
      </c>
      <c r="D719" t="s">
        <v>23</v>
      </c>
      <c r="E719">
        <v>300</v>
      </c>
      <c r="F719">
        <v>1262.3900000000001</v>
      </c>
      <c r="G719">
        <v>2.2200000000000002</v>
      </c>
      <c r="H719">
        <v>370309.48</v>
      </c>
      <c r="I719" t="s">
        <v>1727</v>
      </c>
      <c r="J719">
        <v>999.02</v>
      </c>
      <c r="K719">
        <v>299706</v>
      </c>
      <c r="L719">
        <v>3909.74</v>
      </c>
      <c r="M719">
        <v>1539.49</v>
      </c>
      <c r="N719">
        <v>9216.07</v>
      </c>
      <c r="O719">
        <v>314371.3</v>
      </c>
      <c r="P719">
        <v>70603.48</v>
      </c>
      <c r="Q719">
        <v>55938.18</v>
      </c>
      <c r="R719" t="s">
        <v>65</v>
      </c>
      <c r="S719">
        <v>370309.48</v>
      </c>
      <c r="T719">
        <v>0</v>
      </c>
      <c r="U719" t="s">
        <v>66</v>
      </c>
      <c r="V719" t="s">
        <v>6</v>
      </c>
      <c r="W719" t="s">
        <v>80</v>
      </c>
      <c r="X719" t="s">
        <v>164</v>
      </c>
      <c r="Y719" t="s">
        <v>24</v>
      </c>
      <c r="Z719">
        <v>1.74</v>
      </c>
      <c r="AA719">
        <f t="shared" si="33"/>
        <v>55938.18</v>
      </c>
      <c r="AB719">
        <f t="shared" si="34"/>
        <v>0.15105792052636621</v>
      </c>
      <c r="AC719">
        <f t="shared" si="35"/>
        <v>0</v>
      </c>
      <c r="AD719">
        <v>2024</v>
      </c>
      <c r="AE719">
        <v>5</v>
      </c>
      <c r="AF719" t="s">
        <v>76</v>
      </c>
      <c r="AG719" t="s">
        <v>77</v>
      </c>
    </row>
    <row r="720" spans="1:33">
      <c r="A720" t="s">
        <v>871</v>
      </c>
      <c r="B720">
        <v>45604</v>
      </c>
      <c r="C720">
        <v>45611</v>
      </c>
      <c r="D720" t="s">
        <v>25</v>
      </c>
      <c r="E720">
        <v>300</v>
      </c>
      <c r="F720">
        <v>1028.1600000000001</v>
      </c>
      <c r="G720">
        <v>1.4</v>
      </c>
      <c r="H720">
        <v>304129.73</v>
      </c>
      <c r="I720" t="s">
        <v>1726</v>
      </c>
      <c r="J720">
        <v>825.99</v>
      </c>
      <c r="K720">
        <v>247797</v>
      </c>
      <c r="L720">
        <v>2406.8200000000002</v>
      </c>
      <c r="M720">
        <v>900.71</v>
      </c>
      <c r="N720">
        <v>8733.18</v>
      </c>
      <c r="O720">
        <v>259837.71</v>
      </c>
      <c r="P720">
        <v>56332.73</v>
      </c>
      <c r="Q720">
        <v>44292.02</v>
      </c>
      <c r="R720" t="s">
        <v>85</v>
      </c>
      <c r="S720">
        <v>103222.23</v>
      </c>
      <c r="T720">
        <v>200907.5</v>
      </c>
      <c r="U720" t="s">
        <v>66</v>
      </c>
      <c r="V720" t="s">
        <v>16</v>
      </c>
      <c r="W720" t="s">
        <v>74</v>
      </c>
      <c r="X720" t="s">
        <v>205</v>
      </c>
      <c r="Y720" t="s">
        <v>24</v>
      </c>
      <c r="Z720">
        <v>1.78</v>
      </c>
      <c r="AA720">
        <f t="shared" si="33"/>
        <v>44292.02</v>
      </c>
      <c r="AB720">
        <f t="shared" si="34"/>
        <v>0.14563528531064687</v>
      </c>
      <c r="AC720">
        <f t="shared" si="35"/>
        <v>0</v>
      </c>
      <c r="AD720">
        <v>2024</v>
      </c>
      <c r="AE720">
        <v>11</v>
      </c>
      <c r="AF720" t="s">
        <v>128</v>
      </c>
      <c r="AG720" t="s">
        <v>129</v>
      </c>
    </row>
    <row r="721" spans="1:33">
      <c r="A721" t="s">
        <v>872</v>
      </c>
      <c r="B721">
        <v>45976</v>
      </c>
      <c r="C721">
        <v>45980</v>
      </c>
      <c r="D721" t="s">
        <v>23</v>
      </c>
      <c r="E721">
        <v>500</v>
      </c>
      <c r="F721">
        <v>1324.9</v>
      </c>
      <c r="G721">
        <v>2.5</v>
      </c>
      <c r="H721">
        <v>645888.75</v>
      </c>
      <c r="I721" t="s">
        <v>1726</v>
      </c>
      <c r="J721">
        <v>990.04</v>
      </c>
      <c r="K721">
        <v>495020</v>
      </c>
      <c r="L721">
        <v>4119.3</v>
      </c>
      <c r="M721">
        <v>1684.35</v>
      </c>
      <c r="N721">
        <v>4328.43</v>
      </c>
      <c r="O721">
        <v>505152.08</v>
      </c>
      <c r="P721">
        <v>150868.75</v>
      </c>
      <c r="Q721">
        <v>140736.67000000001</v>
      </c>
      <c r="R721" t="s">
        <v>65</v>
      </c>
      <c r="S721">
        <v>645888.75</v>
      </c>
      <c r="T721">
        <v>0</v>
      </c>
      <c r="U721" t="s">
        <v>73</v>
      </c>
      <c r="V721" t="s">
        <v>6</v>
      </c>
      <c r="W721" t="s">
        <v>92</v>
      </c>
      <c r="X721" t="s">
        <v>205</v>
      </c>
      <c r="Y721" t="s">
        <v>24</v>
      </c>
      <c r="Z721">
        <v>1.85</v>
      </c>
      <c r="AA721">
        <f t="shared" si="33"/>
        <v>140736.67000000001</v>
      </c>
      <c r="AB721">
        <f t="shared" si="34"/>
        <v>0.21789614697577564</v>
      </c>
      <c r="AC721">
        <f t="shared" si="35"/>
        <v>0</v>
      </c>
      <c r="AD721">
        <v>2025</v>
      </c>
      <c r="AE721">
        <v>11</v>
      </c>
      <c r="AF721" t="s">
        <v>128</v>
      </c>
      <c r="AG721" t="s">
        <v>135</v>
      </c>
    </row>
    <row r="722" spans="1:33">
      <c r="A722" t="s">
        <v>873</v>
      </c>
      <c r="B722">
        <v>45694</v>
      </c>
      <c r="C722">
        <v>45706</v>
      </c>
      <c r="D722" t="s">
        <v>21</v>
      </c>
      <c r="E722">
        <v>500</v>
      </c>
      <c r="F722">
        <v>805.6</v>
      </c>
      <c r="G722">
        <v>2.37</v>
      </c>
      <c r="H722">
        <v>393253.64</v>
      </c>
      <c r="I722" t="s">
        <v>1726</v>
      </c>
      <c r="J722">
        <v>719.74</v>
      </c>
      <c r="K722">
        <v>359870</v>
      </c>
      <c r="L722">
        <v>5388</v>
      </c>
      <c r="M722">
        <v>1681.08</v>
      </c>
      <c r="N722">
        <v>3589.99</v>
      </c>
      <c r="O722">
        <v>370529.07</v>
      </c>
      <c r="P722">
        <v>33383.64</v>
      </c>
      <c r="Q722">
        <v>22724.57</v>
      </c>
      <c r="R722" t="s">
        <v>65</v>
      </c>
      <c r="S722">
        <v>393253.64</v>
      </c>
      <c r="T722">
        <v>0</v>
      </c>
      <c r="U722" t="s">
        <v>66</v>
      </c>
      <c r="V722" t="s">
        <v>6</v>
      </c>
      <c r="W722" t="s">
        <v>92</v>
      </c>
      <c r="X722" t="s">
        <v>375</v>
      </c>
      <c r="Y722" t="s">
        <v>30</v>
      </c>
      <c r="Z722">
        <v>0.03</v>
      </c>
      <c r="AA722">
        <f t="shared" si="33"/>
        <v>22724.57</v>
      </c>
      <c r="AB722">
        <f t="shared" si="34"/>
        <v>5.7786038547538936E-2</v>
      </c>
      <c r="AC722">
        <f t="shared" si="35"/>
        <v>0</v>
      </c>
      <c r="AD722">
        <v>2025</v>
      </c>
      <c r="AE722">
        <v>2</v>
      </c>
      <c r="AF722" t="s">
        <v>172</v>
      </c>
      <c r="AG722" t="s">
        <v>244</v>
      </c>
    </row>
    <row r="723" spans="1:33">
      <c r="A723" t="s">
        <v>874</v>
      </c>
      <c r="B723">
        <v>45865</v>
      </c>
      <c r="C723">
        <v>45876</v>
      </c>
      <c r="D723" t="s">
        <v>21</v>
      </c>
      <c r="E723">
        <v>150</v>
      </c>
      <c r="F723">
        <v>853.95</v>
      </c>
      <c r="G723">
        <v>2.0499999999999998</v>
      </c>
      <c r="H723">
        <v>125466.6</v>
      </c>
      <c r="I723" t="s">
        <v>1726</v>
      </c>
      <c r="J723">
        <v>728.17</v>
      </c>
      <c r="K723">
        <v>109225.5</v>
      </c>
      <c r="L723">
        <v>3086.39</v>
      </c>
      <c r="M723">
        <v>491.71</v>
      </c>
      <c r="N723">
        <v>10218.219999999999</v>
      </c>
      <c r="O723">
        <v>123021.82</v>
      </c>
      <c r="P723">
        <v>16241.1</v>
      </c>
      <c r="Q723">
        <v>2444.7800000000002</v>
      </c>
      <c r="R723" t="s">
        <v>65</v>
      </c>
      <c r="S723">
        <v>125466.6</v>
      </c>
      <c r="T723">
        <v>0</v>
      </c>
      <c r="U723" t="s">
        <v>66</v>
      </c>
      <c r="V723" t="s">
        <v>16</v>
      </c>
      <c r="W723" t="s">
        <v>74</v>
      </c>
      <c r="X723" t="s">
        <v>285</v>
      </c>
      <c r="Y723" t="s">
        <v>28</v>
      </c>
      <c r="Z723">
        <v>2.0699999999999998</v>
      </c>
      <c r="AA723">
        <f t="shared" si="33"/>
        <v>2444.7800000000002</v>
      </c>
      <c r="AB723">
        <f t="shared" si="34"/>
        <v>1.9485504508769666E-2</v>
      </c>
      <c r="AC723">
        <f t="shared" si="35"/>
        <v>0</v>
      </c>
      <c r="AD723">
        <v>2025</v>
      </c>
      <c r="AE723">
        <v>7</v>
      </c>
      <c r="AF723" t="s">
        <v>69</v>
      </c>
      <c r="AG723" t="s">
        <v>151</v>
      </c>
    </row>
    <row r="724" spans="1:33">
      <c r="A724" t="s">
        <v>875</v>
      </c>
      <c r="B724">
        <v>46006</v>
      </c>
      <c r="C724">
        <v>46018</v>
      </c>
      <c r="D724" t="s">
        <v>23</v>
      </c>
      <c r="E724">
        <v>750</v>
      </c>
      <c r="F724">
        <v>1443.33</v>
      </c>
      <c r="G724">
        <v>2.8</v>
      </c>
      <c r="H724">
        <v>1052187.57</v>
      </c>
      <c r="I724" t="s">
        <v>1728</v>
      </c>
      <c r="J724">
        <v>1055.25</v>
      </c>
      <c r="K724">
        <v>791437.5</v>
      </c>
      <c r="L724">
        <v>5529.14</v>
      </c>
      <c r="M724">
        <v>2341.86</v>
      </c>
      <c r="N724">
        <v>10826.61</v>
      </c>
      <c r="O724">
        <v>810135.11</v>
      </c>
      <c r="P724">
        <v>260750.07</v>
      </c>
      <c r="Q724">
        <v>242052.46</v>
      </c>
      <c r="R724" t="s">
        <v>134</v>
      </c>
      <c r="S724">
        <v>0</v>
      </c>
      <c r="T724">
        <v>1052187.57</v>
      </c>
      <c r="U724" t="s">
        <v>66</v>
      </c>
      <c r="V724" t="s">
        <v>14</v>
      </c>
      <c r="W724" t="s">
        <v>80</v>
      </c>
      <c r="X724" t="s">
        <v>123</v>
      </c>
      <c r="Y724" t="s">
        <v>22</v>
      </c>
      <c r="Z724">
        <v>0.34</v>
      </c>
      <c r="AA724">
        <f t="shared" si="33"/>
        <v>242052.46</v>
      </c>
      <c r="AB724">
        <f t="shared" si="34"/>
        <v>0.23004687272631436</v>
      </c>
      <c r="AC724">
        <f t="shared" si="35"/>
        <v>0</v>
      </c>
      <c r="AD724">
        <v>2025</v>
      </c>
      <c r="AE724">
        <v>12</v>
      </c>
      <c r="AF724" t="s">
        <v>98</v>
      </c>
      <c r="AG724" t="s">
        <v>168</v>
      </c>
    </row>
    <row r="725" spans="1:33">
      <c r="A725" t="s">
        <v>876</v>
      </c>
      <c r="B725">
        <v>45953</v>
      </c>
      <c r="C725">
        <v>45954</v>
      </c>
      <c r="D725" t="s">
        <v>25</v>
      </c>
      <c r="E725">
        <v>750</v>
      </c>
      <c r="F725">
        <v>1068</v>
      </c>
      <c r="G725">
        <v>0.73</v>
      </c>
      <c r="H725">
        <v>795152.7</v>
      </c>
      <c r="I725" t="s">
        <v>1726</v>
      </c>
      <c r="J725">
        <v>776.21</v>
      </c>
      <c r="K725">
        <v>582157.5</v>
      </c>
      <c r="L725">
        <v>10147.42</v>
      </c>
      <c r="M725">
        <v>3702.87</v>
      </c>
      <c r="N725">
        <v>7286.21</v>
      </c>
      <c r="O725">
        <v>603294</v>
      </c>
      <c r="P725">
        <v>212995.20000000001</v>
      </c>
      <c r="Q725">
        <v>191858.7</v>
      </c>
      <c r="R725" t="s">
        <v>85</v>
      </c>
      <c r="S725">
        <v>468662.48</v>
      </c>
      <c r="T725">
        <v>326490.21999999997</v>
      </c>
      <c r="U725" t="s">
        <v>66</v>
      </c>
      <c r="V725" t="s">
        <v>10</v>
      </c>
      <c r="W725" t="s">
        <v>80</v>
      </c>
      <c r="X725" t="s">
        <v>89</v>
      </c>
      <c r="Y725" t="s">
        <v>28</v>
      </c>
      <c r="Z725">
        <v>1.69</v>
      </c>
      <c r="AA725">
        <f t="shared" si="33"/>
        <v>191858.7</v>
      </c>
      <c r="AB725">
        <f t="shared" si="34"/>
        <v>0.24128535311519414</v>
      </c>
      <c r="AC725">
        <f t="shared" si="35"/>
        <v>0</v>
      </c>
      <c r="AD725">
        <v>2025</v>
      </c>
      <c r="AE725">
        <v>10</v>
      </c>
      <c r="AF725" t="s">
        <v>138</v>
      </c>
      <c r="AG725" t="s">
        <v>160</v>
      </c>
    </row>
    <row r="726" spans="1:33">
      <c r="A726" t="s">
        <v>877</v>
      </c>
      <c r="B726">
        <v>46004</v>
      </c>
      <c r="C726">
        <v>46010</v>
      </c>
      <c r="D726" t="s">
        <v>21</v>
      </c>
      <c r="E726">
        <v>150</v>
      </c>
      <c r="F726">
        <v>903.77</v>
      </c>
      <c r="G726">
        <v>1.46</v>
      </c>
      <c r="H726">
        <v>133586.23999999999</v>
      </c>
      <c r="I726" t="s">
        <v>1727</v>
      </c>
      <c r="J726">
        <v>748.76</v>
      </c>
      <c r="K726">
        <v>112314</v>
      </c>
      <c r="L726">
        <v>2224.0100000000002</v>
      </c>
      <c r="M726">
        <v>730.99</v>
      </c>
      <c r="N726">
        <v>9468.4599999999991</v>
      </c>
      <c r="O726">
        <v>124737.46</v>
      </c>
      <c r="P726">
        <v>21272.240000000002</v>
      </c>
      <c r="Q726">
        <v>8848.7800000000007</v>
      </c>
      <c r="R726" t="s">
        <v>65</v>
      </c>
      <c r="S726">
        <v>133586.23999999999</v>
      </c>
      <c r="T726">
        <v>0</v>
      </c>
      <c r="U726" t="s">
        <v>66</v>
      </c>
      <c r="V726" t="s">
        <v>12</v>
      </c>
      <c r="W726" t="s">
        <v>67</v>
      </c>
      <c r="X726" t="s">
        <v>275</v>
      </c>
      <c r="Y726" t="s">
        <v>31</v>
      </c>
      <c r="Z726">
        <v>0.36</v>
      </c>
      <c r="AA726">
        <f t="shared" si="33"/>
        <v>8848.7800000000007</v>
      </c>
      <c r="AB726">
        <f t="shared" si="34"/>
        <v>6.6240205578059541E-2</v>
      </c>
      <c r="AC726">
        <f t="shared" si="35"/>
        <v>0</v>
      </c>
      <c r="AD726">
        <v>2025</v>
      </c>
      <c r="AE726">
        <v>12</v>
      </c>
      <c r="AF726" t="s">
        <v>98</v>
      </c>
      <c r="AG726" t="s">
        <v>168</v>
      </c>
    </row>
    <row r="727" spans="1:33">
      <c r="A727" t="s">
        <v>878</v>
      </c>
      <c r="B727">
        <v>45699</v>
      </c>
      <c r="D727" t="s">
        <v>21</v>
      </c>
      <c r="E727">
        <v>750</v>
      </c>
      <c r="F727">
        <v>812.82</v>
      </c>
      <c r="G727">
        <v>1.34</v>
      </c>
      <c r="H727">
        <v>601446.16</v>
      </c>
      <c r="I727" t="s">
        <v>1726</v>
      </c>
      <c r="J727">
        <v>747.26</v>
      </c>
      <c r="K727">
        <v>560445</v>
      </c>
      <c r="L727">
        <v>9530.8799999999992</v>
      </c>
      <c r="M727">
        <v>1824.68</v>
      </c>
      <c r="N727">
        <v>8289.8700000000008</v>
      </c>
      <c r="O727">
        <v>580090.43000000005</v>
      </c>
      <c r="P727">
        <v>41001.160000000003</v>
      </c>
      <c r="Q727">
        <v>21355.73</v>
      </c>
      <c r="R727" t="s">
        <v>65</v>
      </c>
      <c r="S727">
        <v>601446.16</v>
      </c>
      <c r="T727">
        <v>0</v>
      </c>
      <c r="U727" t="s">
        <v>91</v>
      </c>
      <c r="V727" t="s">
        <v>6</v>
      </c>
      <c r="W727" t="s">
        <v>74</v>
      </c>
      <c r="X727" t="s">
        <v>327</v>
      </c>
      <c r="Y727" t="s">
        <v>26</v>
      </c>
      <c r="Z727">
        <v>0.93</v>
      </c>
      <c r="AA727">
        <f t="shared" si="33"/>
        <v>21355.73</v>
      </c>
      <c r="AB727">
        <f t="shared" si="34"/>
        <v>3.5507301268662181E-2</v>
      </c>
      <c r="AC727">
        <f t="shared" si="35"/>
        <v>0</v>
      </c>
      <c r="AD727">
        <v>2025</v>
      </c>
      <c r="AE727">
        <v>2</v>
      </c>
      <c r="AF727" t="s">
        <v>172</v>
      </c>
      <c r="AG727" t="s">
        <v>244</v>
      </c>
    </row>
    <row r="728" spans="1:33">
      <c r="A728" t="s">
        <v>879</v>
      </c>
      <c r="B728">
        <v>45530</v>
      </c>
      <c r="C728">
        <v>45531</v>
      </c>
      <c r="D728" t="s">
        <v>27</v>
      </c>
      <c r="E728">
        <v>200</v>
      </c>
      <c r="F728">
        <v>736.8</v>
      </c>
      <c r="G728">
        <v>2.0699999999999998</v>
      </c>
      <c r="H728">
        <v>144309.65</v>
      </c>
      <c r="I728" t="s">
        <v>1728</v>
      </c>
      <c r="J728">
        <v>560.47</v>
      </c>
      <c r="K728">
        <v>112094</v>
      </c>
      <c r="L728">
        <v>4219.0200000000004</v>
      </c>
      <c r="M728">
        <v>513.80999999999995</v>
      </c>
      <c r="N728">
        <v>8591.4599999999991</v>
      </c>
      <c r="O728">
        <v>125418.29</v>
      </c>
      <c r="P728">
        <v>32215.65</v>
      </c>
      <c r="Q728">
        <v>18891.36</v>
      </c>
      <c r="R728" t="s">
        <v>65</v>
      </c>
      <c r="S728">
        <v>144309.65</v>
      </c>
      <c r="T728">
        <v>0</v>
      </c>
      <c r="U728" t="s">
        <v>66</v>
      </c>
      <c r="V728" t="s">
        <v>6</v>
      </c>
      <c r="W728" t="s">
        <v>74</v>
      </c>
      <c r="X728" t="s">
        <v>115</v>
      </c>
      <c r="Y728" t="s">
        <v>22</v>
      </c>
      <c r="Z728">
        <v>0.78</v>
      </c>
      <c r="AA728">
        <f t="shared" si="33"/>
        <v>18891.36</v>
      </c>
      <c r="AB728">
        <f t="shared" si="34"/>
        <v>0.13090850126793324</v>
      </c>
      <c r="AC728">
        <f t="shared" si="35"/>
        <v>0</v>
      </c>
      <c r="AD728">
        <v>2024</v>
      </c>
      <c r="AE728">
        <v>8</v>
      </c>
      <c r="AF728" t="s">
        <v>82</v>
      </c>
      <c r="AG728" t="s">
        <v>83</v>
      </c>
    </row>
    <row r="729" spans="1:33">
      <c r="A729" t="s">
        <v>880</v>
      </c>
      <c r="B729">
        <v>45759</v>
      </c>
      <c r="C729">
        <v>45766</v>
      </c>
      <c r="D729" t="s">
        <v>23</v>
      </c>
      <c r="E729">
        <v>50</v>
      </c>
      <c r="F729">
        <v>1329.23</v>
      </c>
      <c r="G729">
        <v>0.9</v>
      </c>
      <c r="H729">
        <v>65863.350000000006</v>
      </c>
      <c r="I729" t="s">
        <v>1727</v>
      </c>
      <c r="J729">
        <v>1118.1600000000001</v>
      </c>
      <c r="K729">
        <v>55908</v>
      </c>
      <c r="L729">
        <v>922.39</v>
      </c>
      <c r="M729">
        <v>107.74</v>
      </c>
      <c r="N729">
        <v>6480.29</v>
      </c>
      <c r="O729">
        <v>63418.42</v>
      </c>
      <c r="P729">
        <v>9955.35</v>
      </c>
      <c r="Q729">
        <v>2444.9299999999998</v>
      </c>
      <c r="R729" t="s">
        <v>65</v>
      </c>
      <c r="S729">
        <v>65863.350000000006</v>
      </c>
      <c r="T729">
        <v>0</v>
      </c>
      <c r="U729" t="s">
        <v>66</v>
      </c>
      <c r="V729" t="s">
        <v>16</v>
      </c>
      <c r="W729" t="s">
        <v>74</v>
      </c>
      <c r="X729" t="s">
        <v>285</v>
      </c>
      <c r="Y729" t="s">
        <v>28</v>
      </c>
      <c r="Z729">
        <v>1.52</v>
      </c>
      <c r="AA729">
        <f t="shared" si="33"/>
        <v>2444.9299999999998</v>
      </c>
      <c r="AB729">
        <f t="shared" si="34"/>
        <v>3.7121251803924331E-2</v>
      </c>
      <c r="AC729">
        <f t="shared" si="35"/>
        <v>0</v>
      </c>
      <c r="AD729">
        <v>2025</v>
      </c>
      <c r="AE729">
        <v>4</v>
      </c>
      <c r="AF729" t="s">
        <v>154</v>
      </c>
      <c r="AG729" t="s">
        <v>155</v>
      </c>
    </row>
    <row r="730" spans="1:33">
      <c r="A730" t="s">
        <v>881</v>
      </c>
      <c r="B730">
        <v>45896</v>
      </c>
      <c r="C730">
        <v>45908</v>
      </c>
      <c r="D730" t="s">
        <v>23</v>
      </c>
      <c r="E730">
        <v>1000</v>
      </c>
      <c r="F730">
        <v>1299.1600000000001</v>
      </c>
      <c r="G730">
        <v>3.58</v>
      </c>
      <c r="H730">
        <v>1252650.07</v>
      </c>
      <c r="I730" t="s">
        <v>1726</v>
      </c>
      <c r="J730">
        <v>1097.23</v>
      </c>
      <c r="K730">
        <v>1097230</v>
      </c>
      <c r="L730">
        <v>5775.39</v>
      </c>
      <c r="M730">
        <v>1770.66</v>
      </c>
      <c r="N730">
        <v>11276.54</v>
      </c>
      <c r="O730">
        <v>1116052.5900000001</v>
      </c>
      <c r="P730">
        <v>155420.07</v>
      </c>
      <c r="Q730">
        <v>136597.48000000001</v>
      </c>
      <c r="R730" t="s">
        <v>65</v>
      </c>
      <c r="S730">
        <v>1252650.07</v>
      </c>
      <c r="T730">
        <v>0</v>
      </c>
      <c r="U730" t="s">
        <v>66</v>
      </c>
      <c r="V730" t="s">
        <v>6</v>
      </c>
      <c r="W730" t="s">
        <v>80</v>
      </c>
      <c r="X730" t="s">
        <v>108</v>
      </c>
      <c r="Y730" t="s">
        <v>22</v>
      </c>
      <c r="Z730">
        <v>2.09</v>
      </c>
      <c r="AA730">
        <f t="shared" si="33"/>
        <v>136597.48000000001</v>
      </c>
      <c r="AB730">
        <f t="shared" si="34"/>
        <v>0.1090467986801773</v>
      </c>
      <c r="AC730">
        <f t="shared" si="35"/>
        <v>0</v>
      </c>
      <c r="AD730">
        <v>2025</v>
      </c>
      <c r="AE730">
        <v>8</v>
      </c>
      <c r="AF730" t="s">
        <v>82</v>
      </c>
      <c r="AG730" t="s">
        <v>87</v>
      </c>
    </row>
    <row r="731" spans="1:33">
      <c r="A731" t="s">
        <v>882</v>
      </c>
      <c r="B731">
        <v>45555</v>
      </c>
      <c r="C731">
        <v>45557</v>
      </c>
      <c r="D731" t="s">
        <v>21</v>
      </c>
      <c r="E731">
        <v>100</v>
      </c>
      <c r="F731">
        <v>923.81</v>
      </c>
      <c r="G731">
        <v>0</v>
      </c>
      <c r="H731">
        <v>92381</v>
      </c>
      <c r="I731" t="s">
        <v>1728</v>
      </c>
      <c r="J731">
        <v>744.75</v>
      </c>
      <c r="K731">
        <v>74475</v>
      </c>
      <c r="L731">
        <v>1584.99</v>
      </c>
      <c r="M731">
        <v>445.74</v>
      </c>
      <c r="N731">
        <v>9327.43</v>
      </c>
      <c r="O731">
        <v>85833.16</v>
      </c>
      <c r="P731">
        <v>17906</v>
      </c>
      <c r="Q731">
        <v>6547.84</v>
      </c>
      <c r="R731" t="s">
        <v>65</v>
      </c>
      <c r="S731">
        <v>92381</v>
      </c>
      <c r="T731">
        <v>0</v>
      </c>
      <c r="U731" t="s">
        <v>66</v>
      </c>
      <c r="V731" t="s">
        <v>10</v>
      </c>
      <c r="W731" t="s">
        <v>80</v>
      </c>
      <c r="X731" t="s">
        <v>97</v>
      </c>
      <c r="Y731" t="s">
        <v>24</v>
      </c>
      <c r="Z731">
        <v>0.85</v>
      </c>
      <c r="AA731">
        <f t="shared" si="33"/>
        <v>6547.84</v>
      </c>
      <c r="AB731">
        <f t="shared" si="34"/>
        <v>7.0878643876987696E-2</v>
      </c>
      <c r="AC731">
        <f t="shared" si="35"/>
        <v>0</v>
      </c>
      <c r="AD731">
        <v>2024</v>
      </c>
      <c r="AE731">
        <v>9</v>
      </c>
      <c r="AF731" t="s">
        <v>131</v>
      </c>
      <c r="AG731" t="s">
        <v>188</v>
      </c>
    </row>
    <row r="732" spans="1:33">
      <c r="A732" t="s">
        <v>883</v>
      </c>
      <c r="B732">
        <v>45538</v>
      </c>
      <c r="D732" t="s">
        <v>21</v>
      </c>
      <c r="E732">
        <v>50</v>
      </c>
      <c r="F732">
        <v>875.46</v>
      </c>
      <c r="G732">
        <v>0.37</v>
      </c>
      <c r="H732">
        <v>43611.040000000001</v>
      </c>
      <c r="I732" t="s">
        <v>1728</v>
      </c>
      <c r="J732">
        <v>672.3</v>
      </c>
      <c r="K732">
        <v>33615</v>
      </c>
      <c r="L732">
        <v>626.70000000000005</v>
      </c>
      <c r="M732">
        <v>88.19</v>
      </c>
      <c r="N732">
        <v>10780.85</v>
      </c>
      <c r="O732">
        <v>45110.74</v>
      </c>
      <c r="P732">
        <v>9996.0400000000009</v>
      </c>
      <c r="Q732">
        <v>-1499.7</v>
      </c>
      <c r="R732" t="s">
        <v>65</v>
      </c>
      <c r="S732">
        <v>43611.040000000001</v>
      </c>
      <c r="T732">
        <v>0</v>
      </c>
      <c r="U732" t="s">
        <v>91</v>
      </c>
      <c r="V732" t="s">
        <v>12</v>
      </c>
      <c r="W732" t="s">
        <v>67</v>
      </c>
      <c r="X732" t="s">
        <v>97</v>
      </c>
      <c r="Y732" t="s">
        <v>24</v>
      </c>
      <c r="Z732">
        <v>1.95</v>
      </c>
      <c r="AA732">
        <f t="shared" si="33"/>
        <v>-1499.7</v>
      </c>
      <c r="AB732">
        <f t="shared" si="34"/>
        <v>-3.4388081549992844E-2</v>
      </c>
      <c r="AC732">
        <f t="shared" si="35"/>
        <v>0</v>
      </c>
      <c r="AD732">
        <v>2024</v>
      </c>
      <c r="AE732">
        <v>9</v>
      </c>
      <c r="AF732" t="s">
        <v>131</v>
      </c>
      <c r="AG732" t="s">
        <v>188</v>
      </c>
    </row>
    <row r="733" spans="1:33">
      <c r="A733" t="s">
        <v>884</v>
      </c>
      <c r="B733">
        <v>45978</v>
      </c>
      <c r="D733" t="s">
        <v>23</v>
      </c>
      <c r="E733">
        <v>100</v>
      </c>
      <c r="F733">
        <v>1407.76</v>
      </c>
      <c r="G733">
        <v>1.43</v>
      </c>
      <c r="H733">
        <v>138762.9</v>
      </c>
      <c r="I733" t="s">
        <v>1727</v>
      </c>
      <c r="J733">
        <v>1095.29</v>
      </c>
      <c r="K733">
        <v>109529</v>
      </c>
      <c r="L733">
        <v>1695.14</v>
      </c>
      <c r="M733">
        <v>446.48</v>
      </c>
      <c r="N733">
        <v>6314.26</v>
      </c>
      <c r="O733">
        <v>117984.88</v>
      </c>
      <c r="P733">
        <v>29233.9</v>
      </c>
      <c r="Q733">
        <v>20778.02</v>
      </c>
      <c r="R733" t="s">
        <v>65</v>
      </c>
      <c r="S733">
        <v>138762.9</v>
      </c>
      <c r="T733">
        <v>0</v>
      </c>
      <c r="U733" t="s">
        <v>91</v>
      </c>
      <c r="V733" t="s">
        <v>16</v>
      </c>
      <c r="W733" t="s">
        <v>74</v>
      </c>
      <c r="X733" t="s">
        <v>101</v>
      </c>
      <c r="Y733" t="s">
        <v>22</v>
      </c>
      <c r="Z733">
        <v>2.29</v>
      </c>
      <c r="AA733">
        <f t="shared" si="33"/>
        <v>20778.02</v>
      </c>
      <c r="AB733">
        <f t="shared" si="34"/>
        <v>0.14973757394807979</v>
      </c>
      <c r="AC733">
        <f t="shared" si="35"/>
        <v>0</v>
      </c>
      <c r="AD733">
        <v>2025</v>
      </c>
      <c r="AE733">
        <v>11</v>
      </c>
      <c r="AF733" t="s">
        <v>128</v>
      </c>
      <c r="AG733" t="s">
        <v>135</v>
      </c>
    </row>
    <row r="734" spans="1:33">
      <c r="A734" t="s">
        <v>885</v>
      </c>
      <c r="B734">
        <v>45307</v>
      </c>
      <c r="D734" t="s">
        <v>27</v>
      </c>
      <c r="E734">
        <v>250</v>
      </c>
      <c r="F734">
        <v>754.17</v>
      </c>
      <c r="G734">
        <v>2.0699999999999998</v>
      </c>
      <c r="H734">
        <v>0</v>
      </c>
      <c r="I734" t="s">
        <v>1726</v>
      </c>
      <c r="J734">
        <v>571.48</v>
      </c>
      <c r="K734">
        <v>0</v>
      </c>
      <c r="L734">
        <v>0</v>
      </c>
      <c r="M734">
        <v>0</v>
      </c>
      <c r="N734">
        <v>0</v>
      </c>
      <c r="O734">
        <v>0</v>
      </c>
      <c r="P734">
        <v>0</v>
      </c>
      <c r="Q734">
        <v>0</v>
      </c>
      <c r="R734" t="s">
        <v>65</v>
      </c>
      <c r="S734">
        <v>0</v>
      </c>
      <c r="T734">
        <v>0</v>
      </c>
      <c r="U734" t="s">
        <v>117</v>
      </c>
      <c r="V734" t="s">
        <v>6</v>
      </c>
      <c r="W734" t="s">
        <v>74</v>
      </c>
      <c r="X734" t="s">
        <v>68</v>
      </c>
      <c r="Y734" t="s">
        <v>31</v>
      </c>
      <c r="Z734">
        <v>0.46</v>
      </c>
      <c r="AA734">
        <f t="shared" si="33"/>
        <v>0</v>
      </c>
      <c r="AB734" t="e">
        <f t="shared" si="34"/>
        <v>#DIV/0!</v>
      </c>
      <c r="AC734">
        <f t="shared" si="35"/>
        <v>0</v>
      </c>
      <c r="AD734">
        <v>2024</v>
      </c>
      <c r="AE734">
        <v>1</v>
      </c>
      <c r="AF734" t="s">
        <v>102</v>
      </c>
      <c r="AG734" t="s">
        <v>103</v>
      </c>
    </row>
    <row r="735" spans="1:33">
      <c r="A735" t="s">
        <v>886</v>
      </c>
      <c r="B735">
        <v>45994</v>
      </c>
      <c r="C735">
        <v>46003</v>
      </c>
      <c r="D735" t="s">
        <v>25</v>
      </c>
      <c r="E735">
        <v>500</v>
      </c>
      <c r="F735">
        <v>1029.46</v>
      </c>
      <c r="G735">
        <v>4.63</v>
      </c>
      <c r="H735">
        <v>490898</v>
      </c>
      <c r="I735" t="s">
        <v>1727</v>
      </c>
      <c r="J735">
        <v>808.93</v>
      </c>
      <c r="K735">
        <v>404465</v>
      </c>
      <c r="L735">
        <v>9630.0499999999993</v>
      </c>
      <c r="M735">
        <v>1919.39</v>
      </c>
      <c r="N735">
        <v>7395.04</v>
      </c>
      <c r="O735">
        <v>423409.48</v>
      </c>
      <c r="P735">
        <v>86433</v>
      </c>
      <c r="Q735">
        <v>67488.52</v>
      </c>
      <c r="R735" t="s">
        <v>65</v>
      </c>
      <c r="S735">
        <v>490898</v>
      </c>
      <c r="T735">
        <v>0</v>
      </c>
      <c r="U735" t="s">
        <v>66</v>
      </c>
      <c r="V735" t="s">
        <v>16</v>
      </c>
      <c r="W735" t="s">
        <v>74</v>
      </c>
      <c r="X735" t="s">
        <v>164</v>
      </c>
      <c r="Y735" t="s">
        <v>24</v>
      </c>
      <c r="Z735">
        <v>0.28000000000000003</v>
      </c>
      <c r="AA735">
        <f t="shared" si="33"/>
        <v>67488.52</v>
      </c>
      <c r="AB735">
        <f t="shared" si="34"/>
        <v>0.13747972083813748</v>
      </c>
      <c r="AC735">
        <f t="shared" si="35"/>
        <v>0</v>
      </c>
      <c r="AD735">
        <v>2025</v>
      </c>
      <c r="AE735">
        <v>12</v>
      </c>
      <c r="AF735" t="s">
        <v>98</v>
      </c>
      <c r="AG735" t="s">
        <v>168</v>
      </c>
    </row>
    <row r="736" spans="1:33">
      <c r="A736" t="s">
        <v>887</v>
      </c>
      <c r="B736">
        <v>45451</v>
      </c>
      <c r="C736">
        <v>45465</v>
      </c>
      <c r="D736" t="s">
        <v>21</v>
      </c>
      <c r="E736">
        <v>300</v>
      </c>
      <c r="F736">
        <v>830.09</v>
      </c>
      <c r="G736">
        <v>1.08</v>
      </c>
      <c r="H736">
        <v>246337.51</v>
      </c>
      <c r="I736" t="s">
        <v>1726</v>
      </c>
      <c r="J736">
        <v>648.62</v>
      </c>
      <c r="K736">
        <v>194586</v>
      </c>
      <c r="L736">
        <v>4295.74</v>
      </c>
      <c r="M736">
        <v>1230.3699999999999</v>
      </c>
      <c r="N736">
        <v>4032.64</v>
      </c>
      <c r="O736">
        <v>204144.75</v>
      </c>
      <c r="P736">
        <v>51751.51</v>
      </c>
      <c r="Q736">
        <v>42192.76</v>
      </c>
      <c r="R736" t="s">
        <v>85</v>
      </c>
      <c r="S736">
        <v>148916.75</v>
      </c>
      <c r="T736">
        <v>97420.76</v>
      </c>
      <c r="U736" t="s">
        <v>66</v>
      </c>
      <c r="V736" t="s">
        <v>8</v>
      </c>
      <c r="W736" t="s">
        <v>80</v>
      </c>
      <c r="X736" t="s">
        <v>123</v>
      </c>
      <c r="Y736" t="s">
        <v>22</v>
      </c>
      <c r="Z736">
        <v>0.8</v>
      </c>
      <c r="AA736">
        <f t="shared" si="33"/>
        <v>42192.76</v>
      </c>
      <c r="AB736">
        <f t="shared" si="34"/>
        <v>0.17128028938832743</v>
      </c>
      <c r="AC736">
        <f t="shared" si="35"/>
        <v>0</v>
      </c>
      <c r="AD736">
        <v>2024</v>
      </c>
      <c r="AE736">
        <v>6</v>
      </c>
      <c r="AF736" t="s">
        <v>111</v>
      </c>
      <c r="AG736" t="s">
        <v>148</v>
      </c>
    </row>
    <row r="737" spans="1:33">
      <c r="A737" t="s">
        <v>888</v>
      </c>
      <c r="B737">
        <v>45373</v>
      </c>
      <c r="C737">
        <v>45387</v>
      </c>
      <c r="D737" t="s">
        <v>21</v>
      </c>
      <c r="E737">
        <v>1000</v>
      </c>
      <c r="F737">
        <v>948.57</v>
      </c>
      <c r="G737">
        <v>2.59</v>
      </c>
      <c r="H737">
        <v>924002.04</v>
      </c>
      <c r="I737" t="s">
        <v>1726</v>
      </c>
      <c r="J737">
        <v>652.63</v>
      </c>
      <c r="K737">
        <v>652630</v>
      </c>
      <c r="L737">
        <v>15813.56</v>
      </c>
      <c r="M737">
        <v>1765.62</v>
      </c>
      <c r="N737">
        <v>5171.12</v>
      </c>
      <c r="O737">
        <v>675380.3</v>
      </c>
      <c r="P737">
        <v>271372.03999999998</v>
      </c>
      <c r="Q737">
        <v>248621.74</v>
      </c>
      <c r="R737" t="s">
        <v>65</v>
      </c>
      <c r="S737">
        <v>924002.04</v>
      </c>
      <c r="T737">
        <v>0</v>
      </c>
      <c r="U737" t="s">
        <v>66</v>
      </c>
      <c r="V737" t="s">
        <v>6</v>
      </c>
      <c r="W737" t="s">
        <v>74</v>
      </c>
      <c r="X737" t="s">
        <v>205</v>
      </c>
      <c r="Y737" t="s">
        <v>24</v>
      </c>
      <c r="Z737">
        <v>0.09</v>
      </c>
      <c r="AA737">
        <f t="shared" si="33"/>
        <v>248621.74</v>
      </c>
      <c r="AB737">
        <f t="shared" si="34"/>
        <v>0.26907055313427664</v>
      </c>
      <c r="AC737">
        <f t="shared" si="35"/>
        <v>0</v>
      </c>
      <c r="AD737">
        <v>2024</v>
      </c>
      <c r="AE737">
        <v>3</v>
      </c>
      <c r="AF737" t="s">
        <v>105</v>
      </c>
      <c r="AG737" t="s">
        <v>120</v>
      </c>
    </row>
    <row r="738" spans="1:33">
      <c r="A738" t="s">
        <v>889</v>
      </c>
      <c r="B738">
        <v>46009</v>
      </c>
      <c r="C738">
        <v>46010</v>
      </c>
      <c r="D738" t="s">
        <v>25</v>
      </c>
      <c r="E738">
        <v>100</v>
      </c>
      <c r="F738">
        <v>982.31</v>
      </c>
      <c r="G738">
        <v>2.5</v>
      </c>
      <c r="H738">
        <v>95775.22</v>
      </c>
      <c r="I738" t="s">
        <v>1727</v>
      </c>
      <c r="J738">
        <v>821.84</v>
      </c>
      <c r="K738">
        <v>82184</v>
      </c>
      <c r="L738">
        <v>2059.29</v>
      </c>
      <c r="M738">
        <v>215.79</v>
      </c>
      <c r="N738">
        <v>3517.06</v>
      </c>
      <c r="O738">
        <v>87976.14</v>
      </c>
      <c r="P738">
        <v>13591.22</v>
      </c>
      <c r="Q738">
        <v>7799.08</v>
      </c>
      <c r="R738" t="s">
        <v>85</v>
      </c>
      <c r="S738">
        <v>52132.98</v>
      </c>
      <c r="T738">
        <v>43642.239999999998</v>
      </c>
      <c r="U738" t="s">
        <v>66</v>
      </c>
      <c r="V738" t="s">
        <v>16</v>
      </c>
      <c r="W738" t="s">
        <v>67</v>
      </c>
      <c r="X738" t="s">
        <v>123</v>
      </c>
      <c r="Y738" t="s">
        <v>22</v>
      </c>
      <c r="Z738">
        <v>1.71</v>
      </c>
      <c r="AA738">
        <f t="shared" si="33"/>
        <v>7799.08</v>
      </c>
      <c r="AB738">
        <f t="shared" si="34"/>
        <v>8.1431084157259054E-2</v>
      </c>
      <c r="AC738">
        <f t="shared" si="35"/>
        <v>0</v>
      </c>
      <c r="AD738">
        <v>2025</v>
      </c>
      <c r="AE738">
        <v>12</v>
      </c>
      <c r="AF738" t="s">
        <v>98</v>
      </c>
      <c r="AG738" t="s">
        <v>168</v>
      </c>
    </row>
    <row r="739" spans="1:33">
      <c r="A739" t="s">
        <v>890</v>
      </c>
      <c r="B739">
        <v>45337</v>
      </c>
      <c r="C739">
        <v>45339</v>
      </c>
      <c r="D739" t="s">
        <v>25</v>
      </c>
      <c r="E739">
        <v>500</v>
      </c>
      <c r="F739">
        <v>986.88</v>
      </c>
      <c r="G739">
        <v>3.09</v>
      </c>
      <c r="H739">
        <v>478192.7</v>
      </c>
      <c r="I739" t="s">
        <v>1728</v>
      </c>
      <c r="J739">
        <v>720.99</v>
      </c>
      <c r="K739">
        <v>360495</v>
      </c>
      <c r="L739">
        <v>7627.14</v>
      </c>
      <c r="M739">
        <v>1094.22</v>
      </c>
      <c r="N739">
        <v>8482.09</v>
      </c>
      <c r="O739">
        <v>377698.45</v>
      </c>
      <c r="P739">
        <v>117697.7</v>
      </c>
      <c r="Q739">
        <v>100494.25</v>
      </c>
      <c r="R739" t="s">
        <v>65</v>
      </c>
      <c r="S739">
        <v>478192.7</v>
      </c>
      <c r="T739">
        <v>0</v>
      </c>
      <c r="U739" t="s">
        <v>66</v>
      </c>
      <c r="V739" t="s">
        <v>6</v>
      </c>
      <c r="W739" t="s">
        <v>80</v>
      </c>
      <c r="X739" t="s">
        <v>123</v>
      </c>
      <c r="Y739" t="s">
        <v>22</v>
      </c>
      <c r="Z739">
        <v>1.95</v>
      </c>
      <c r="AA739">
        <f t="shared" si="33"/>
        <v>100494.25</v>
      </c>
      <c r="AB739">
        <f t="shared" si="34"/>
        <v>0.21015429553817946</v>
      </c>
      <c r="AC739">
        <f t="shared" si="35"/>
        <v>0</v>
      </c>
      <c r="AD739">
        <v>2024</v>
      </c>
      <c r="AE739">
        <v>2</v>
      </c>
      <c r="AF739" t="s">
        <v>172</v>
      </c>
      <c r="AG739" t="s">
        <v>173</v>
      </c>
    </row>
    <row r="740" spans="1:33">
      <c r="A740" t="s">
        <v>891</v>
      </c>
      <c r="B740">
        <v>45870</v>
      </c>
      <c r="C740">
        <v>45878</v>
      </c>
      <c r="D740" t="s">
        <v>21</v>
      </c>
      <c r="E740">
        <v>300</v>
      </c>
      <c r="F740">
        <v>817.37</v>
      </c>
      <c r="G740">
        <v>0.4</v>
      </c>
      <c r="H740">
        <v>244230.16</v>
      </c>
      <c r="I740" t="s">
        <v>1727</v>
      </c>
      <c r="J740">
        <v>744.61</v>
      </c>
      <c r="K740">
        <v>223383</v>
      </c>
      <c r="L740">
        <v>6581.08</v>
      </c>
      <c r="M740">
        <v>1118.99</v>
      </c>
      <c r="N740">
        <v>4380.1400000000003</v>
      </c>
      <c r="O740">
        <v>235463.21</v>
      </c>
      <c r="P740">
        <v>20847.16</v>
      </c>
      <c r="Q740">
        <v>8766.9500000000007</v>
      </c>
      <c r="R740" t="s">
        <v>65</v>
      </c>
      <c r="S740">
        <v>244230.16</v>
      </c>
      <c r="T740">
        <v>0</v>
      </c>
      <c r="U740" t="s">
        <v>66</v>
      </c>
      <c r="V740" t="s">
        <v>8</v>
      </c>
      <c r="W740" t="s">
        <v>74</v>
      </c>
      <c r="X740" t="s">
        <v>167</v>
      </c>
      <c r="Y740" t="s">
        <v>31</v>
      </c>
      <c r="Z740">
        <v>0.69</v>
      </c>
      <c r="AA740">
        <f t="shared" si="33"/>
        <v>8766.9500000000007</v>
      </c>
      <c r="AB740">
        <f t="shared" si="34"/>
        <v>3.5896262771149968E-2</v>
      </c>
      <c r="AC740">
        <f t="shared" si="35"/>
        <v>0</v>
      </c>
      <c r="AD740">
        <v>2025</v>
      </c>
      <c r="AE740">
        <v>8</v>
      </c>
      <c r="AF740" t="s">
        <v>82</v>
      </c>
      <c r="AG740" t="s">
        <v>87</v>
      </c>
    </row>
    <row r="741" spans="1:33">
      <c r="A741" t="s">
        <v>892</v>
      </c>
      <c r="B741">
        <v>45860</v>
      </c>
      <c r="C741">
        <v>45873</v>
      </c>
      <c r="D741" t="s">
        <v>27</v>
      </c>
      <c r="E741">
        <v>300</v>
      </c>
      <c r="F741">
        <v>723.55</v>
      </c>
      <c r="G741">
        <v>1.88</v>
      </c>
      <c r="H741">
        <v>212984.18</v>
      </c>
      <c r="I741" t="s">
        <v>1728</v>
      </c>
      <c r="J741">
        <v>605.62</v>
      </c>
      <c r="K741">
        <v>181686</v>
      </c>
      <c r="L741">
        <v>7128.04</v>
      </c>
      <c r="M741">
        <v>998.93</v>
      </c>
      <c r="N741">
        <v>5828.81</v>
      </c>
      <c r="O741">
        <v>195641.78</v>
      </c>
      <c r="P741">
        <v>31298.18</v>
      </c>
      <c r="Q741">
        <v>17342.400000000001</v>
      </c>
      <c r="R741" t="s">
        <v>65</v>
      </c>
      <c r="S741">
        <v>212984.18</v>
      </c>
      <c r="T741">
        <v>0</v>
      </c>
      <c r="U741" t="s">
        <v>73</v>
      </c>
      <c r="V741" t="s">
        <v>6</v>
      </c>
      <c r="W741" t="s">
        <v>74</v>
      </c>
      <c r="X741" t="s">
        <v>123</v>
      </c>
      <c r="Y741" t="s">
        <v>22</v>
      </c>
      <c r="Z741">
        <v>0.63</v>
      </c>
      <c r="AA741">
        <f t="shared" si="33"/>
        <v>17342.400000000001</v>
      </c>
      <c r="AB741">
        <f t="shared" si="34"/>
        <v>8.1425765988816637E-2</v>
      </c>
      <c r="AC741">
        <f t="shared" si="35"/>
        <v>0</v>
      </c>
      <c r="AD741">
        <v>2025</v>
      </c>
      <c r="AE741">
        <v>7</v>
      </c>
      <c r="AF741" t="s">
        <v>69</v>
      </c>
      <c r="AG741" t="s">
        <v>151</v>
      </c>
    </row>
    <row r="742" spans="1:33">
      <c r="A742" t="s">
        <v>893</v>
      </c>
      <c r="B742">
        <v>45295</v>
      </c>
      <c r="C742">
        <v>45309</v>
      </c>
      <c r="D742" t="s">
        <v>21</v>
      </c>
      <c r="E742">
        <v>200</v>
      </c>
      <c r="F742">
        <v>820.93</v>
      </c>
      <c r="G742">
        <v>1.88</v>
      </c>
      <c r="H742">
        <v>161099.29999999999</v>
      </c>
      <c r="I742" t="s">
        <v>1727</v>
      </c>
      <c r="J742">
        <v>651.71</v>
      </c>
      <c r="K742">
        <v>130342</v>
      </c>
      <c r="L742">
        <v>4552.67</v>
      </c>
      <c r="M742">
        <v>1063.72</v>
      </c>
      <c r="N742">
        <v>984.51</v>
      </c>
      <c r="O742">
        <v>136942.9</v>
      </c>
      <c r="P742">
        <v>30757.3</v>
      </c>
      <c r="Q742">
        <v>24156.400000000001</v>
      </c>
      <c r="R742" t="s">
        <v>65</v>
      </c>
      <c r="S742">
        <v>161099.29999999999</v>
      </c>
      <c r="T742">
        <v>0</v>
      </c>
      <c r="U742" t="s">
        <v>73</v>
      </c>
      <c r="V742" t="s">
        <v>10</v>
      </c>
      <c r="W742" t="s">
        <v>92</v>
      </c>
      <c r="X742" t="s">
        <v>127</v>
      </c>
      <c r="Y742" t="s">
        <v>22</v>
      </c>
      <c r="Z742">
        <v>0.13</v>
      </c>
      <c r="AA742">
        <f t="shared" si="33"/>
        <v>24156.400000000001</v>
      </c>
      <c r="AB742">
        <f t="shared" si="34"/>
        <v>0.1499472685480322</v>
      </c>
      <c r="AC742">
        <f t="shared" si="35"/>
        <v>0</v>
      </c>
      <c r="AD742">
        <v>2024</v>
      </c>
      <c r="AE742">
        <v>1</v>
      </c>
      <c r="AF742" t="s">
        <v>102</v>
      </c>
      <c r="AG742" t="s">
        <v>103</v>
      </c>
    </row>
    <row r="743" spans="1:33">
      <c r="A743" t="s">
        <v>894</v>
      </c>
      <c r="B743">
        <v>45696</v>
      </c>
      <c r="C743">
        <v>45710</v>
      </c>
      <c r="D743" t="s">
        <v>23</v>
      </c>
      <c r="E743">
        <v>150</v>
      </c>
      <c r="F743">
        <v>1227.8</v>
      </c>
      <c r="G743">
        <v>1.08</v>
      </c>
      <c r="H743">
        <v>182180.96</v>
      </c>
      <c r="I743" t="s">
        <v>1727</v>
      </c>
      <c r="J743">
        <v>1044.6400000000001</v>
      </c>
      <c r="K743">
        <v>156696</v>
      </c>
      <c r="L743">
        <v>1791.44</v>
      </c>
      <c r="M743">
        <v>580.51</v>
      </c>
      <c r="N743">
        <v>4844.46</v>
      </c>
      <c r="O743">
        <v>163912.41</v>
      </c>
      <c r="P743">
        <v>25484.959999999999</v>
      </c>
      <c r="Q743">
        <v>18268.55</v>
      </c>
      <c r="R743" t="s">
        <v>65</v>
      </c>
      <c r="S743">
        <v>182180.96</v>
      </c>
      <c r="T743">
        <v>0</v>
      </c>
      <c r="U743" t="s">
        <v>66</v>
      </c>
      <c r="V743" t="s">
        <v>8</v>
      </c>
      <c r="W743" t="s">
        <v>74</v>
      </c>
      <c r="X743" t="s">
        <v>193</v>
      </c>
      <c r="Y743" t="s">
        <v>30</v>
      </c>
      <c r="Z743">
        <v>1.1499999999999999</v>
      </c>
      <c r="AA743">
        <f t="shared" si="33"/>
        <v>18268.55</v>
      </c>
      <c r="AB743">
        <f t="shared" si="34"/>
        <v>0.10027694441834098</v>
      </c>
      <c r="AC743">
        <f t="shared" si="35"/>
        <v>0</v>
      </c>
      <c r="AD743">
        <v>2025</v>
      </c>
      <c r="AE743">
        <v>2</v>
      </c>
      <c r="AF743" t="s">
        <v>172</v>
      </c>
      <c r="AG743" t="s">
        <v>244</v>
      </c>
    </row>
    <row r="744" spans="1:33">
      <c r="A744" t="s">
        <v>895</v>
      </c>
      <c r="B744">
        <v>45943</v>
      </c>
      <c r="C744">
        <v>45945</v>
      </c>
      <c r="D744" t="s">
        <v>21</v>
      </c>
      <c r="E744">
        <v>250</v>
      </c>
      <c r="F744">
        <v>852.97</v>
      </c>
      <c r="G744">
        <v>2.29</v>
      </c>
      <c r="H744">
        <v>208359.25</v>
      </c>
      <c r="I744" t="s">
        <v>1728</v>
      </c>
      <c r="J744">
        <v>688.87</v>
      </c>
      <c r="K744">
        <v>172217.5</v>
      </c>
      <c r="L744">
        <v>3674.52</v>
      </c>
      <c r="M744">
        <v>794.17</v>
      </c>
      <c r="N744">
        <v>6887.59</v>
      </c>
      <c r="O744">
        <v>183573.78</v>
      </c>
      <c r="P744">
        <v>36141.75</v>
      </c>
      <c r="Q744">
        <v>24785.47</v>
      </c>
      <c r="R744" t="s">
        <v>65</v>
      </c>
      <c r="S744">
        <v>208359.25</v>
      </c>
      <c r="T744">
        <v>0</v>
      </c>
      <c r="U744" t="s">
        <v>66</v>
      </c>
      <c r="V744" t="s">
        <v>14</v>
      </c>
      <c r="W744" t="s">
        <v>74</v>
      </c>
      <c r="X744" t="s">
        <v>375</v>
      </c>
      <c r="Y744" t="s">
        <v>30</v>
      </c>
      <c r="Z744">
        <v>2.0499999999999998</v>
      </c>
      <c r="AA744">
        <f t="shared" si="33"/>
        <v>24785.47</v>
      </c>
      <c r="AB744">
        <f t="shared" si="34"/>
        <v>0.11895545794103214</v>
      </c>
      <c r="AC744">
        <f t="shared" si="35"/>
        <v>0</v>
      </c>
      <c r="AD744">
        <v>2025</v>
      </c>
      <c r="AE744">
        <v>10</v>
      </c>
      <c r="AF744" t="s">
        <v>138</v>
      </c>
      <c r="AG744" t="s">
        <v>160</v>
      </c>
    </row>
    <row r="745" spans="1:33">
      <c r="A745" t="s">
        <v>896</v>
      </c>
      <c r="B745">
        <v>45970</v>
      </c>
      <c r="C745">
        <v>45978</v>
      </c>
      <c r="D745" t="s">
        <v>23</v>
      </c>
      <c r="E745">
        <v>100</v>
      </c>
      <c r="F745">
        <v>1410.25</v>
      </c>
      <c r="G745">
        <v>0.78</v>
      </c>
      <c r="H745">
        <v>139925</v>
      </c>
      <c r="I745" t="s">
        <v>1727</v>
      </c>
      <c r="J745">
        <v>974.09</v>
      </c>
      <c r="K745">
        <v>97409</v>
      </c>
      <c r="L745">
        <v>1921.73</v>
      </c>
      <c r="M745">
        <v>561.39</v>
      </c>
      <c r="N745">
        <v>1666.61</v>
      </c>
      <c r="O745">
        <v>101558.73</v>
      </c>
      <c r="P745">
        <v>42516</v>
      </c>
      <c r="Q745">
        <v>38366.269999999997</v>
      </c>
      <c r="R745" t="s">
        <v>65</v>
      </c>
      <c r="S745">
        <v>139925</v>
      </c>
      <c r="T745">
        <v>0</v>
      </c>
      <c r="U745" t="s">
        <v>66</v>
      </c>
      <c r="V745" t="s">
        <v>6</v>
      </c>
      <c r="W745" t="s">
        <v>67</v>
      </c>
      <c r="X745" t="s">
        <v>115</v>
      </c>
      <c r="Y745" t="s">
        <v>22</v>
      </c>
      <c r="Z745">
        <v>1.1499999999999999</v>
      </c>
      <c r="AA745">
        <f t="shared" si="33"/>
        <v>38366.269999999997</v>
      </c>
      <c r="AB745">
        <f t="shared" si="34"/>
        <v>0.27419167411113093</v>
      </c>
      <c r="AC745">
        <f t="shared" si="35"/>
        <v>0</v>
      </c>
      <c r="AD745">
        <v>2025</v>
      </c>
      <c r="AE745">
        <v>11</v>
      </c>
      <c r="AF745" t="s">
        <v>128</v>
      </c>
      <c r="AG745" t="s">
        <v>135</v>
      </c>
    </row>
    <row r="746" spans="1:33">
      <c r="A746" t="s">
        <v>897</v>
      </c>
      <c r="B746">
        <v>45438</v>
      </c>
      <c r="C746">
        <v>45451</v>
      </c>
      <c r="D746" t="s">
        <v>21</v>
      </c>
      <c r="E746">
        <v>150</v>
      </c>
      <c r="F746">
        <v>821.29</v>
      </c>
      <c r="G746">
        <v>1.1499999999999999</v>
      </c>
      <c r="H746">
        <v>121776.77</v>
      </c>
      <c r="I746" t="s">
        <v>1726</v>
      </c>
      <c r="J746">
        <v>694.98</v>
      </c>
      <c r="K746">
        <v>104247</v>
      </c>
      <c r="L746">
        <v>774.62</v>
      </c>
      <c r="M746">
        <v>376.77</v>
      </c>
      <c r="N746">
        <v>7810.53</v>
      </c>
      <c r="O746">
        <v>113208.92</v>
      </c>
      <c r="P746">
        <v>17529.77</v>
      </c>
      <c r="Q746">
        <v>8567.85</v>
      </c>
      <c r="R746" t="s">
        <v>65</v>
      </c>
      <c r="S746">
        <v>121776.77</v>
      </c>
      <c r="T746">
        <v>0</v>
      </c>
      <c r="U746" t="s">
        <v>66</v>
      </c>
      <c r="V746" t="s">
        <v>8</v>
      </c>
      <c r="W746" t="s">
        <v>74</v>
      </c>
      <c r="X746" t="s">
        <v>127</v>
      </c>
      <c r="Y746" t="s">
        <v>22</v>
      </c>
      <c r="Z746">
        <v>1.2</v>
      </c>
      <c r="AA746">
        <f t="shared" si="33"/>
        <v>8567.85</v>
      </c>
      <c r="AB746">
        <f t="shared" si="34"/>
        <v>7.0357014724565278E-2</v>
      </c>
      <c r="AC746">
        <f t="shared" si="35"/>
        <v>0</v>
      </c>
      <c r="AD746">
        <v>2024</v>
      </c>
      <c r="AE746">
        <v>5</v>
      </c>
      <c r="AF746" t="s">
        <v>76</v>
      </c>
      <c r="AG746" t="s">
        <v>77</v>
      </c>
    </row>
    <row r="747" spans="1:33">
      <c r="A747" t="s">
        <v>898</v>
      </c>
      <c r="B747">
        <v>45562</v>
      </c>
      <c r="C747">
        <v>45564</v>
      </c>
      <c r="D747" t="s">
        <v>21</v>
      </c>
      <c r="E747">
        <v>50</v>
      </c>
      <c r="F747">
        <v>855.18</v>
      </c>
      <c r="G747">
        <v>1.64</v>
      </c>
      <c r="H747">
        <v>42057.75</v>
      </c>
      <c r="I747" t="s">
        <v>1726</v>
      </c>
      <c r="J747">
        <v>728.38</v>
      </c>
      <c r="K747">
        <v>36419</v>
      </c>
      <c r="L747">
        <v>488.91</v>
      </c>
      <c r="M747">
        <v>271.41000000000003</v>
      </c>
      <c r="N747">
        <v>9494.7800000000007</v>
      </c>
      <c r="O747">
        <v>46674.1</v>
      </c>
      <c r="P747">
        <v>5638.75</v>
      </c>
      <c r="Q747">
        <v>-4616.3500000000004</v>
      </c>
      <c r="R747" t="s">
        <v>65</v>
      </c>
      <c r="S747">
        <v>42057.75</v>
      </c>
      <c r="T747">
        <v>0</v>
      </c>
      <c r="U747" t="s">
        <v>73</v>
      </c>
      <c r="V747" t="s">
        <v>8</v>
      </c>
      <c r="W747" t="s">
        <v>74</v>
      </c>
      <c r="X747" t="s">
        <v>159</v>
      </c>
      <c r="Y747" t="s">
        <v>30</v>
      </c>
      <c r="Z747">
        <v>1.68</v>
      </c>
      <c r="AA747">
        <f t="shared" si="33"/>
        <v>-4616.3500000000004</v>
      </c>
      <c r="AB747">
        <f t="shared" si="34"/>
        <v>-0.10976217225124978</v>
      </c>
      <c r="AC747">
        <f t="shared" si="35"/>
        <v>0</v>
      </c>
      <c r="AD747">
        <v>2024</v>
      </c>
      <c r="AE747">
        <v>9</v>
      </c>
      <c r="AF747" t="s">
        <v>131</v>
      </c>
      <c r="AG747" t="s">
        <v>188</v>
      </c>
    </row>
    <row r="748" spans="1:33">
      <c r="A748" t="s">
        <v>899</v>
      </c>
      <c r="B748">
        <v>45712</v>
      </c>
      <c r="D748" t="s">
        <v>27</v>
      </c>
      <c r="E748">
        <v>150</v>
      </c>
      <c r="F748">
        <v>736.51</v>
      </c>
      <c r="G748">
        <v>2.0099999999999998</v>
      </c>
      <c r="H748">
        <v>108255.92</v>
      </c>
      <c r="I748" t="s">
        <v>1726</v>
      </c>
      <c r="J748">
        <v>569.74</v>
      </c>
      <c r="K748">
        <v>85461</v>
      </c>
      <c r="L748">
        <v>2574.63</v>
      </c>
      <c r="M748">
        <v>474.13</v>
      </c>
      <c r="N748">
        <v>4385.6400000000003</v>
      </c>
      <c r="O748">
        <v>92895.4</v>
      </c>
      <c r="P748">
        <v>22794.92</v>
      </c>
      <c r="Q748">
        <v>15360.52</v>
      </c>
      <c r="R748" t="s">
        <v>65</v>
      </c>
      <c r="S748">
        <v>108255.92</v>
      </c>
      <c r="T748">
        <v>0</v>
      </c>
      <c r="U748" t="s">
        <v>91</v>
      </c>
      <c r="V748" t="s">
        <v>6</v>
      </c>
      <c r="W748" t="s">
        <v>141</v>
      </c>
      <c r="X748" t="s">
        <v>285</v>
      </c>
      <c r="Y748" t="s">
        <v>28</v>
      </c>
      <c r="Z748">
        <v>2.35</v>
      </c>
      <c r="AA748">
        <f t="shared" si="33"/>
        <v>15360.52</v>
      </c>
      <c r="AB748">
        <f t="shared" si="34"/>
        <v>0.14189080837334347</v>
      </c>
      <c r="AC748">
        <f t="shared" si="35"/>
        <v>0</v>
      </c>
      <c r="AD748">
        <v>2025</v>
      </c>
      <c r="AE748">
        <v>2</v>
      </c>
      <c r="AF748" t="s">
        <v>172</v>
      </c>
      <c r="AG748" t="s">
        <v>244</v>
      </c>
    </row>
    <row r="749" spans="1:33">
      <c r="A749" t="s">
        <v>900</v>
      </c>
      <c r="B749">
        <v>45724</v>
      </c>
      <c r="C749">
        <v>45729</v>
      </c>
      <c r="D749" t="s">
        <v>21</v>
      </c>
      <c r="E749">
        <v>750</v>
      </c>
      <c r="F749">
        <v>856.57</v>
      </c>
      <c r="G749">
        <v>0.4</v>
      </c>
      <c r="H749">
        <v>639857.79</v>
      </c>
      <c r="I749" t="s">
        <v>1726</v>
      </c>
      <c r="J749">
        <v>730.64</v>
      </c>
      <c r="K749">
        <v>547980</v>
      </c>
      <c r="L749">
        <v>9351.07</v>
      </c>
      <c r="M749">
        <v>2773.44</v>
      </c>
      <c r="N749">
        <v>118.18</v>
      </c>
      <c r="O749">
        <v>560222.68999999994</v>
      </c>
      <c r="P749">
        <v>91877.79</v>
      </c>
      <c r="Q749">
        <v>79635.100000000006</v>
      </c>
      <c r="R749" t="s">
        <v>65</v>
      </c>
      <c r="S749">
        <v>639857.79</v>
      </c>
      <c r="T749">
        <v>0</v>
      </c>
      <c r="U749" t="s">
        <v>66</v>
      </c>
      <c r="V749" t="s">
        <v>8</v>
      </c>
      <c r="W749" t="s">
        <v>74</v>
      </c>
      <c r="X749" t="s">
        <v>97</v>
      </c>
      <c r="Y749" t="s">
        <v>24</v>
      </c>
      <c r="Z749">
        <v>0.75</v>
      </c>
      <c r="AA749">
        <f t="shared" si="33"/>
        <v>79635.100000000006</v>
      </c>
      <c r="AB749">
        <f t="shared" si="34"/>
        <v>0.12445749859511752</v>
      </c>
      <c r="AC749">
        <f t="shared" si="35"/>
        <v>0</v>
      </c>
      <c r="AD749">
        <v>2025</v>
      </c>
      <c r="AE749">
        <v>3</v>
      </c>
      <c r="AF749" t="s">
        <v>105</v>
      </c>
      <c r="AG749" t="s">
        <v>106</v>
      </c>
    </row>
    <row r="750" spans="1:33">
      <c r="A750" t="s">
        <v>901</v>
      </c>
      <c r="B750">
        <v>45685</v>
      </c>
      <c r="C750">
        <v>45693</v>
      </c>
      <c r="D750" t="s">
        <v>27</v>
      </c>
      <c r="E750">
        <v>200</v>
      </c>
      <c r="F750">
        <v>735.45</v>
      </c>
      <c r="G750">
        <v>1.53</v>
      </c>
      <c r="H750">
        <v>144839.51999999999</v>
      </c>
      <c r="I750" t="s">
        <v>1726</v>
      </c>
      <c r="J750">
        <v>598.54999999999995</v>
      </c>
      <c r="K750">
        <v>119710</v>
      </c>
      <c r="L750">
        <v>4168.42</v>
      </c>
      <c r="M750">
        <v>379.97</v>
      </c>
      <c r="N750">
        <v>5596.19</v>
      </c>
      <c r="O750">
        <v>129854.58</v>
      </c>
      <c r="P750">
        <v>25129.52</v>
      </c>
      <c r="Q750">
        <v>14984.94</v>
      </c>
      <c r="R750" t="s">
        <v>65</v>
      </c>
      <c r="S750">
        <v>144839.51999999999</v>
      </c>
      <c r="T750">
        <v>0</v>
      </c>
      <c r="U750" t="s">
        <v>66</v>
      </c>
      <c r="V750" t="s">
        <v>8</v>
      </c>
      <c r="W750" t="s">
        <v>74</v>
      </c>
      <c r="X750" t="s">
        <v>115</v>
      </c>
      <c r="Y750" t="s">
        <v>22</v>
      </c>
      <c r="Z750">
        <v>2.4500000000000002</v>
      </c>
      <c r="AA750">
        <f t="shared" si="33"/>
        <v>14984.94</v>
      </c>
      <c r="AB750">
        <f t="shared" si="34"/>
        <v>0.10345891784231266</v>
      </c>
      <c r="AC750">
        <f t="shared" si="35"/>
        <v>0</v>
      </c>
      <c r="AD750">
        <v>2025</v>
      </c>
      <c r="AE750">
        <v>1</v>
      </c>
      <c r="AF750" t="s">
        <v>102</v>
      </c>
      <c r="AG750" t="s">
        <v>118</v>
      </c>
    </row>
    <row r="751" spans="1:33">
      <c r="A751" t="s">
        <v>902</v>
      </c>
      <c r="B751">
        <v>45649</v>
      </c>
      <c r="C751">
        <v>45657</v>
      </c>
      <c r="D751" t="s">
        <v>23</v>
      </c>
      <c r="E751">
        <v>200</v>
      </c>
      <c r="F751">
        <v>1399.42</v>
      </c>
      <c r="G751">
        <v>2.0699999999999998</v>
      </c>
      <c r="H751">
        <v>274090.40000000002</v>
      </c>
      <c r="I751" t="s">
        <v>1726</v>
      </c>
      <c r="J751">
        <v>1102.0999999999999</v>
      </c>
      <c r="K751">
        <v>220420</v>
      </c>
      <c r="L751">
        <v>2315.0700000000002</v>
      </c>
      <c r="M751">
        <v>771.61</v>
      </c>
      <c r="N751">
        <v>7916.96</v>
      </c>
      <c r="O751">
        <v>231423.64</v>
      </c>
      <c r="P751">
        <v>53670.400000000001</v>
      </c>
      <c r="Q751">
        <v>42666.76</v>
      </c>
      <c r="R751" t="s">
        <v>65</v>
      </c>
      <c r="S751">
        <v>274090.40000000002</v>
      </c>
      <c r="T751">
        <v>0</v>
      </c>
      <c r="U751" t="s">
        <v>66</v>
      </c>
      <c r="V751" t="s">
        <v>6</v>
      </c>
      <c r="W751" t="s">
        <v>92</v>
      </c>
      <c r="X751" t="s">
        <v>159</v>
      </c>
      <c r="Y751" t="s">
        <v>30</v>
      </c>
      <c r="Z751">
        <v>1.96</v>
      </c>
      <c r="AA751">
        <f t="shared" si="33"/>
        <v>42666.76</v>
      </c>
      <c r="AB751">
        <f t="shared" si="34"/>
        <v>0.15566674352695314</v>
      </c>
      <c r="AC751">
        <f t="shared" si="35"/>
        <v>0</v>
      </c>
      <c r="AD751">
        <v>2024</v>
      </c>
      <c r="AE751">
        <v>12</v>
      </c>
      <c r="AF751" t="s">
        <v>98</v>
      </c>
      <c r="AG751" t="s">
        <v>99</v>
      </c>
    </row>
    <row r="752" spans="1:33">
      <c r="A752" t="s">
        <v>903</v>
      </c>
      <c r="B752">
        <v>45411</v>
      </c>
      <c r="C752">
        <v>45415</v>
      </c>
      <c r="D752" t="s">
        <v>21</v>
      </c>
      <c r="E752">
        <v>100</v>
      </c>
      <c r="F752">
        <v>820.36</v>
      </c>
      <c r="G752">
        <v>1.94</v>
      </c>
      <c r="H752">
        <v>80444.5</v>
      </c>
      <c r="I752" t="s">
        <v>1726</v>
      </c>
      <c r="J752">
        <v>718.9</v>
      </c>
      <c r="K752">
        <v>71890</v>
      </c>
      <c r="L752">
        <v>1173.6199999999999</v>
      </c>
      <c r="M752">
        <v>473.39</v>
      </c>
      <c r="N752">
        <v>2966.31</v>
      </c>
      <c r="O752">
        <v>76503.320000000007</v>
      </c>
      <c r="P752">
        <v>8554.5</v>
      </c>
      <c r="Q752">
        <v>3941.18</v>
      </c>
      <c r="R752" t="s">
        <v>134</v>
      </c>
      <c r="S752">
        <v>0</v>
      </c>
      <c r="T752">
        <v>80444.5</v>
      </c>
      <c r="U752" t="s">
        <v>73</v>
      </c>
      <c r="V752" t="s">
        <v>14</v>
      </c>
      <c r="W752" t="s">
        <v>80</v>
      </c>
      <c r="X752" t="s">
        <v>108</v>
      </c>
      <c r="Y752" t="s">
        <v>22</v>
      </c>
      <c r="Z752">
        <v>1.61</v>
      </c>
      <c r="AA752">
        <f t="shared" si="33"/>
        <v>3941.18</v>
      </c>
      <c r="AB752">
        <f t="shared" si="34"/>
        <v>4.8992535226149707E-2</v>
      </c>
      <c r="AC752">
        <f t="shared" si="35"/>
        <v>0</v>
      </c>
      <c r="AD752">
        <v>2024</v>
      </c>
      <c r="AE752">
        <v>4</v>
      </c>
      <c r="AF752" t="s">
        <v>154</v>
      </c>
      <c r="AG752" t="s">
        <v>157</v>
      </c>
    </row>
    <row r="753" spans="1:33">
      <c r="A753" t="s">
        <v>904</v>
      </c>
      <c r="B753">
        <v>45613</v>
      </c>
      <c r="C753">
        <v>45623</v>
      </c>
      <c r="D753" t="s">
        <v>29</v>
      </c>
      <c r="E753">
        <v>200</v>
      </c>
      <c r="F753">
        <v>3130.82</v>
      </c>
      <c r="G753">
        <v>1.39</v>
      </c>
      <c r="H753">
        <v>617460.31999999995</v>
      </c>
      <c r="I753" t="s">
        <v>1726</v>
      </c>
      <c r="J753">
        <v>2190.59</v>
      </c>
      <c r="K753">
        <v>438118</v>
      </c>
      <c r="L753">
        <v>4484.59</v>
      </c>
      <c r="M753">
        <v>350.11</v>
      </c>
      <c r="N753">
        <v>4134.3100000000004</v>
      </c>
      <c r="O753">
        <v>447087.01</v>
      </c>
      <c r="P753">
        <v>179342.32</v>
      </c>
      <c r="Q753">
        <v>170373.31</v>
      </c>
      <c r="R753" t="s">
        <v>65</v>
      </c>
      <c r="S753">
        <v>617460.31999999995</v>
      </c>
      <c r="T753">
        <v>0</v>
      </c>
      <c r="U753" t="s">
        <v>66</v>
      </c>
      <c r="V753" t="s">
        <v>6</v>
      </c>
      <c r="W753" t="s">
        <v>74</v>
      </c>
      <c r="X753" t="s">
        <v>108</v>
      </c>
      <c r="Y753" t="s">
        <v>22</v>
      </c>
      <c r="Z753">
        <v>0.52</v>
      </c>
      <c r="AA753">
        <f t="shared" si="33"/>
        <v>170373.31</v>
      </c>
      <c r="AB753">
        <f t="shared" si="34"/>
        <v>0.27592592508616587</v>
      </c>
      <c r="AC753">
        <f t="shared" si="35"/>
        <v>0</v>
      </c>
      <c r="AD753">
        <v>2024</v>
      </c>
      <c r="AE753">
        <v>11</v>
      </c>
      <c r="AF753" t="s">
        <v>128</v>
      </c>
      <c r="AG753" t="s">
        <v>129</v>
      </c>
    </row>
    <row r="754" spans="1:33">
      <c r="A754" t="s">
        <v>905</v>
      </c>
      <c r="B754">
        <v>45826</v>
      </c>
      <c r="C754">
        <v>45838</v>
      </c>
      <c r="D754" t="s">
        <v>21</v>
      </c>
      <c r="E754">
        <v>1000</v>
      </c>
      <c r="F754">
        <v>885.27</v>
      </c>
      <c r="G754">
        <v>2.65</v>
      </c>
      <c r="H754">
        <v>861810.34</v>
      </c>
      <c r="I754" t="s">
        <v>1726</v>
      </c>
      <c r="J754">
        <v>708.2</v>
      </c>
      <c r="K754">
        <v>708200</v>
      </c>
      <c r="L754">
        <v>5276.07</v>
      </c>
      <c r="M754">
        <v>5262.31</v>
      </c>
      <c r="N754">
        <v>4152.8</v>
      </c>
      <c r="O754">
        <v>722891.18</v>
      </c>
      <c r="P754">
        <v>153610.34</v>
      </c>
      <c r="Q754">
        <v>138919.16</v>
      </c>
      <c r="R754" t="s">
        <v>65</v>
      </c>
      <c r="S754">
        <v>861810.34</v>
      </c>
      <c r="T754">
        <v>0</v>
      </c>
      <c r="U754" t="s">
        <v>66</v>
      </c>
      <c r="V754" t="s">
        <v>8</v>
      </c>
      <c r="W754" t="s">
        <v>74</v>
      </c>
      <c r="X754" t="s">
        <v>81</v>
      </c>
      <c r="Y754" t="s">
        <v>24</v>
      </c>
      <c r="Z754">
        <v>1.1599999999999999</v>
      </c>
      <c r="AA754">
        <f t="shared" si="33"/>
        <v>138919.16</v>
      </c>
      <c r="AB754">
        <f t="shared" si="34"/>
        <v>0.16119458487815314</v>
      </c>
      <c r="AC754">
        <f t="shared" si="35"/>
        <v>0</v>
      </c>
      <c r="AD754">
        <v>2025</v>
      </c>
      <c r="AE754">
        <v>6</v>
      </c>
      <c r="AF754" t="s">
        <v>111</v>
      </c>
      <c r="AG754" t="s">
        <v>112</v>
      </c>
    </row>
    <row r="755" spans="1:33">
      <c r="A755" t="s">
        <v>906</v>
      </c>
      <c r="B755">
        <v>45750</v>
      </c>
      <c r="C755">
        <v>45753</v>
      </c>
      <c r="D755" t="s">
        <v>21</v>
      </c>
      <c r="E755">
        <v>500</v>
      </c>
      <c r="F755">
        <v>869.67</v>
      </c>
      <c r="G755">
        <v>0.1</v>
      </c>
      <c r="H755">
        <v>434400.16</v>
      </c>
      <c r="I755" t="s">
        <v>1727</v>
      </c>
      <c r="J755">
        <v>686.45</v>
      </c>
      <c r="K755">
        <v>343225</v>
      </c>
      <c r="L755">
        <v>4477.4399999999996</v>
      </c>
      <c r="M755">
        <v>809.48</v>
      </c>
      <c r="N755">
        <v>11275.75</v>
      </c>
      <c r="O755">
        <v>359787.67</v>
      </c>
      <c r="P755">
        <v>91175.16</v>
      </c>
      <c r="Q755">
        <v>74612.490000000005</v>
      </c>
      <c r="R755" t="s">
        <v>65</v>
      </c>
      <c r="S755">
        <v>434400.16</v>
      </c>
      <c r="T755">
        <v>0</v>
      </c>
      <c r="U755" t="s">
        <v>66</v>
      </c>
      <c r="V755" t="s">
        <v>8</v>
      </c>
      <c r="W755" t="s">
        <v>74</v>
      </c>
      <c r="X755" t="s">
        <v>127</v>
      </c>
      <c r="Y755" t="s">
        <v>22</v>
      </c>
      <c r="Z755">
        <v>1.51</v>
      </c>
      <c r="AA755">
        <f t="shared" si="33"/>
        <v>74612.490000000005</v>
      </c>
      <c r="AB755">
        <f t="shared" si="34"/>
        <v>0.1717598124273251</v>
      </c>
      <c r="AC755">
        <f t="shared" si="35"/>
        <v>0</v>
      </c>
      <c r="AD755">
        <v>2025</v>
      </c>
      <c r="AE755">
        <v>4</v>
      </c>
      <c r="AF755" t="s">
        <v>154</v>
      </c>
      <c r="AG755" t="s">
        <v>155</v>
      </c>
    </row>
    <row r="756" spans="1:33">
      <c r="A756" t="s">
        <v>907</v>
      </c>
      <c r="B756">
        <v>45907</v>
      </c>
      <c r="C756">
        <v>45915</v>
      </c>
      <c r="D756" t="s">
        <v>23</v>
      </c>
      <c r="E756">
        <v>150</v>
      </c>
      <c r="F756">
        <v>1274.48</v>
      </c>
      <c r="G756">
        <v>1.31</v>
      </c>
      <c r="H756">
        <v>188667.65</v>
      </c>
      <c r="I756" t="s">
        <v>1726</v>
      </c>
      <c r="J756">
        <v>1024.77</v>
      </c>
      <c r="K756">
        <v>153715.5</v>
      </c>
      <c r="L756">
        <v>2444.12</v>
      </c>
      <c r="M756">
        <v>395.5</v>
      </c>
      <c r="N756">
        <v>4197.79</v>
      </c>
      <c r="O756">
        <v>160752.91</v>
      </c>
      <c r="P756">
        <v>34952.15</v>
      </c>
      <c r="Q756">
        <v>27914.74</v>
      </c>
      <c r="R756" t="s">
        <v>65</v>
      </c>
      <c r="S756">
        <v>188667.65</v>
      </c>
      <c r="T756">
        <v>0</v>
      </c>
      <c r="U756" t="s">
        <v>66</v>
      </c>
      <c r="V756" t="s">
        <v>10</v>
      </c>
      <c r="W756" t="s">
        <v>74</v>
      </c>
      <c r="X756" t="s">
        <v>75</v>
      </c>
      <c r="Y756" t="s">
        <v>28</v>
      </c>
      <c r="Z756">
        <v>0.88</v>
      </c>
      <c r="AA756">
        <f t="shared" si="33"/>
        <v>27914.74</v>
      </c>
      <c r="AB756">
        <f t="shared" si="34"/>
        <v>0.14795721471063006</v>
      </c>
      <c r="AC756">
        <f t="shared" si="35"/>
        <v>0</v>
      </c>
      <c r="AD756">
        <v>2025</v>
      </c>
      <c r="AE756">
        <v>9</v>
      </c>
      <c r="AF756" t="s">
        <v>131</v>
      </c>
      <c r="AG756" t="s">
        <v>132</v>
      </c>
    </row>
    <row r="757" spans="1:33">
      <c r="A757" t="s">
        <v>908</v>
      </c>
      <c r="B757">
        <v>45862</v>
      </c>
      <c r="C757">
        <v>45875</v>
      </c>
      <c r="D757" t="s">
        <v>23</v>
      </c>
      <c r="E757">
        <v>750</v>
      </c>
      <c r="F757">
        <v>1327.4</v>
      </c>
      <c r="G757">
        <v>4.46</v>
      </c>
      <c r="H757">
        <v>951148.47</v>
      </c>
      <c r="I757" t="s">
        <v>1726</v>
      </c>
      <c r="J757">
        <v>999.68</v>
      </c>
      <c r="K757">
        <v>749760</v>
      </c>
      <c r="L757">
        <v>6875.67</v>
      </c>
      <c r="M757">
        <v>4074.44</v>
      </c>
      <c r="N757">
        <v>6499.06</v>
      </c>
      <c r="O757">
        <v>767209.17</v>
      </c>
      <c r="P757">
        <v>201388.47</v>
      </c>
      <c r="Q757">
        <v>183939.3</v>
      </c>
      <c r="R757" t="s">
        <v>65</v>
      </c>
      <c r="S757">
        <v>951148.47</v>
      </c>
      <c r="T757">
        <v>0</v>
      </c>
      <c r="U757" t="s">
        <v>66</v>
      </c>
      <c r="V757" t="s">
        <v>10</v>
      </c>
      <c r="W757" t="s">
        <v>67</v>
      </c>
      <c r="X757" t="s">
        <v>75</v>
      </c>
      <c r="Y757" t="s">
        <v>28</v>
      </c>
      <c r="Z757">
        <v>1.74</v>
      </c>
      <c r="AA757">
        <f t="shared" si="33"/>
        <v>183939.3</v>
      </c>
      <c r="AB757">
        <f t="shared" si="34"/>
        <v>0.19338652776258999</v>
      </c>
      <c r="AC757">
        <f t="shared" si="35"/>
        <v>0</v>
      </c>
      <c r="AD757">
        <v>2025</v>
      </c>
      <c r="AE757">
        <v>7</v>
      </c>
      <c r="AF757" t="s">
        <v>69</v>
      </c>
      <c r="AG757" t="s">
        <v>151</v>
      </c>
    </row>
    <row r="758" spans="1:33">
      <c r="A758" t="s">
        <v>909</v>
      </c>
      <c r="B758">
        <v>45980</v>
      </c>
      <c r="C758">
        <v>45986</v>
      </c>
      <c r="D758" t="s">
        <v>21</v>
      </c>
      <c r="E758">
        <v>300</v>
      </c>
      <c r="F758">
        <v>925.09</v>
      </c>
      <c r="G758">
        <v>0.44</v>
      </c>
      <c r="H758">
        <v>276305.88</v>
      </c>
      <c r="I758" t="s">
        <v>1726</v>
      </c>
      <c r="J758">
        <v>725.6</v>
      </c>
      <c r="K758">
        <v>217680</v>
      </c>
      <c r="L758">
        <v>4184.0600000000004</v>
      </c>
      <c r="M758">
        <v>1321.33</v>
      </c>
      <c r="N758">
        <v>5089.53</v>
      </c>
      <c r="O758">
        <v>228274.92</v>
      </c>
      <c r="P758">
        <v>58625.88</v>
      </c>
      <c r="Q758">
        <v>48030.96</v>
      </c>
      <c r="R758" t="s">
        <v>85</v>
      </c>
      <c r="S758">
        <v>205504.64000000001</v>
      </c>
      <c r="T758">
        <v>70801.240000000005</v>
      </c>
      <c r="U758" t="s">
        <v>73</v>
      </c>
      <c r="V758" t="s">
        <v>6</v>
      </c>
      <c r="W758" t="s">
        <v>80</v>
      </c>
      <c r="X758" t="s">
        <v>81</v>
      </c>
      <c r="Y758" t="s">
        <v>24</v>
      </c>
      <c r="Z758">
        <v>1.93</v>
      </c>
      <c r="AA758">
        <f t="shared" si="33"/>
        <v>48030.96</v>
      </c>
      <c r="AB758">
        <f t="shared" si="34"/>
        <v>0.17383256556103691</v>
      </c>
      <c r="AC758">
        <f t="shared" si="35"/>
        <v>0</v>
      </c>
      <c r="AD758">
        <v>2025</v>
      </c>
      <c r="AE758">
        <v>11</v>
      </c>
      <c r="AF758" t="s">
        <v>128</v>
      </c>
      <c r="AG758" t="s">
        <v>135</v>
      </c>
    </row>
    <row r="759" spans="1:33">
      <c r="A759" t="s">
        <v>910</v>
      </c>
      <c r="B759">
        <v>45918</v>
      </c>
      <c r="C759">
        <v>45922</v>
      </c>
      <c r="D759" t="s">
        <v>23</v>
      </c>
      <c r="E759">
        <v>50</v>
      </c>
      <c r="F759">
        <v>1219.54</v>
      </c>
      <c r="G759">
        <v>1.27</v>
      </c>
      <c r="H759">
        <v>60202.59</v>
      </c>
      <c r="I759" t="s">
        <v>1728</v>
      </c>
      <c r="J759">
        <v>1055.42</v>
      </c>
      <c r="K759">
        <v>52771</v>
      </c>
      <c r="L759">
        <v>797.8</v>
      </c>
      <c r="M759">
        <v>188.07</v>
      </c>
      <c r="N759">
        <v>11289.75</v>
      </c>
      <c r="O759">
        <v>65046.62</v>
      </c>
      <c r="P759">
        <v>7431.59</v>
      </c>
      <c r="Q759">
        <v>-4844.03</v>
      </c>
      <c r="R759" t="s">
        <v>65</v>
      </c>
      <c r="S759">
        <v>60202.59</v>
      </c>
      <c r="T759">
        <v>0</v>
      </c>
      <c r="U759" t="s">
        <v>73</v>
      </c>
      <c r="V759" t="s">
        <v>16</v>
      </c>
      <c r="W759" t="s">
        <v>67</v>
      </c>
      <c r="X759" t="s">
        <v>142</v>
      </c>
      <c r="Y759" t="s">
        <v>28</v>
      </c>
      <c r="Z759">
        <v>0.88</v>
      </c>
      <c r="AA759">
        <f t="shared" si="33"/>
        <v>-4844.03</v>
      </c>
      <c r="AB759">
        <f t="shared" si="34"/>
        <v>-8.0462152874153758E-2</v>
      </c>
      <c r="AC759">
        <f t="shared" si="35"/>
        <v>0</v>
      </c>
      <c r="AD759">
        <v>2025</v>
      </c>
      <c r="AE759">
        <v>9</v>
      </c>
      <c r="AF759" t="s">
        <v>131</v>
      </c>
      <c r="AG759" t="s">
        <v>132</v>
      </c>
    </row>
    <row r="760" spans="1:33">
      <c r="A760" t="s">
        <v>911</v>
      </c>
      <c r="B760">
        <v>45957</v>
      </c>
      <c r="C760">
        <v>45962</v>
      </c>
      <c r="D760" t="s">
        <v>21</v>
      </c>
      <c r="E760">
        <v>200</v>
      </c>
      <c r="F760">
        <v>944.39</v>
      </c>
      <c r="G760">
        <v>1.63</v>
      </c>
      <c r="H760">
        <v>185799.29</v>
      </c>
      <c r="I760" t="s">
        <v>1729</v>
      </c>
      <c r="J760">
        <v>715.1</v>
      </c>
      <c r="K760">
        <v>143020</v>
      </c>
      <c r="L760">
        <v>1917.14</v>
      </c>
      <c r="M760">
        <v>1043.22</v>
      </c>
      <c r="N760">
        <v>1706.03</v>
      </c>
      <c r="O760">
        <v>147686.39000000001</v>
      </c>
      <c r="P760">
        <v>42779.29</v>
      </c>
      <c r="Q760">
        <v>38112.9</v>
      </c>
      <c r="R760" t="s">
        <v>134</v>
      </c>
      <c r="S760">
        <v>0</v>
      </c>
      <c r="T760">
        <v>185799.29</v>
      </c>
      <c r="U760" t="s">
        <v>66</v>
      </c>
      <c r="V760" t="s">
        <v>6</v>
      </c>
      <c r="W760" t="s">
        <v>92</v>
      </c>
      <c r="X760" t="s">
        <v>101</v>
      </c>
      <c r="Y760" t="s">
        <v>22</v>
      </c>
      <c r="Z760">
        <v>2.4700000000000002</v>
      </c>
      <c r="AA760">
        <f t="shared" si="33"/>
        <v>38112.9</v>
      </c>
      <c r="AB760">
        <f t="shared" si="34"/>
        <v>0.20512941680240004</v>
      </c>
      <c r="AC760">
        <f t="shared" si="35"/>
        <v>0</v>
      </c>
      <c r="AD760">
        <v>2025</v>
      </c>
      <c r="AE760">
        <v>10</v>
      </c>
      <c r="AF760" t="s">
        <v>138</v>
      </c>
      <c r="AG760" t="s">
        <v>160</v>
      </c>
    </row>
    <row r="761" spans="1:33">
      <c r="A761" t="s">
        <v>912</v>
      </c>
      <c r="B761">
        <v>45383</v>
      </c>
      <c r="D761" t="s">
        <v>21</v>
      </c>
      <c r="E761">
        <v>100</v>
      </c>
      <c r="F761">
        <v>929.84</v>
      </c>
      <c r="G761">
        <v>0.94</v>
      </c>
      <c r="H761">
        <v>0</v>
      </c>
      <c r="I761" t="s">
        <v>1726</v>
      </c>
      <c r="J761">
        <v>723.07</v>
      </c>
      <c r="K761">
        <v>0</v>
      </c>
      <c r="L761">
        <v>0</v>
      </c>
      <c r="M761">
        <v>0</v>
      </c>
      <c r="N761">
        <v>0</v>
      </c>
      <c r="O761">
        <v>0</v>
      </c>
      <c r="P761">
        <v>0</v>
      </c>
      <c r="Q761">
        <v>0</v>
      </c>
      <c r="R761" t="s">
        <v>85</v>
      </c>
      <c r="S761">
        <v>0</v>
      </c>
      <c r="T761">
        <v>0</v>
      </c>
      <c r="U761" t="s">
        <v>117</v>
      </c>
      <c r="V761" t="s">
        <v>16</v>
      </c>
      <c r="W761" t="s">
        <v>80</v>
      </c>
      <c r="X761" t="s">
        <v>89</v>
      </c>
      <c r="Y761" t="s">
        <v>28</v>
      </c>
      <c r="Z761">
        <v>2.1800000000000002</v>
      </c>
      <c r="AA761">
        <f t="shared" si="33"/>
        <v>0</v>
      </c>
      <c r="AB761" t="e">
        <f t="shared" si="34"/>
        <v>#DIV/0!</v>
      </c>
      <c r="AC761">
        <f t="shared" si="35"/>
        <v>0</v>
      </c>
      <c r="AD761">
        <v>2024</v>
      </c>
      <c r="AE761">
        <v>4</v>
      </c>
      <c r="AF761" t="s">
        <v>154</v>
      </c>
      <c r="AG761" t="s">
        <v>157</v>
      </c>
    </row>
    <row r="762" spans="1:33">
      <c r="A762" t="s">
        <v>913</v>
      </c>
      <c r="B762">
        <v>46008</v>
      </c>
      <c r="D762" t="s">
        <v>21</v>
      </c>
      <c r="E762">
        <v>250</v>
      </c>
      <c r="F762">
        <v>968.29</v>
      </c>
      <c r="G762">
        <v>2.2000000000000002</v>
      </c>
      <c r="H762">
        <v>236746.9</v>
      </c>
      <c r="I762" t="s">
        <v>1729</v>
      </c>
      <c r="J762">
        <v>710.2</v>
      </c>
      <c r="K762">
        <v>177550</v>
      </c>
      <c r="L762">
        <v>1474.86</v>
      </c>
      <c r="M762">
        <v>629.07000000000005</v>
      </c>
      <c r="N762">
        <v>158.83000000000001</v>
      </c>
      <c r="O762">
        <v>179812.76</v>
      </c>
      <c r="P762">
        <v>59196.9</v>
      </c>
      <c r="Q762">
        <v>56934.14</v>
      </c>
      <c r="R762" t="s">
        <v>65</v>
      </c>
      <c r="S762">
        <v>236746.9</v>
      </c>
      <c r="T762">
        <v>0</v>
      </c>
      <c r="U762" t="s">
        <v>91</v>
      </c>
      <c r="V762" t="s">
        <v>6</v>
      </c>
      <c r="W762" t="s">
        <v>74</v>
      </c>
      <c r="X762" t="s">
        <v>97</v>
      </c>
      <c r="Y762" t="s">
        <v>24</v>
      </c>
      <c r="Z762">
        <v>1.7</v>
      </c>
      <c r="AA762">
        <f t="shared" si="33"/>
        <v>56934.14</v>
      </c>
      <c r="AB762">
        <f t="shared" si="34"/>
        <v>0.24048526084185262</v>
      </c>
      <c r="AC762">
        <f t="shared" si="35"/>
        <v>0</v>
      </c>
      <c r="AD762">
        <v>2025</v>
      </c>
      <c r="AE762">
        <v>12</v>
      </c>
      <c r="AF762" t="s">
        <v>98</v>
      </c>
      <c r="AG762" t="s">
        <v>168</v>
      </c>
    </row>
    <row r="763" spans="1:33">
      <c r="A763" t="s">
        <v>914</v>
      </c>
      <c r="B763">
        <v>45659</v>
      </c>
      <c r="C763">
        <v>45665</v>
      </c>
      <c r="D763" t="s">
        <v>23</v>
      </c>
      <c r="E763">
        <v>250</v>
      </c>
      <c r="F763">
        <v>1223.7</v>
      </c>
      <c r="G763">
        <v>0.51</v>
      </c>
      <c r="H763">
        <v>304364.78000000003</v>
      </c>
      <c r="I763" t="s">
        <v>1728</v>
      </c>
      <c r="J763">
        <v>1073.71</v>
      </c>
      <c r="K763">
        <v>268427.5</v>
      </c>
      <c r="L763">
        <v>4662.1099999999997</v>
      </c>
      <c r="M763">
        <v>510.13</v>
      </c>
      <c r="N763">
        <v>165.91</v>
      </c>
      <c r="O763">
        <v>273765.65000000002</v>
      </c>
      <c r="P763">
        <v>35937.279999999999</v>
      </c>
      <c r="Q763">
        <v>30599.13</v>
      </c>
      <c r="R763" t="s">
        <v>85</v>
      </c>
      <c r="S763">
        <v>87403.72</v>
      </c>
      <c r="T763">
        <v>216961.06</v>
      </c>
      <c r="U763" t="s">
        <v>66</v>
      </c>
      <c r="V763" t="s">
        <v>8</v>
      </c>
      <c r="W763" t="s">
        <v>74</v>
      </c>
      <c r="X763" t="s">
        <v>101</v>
      </c>
      <c r="Y763" t="s">
        <v>22</v>
      </c>
      <c r="Z763">
        <v>2.2000000000000002</v>
      </c>
      <c r="AA763">
        <f t="shared" si="33"/>
        <v>30599.13</v>
      </c>
      <c r="AB763">
        <f t="shared" si="34"/>
        <v>0.10053439823096483</v>
      </c>
      <c r="AC763">
        <f t="shared" si="35"/>
        <v>0</v>
      </c>
      <c r="AD763">
        <v>2025</v>
      </c>
      <c r="AE763">
        <v>1</v>
      </c>
      <c r="AF763" t="s">
        <v>102</v>
      </c>
      <c r="AG763" t="s">
        <v>118</v>
      </c>
    </row>
    <row r="764" spans="1:33">
      <c r="A764" t="s">
        <v>915</v>
      </c>
      <c r="B764">
        <v>45789</v>
      </c>
      <c r="C764">
        <v>45802</v>
      </c>
      <c r="D764" t="s">
        <v>23</v>
      </c>
      <c r="E764">
        <v>200</v>
      </c>
      <c r="F764">
        <v>1202.45</v>
      </c>
      <c r="G764">
        <v>1.43</v>
      </c>
      <c r="H764">
        <v>237050.99</v>
      </c>
      <c r="I764" t="s">
        <v>1727</v>
      </c>
      <c r="J764">
        <v>1035.2</v>
      </c>
      <c r="K764">
        <v>207040</v>
      </c>
      <c r="L764">
        <v>2565.0100000000002</v>
      </c>
      <c r="M764">
        <v>340.32</v>
      </c>
      <c r="N764">
        <v>3939.38</v>
      </c>
      <c r="O764">
        <v>213884.71</v>
      </c>
      <c r="P764">
        <v>30010.99</v>
      </c>
      <c r="Q764">
        <v>23166.28</v>
      </c>
      <c r="R764" t="s">
        <v>134</v>
      </c>
      <c r="S764">
        <v>0</v>
      </c>
      <c r="T764">
        <v>237050.99</v>
      </c>
      <c r="U764" t="s">
        <v>66</v>
      </c>
      <c r="V764" t="s">
        <v>10</v>
      </c>
      <c r="W764" t="s">
        <v>74</v>
      </c>
      <c r="X764" t="s">
        <v>93</v>
      </c>
      <c r="Y764" t="s">
        <v>26</v>
      </c>
      <c r="Z764">
        <v>0.78</v>
      </c>
      <c r="AA764">
        <f t="shared" si="33"/>
        <v>23166.28</v>
      </c>
      <c r="AB764">
        <f t="shared" si="34"/>
        <v>9.772699114228546E-2</v>
      </c>
      <c r="AC764">
        <f t="shared" si="35"/>
        <v>0</v>
      </c>
      <c r="AD764">
        <v>2025</v>
      </c>
      <c r="AE764">
        <v>5</v>
      </c>
      <c r="AF764" t="s">
        <v>76</v>
      </c>
      <c r="AG764" t="s">
        <v>94</v>
      </c>
    </row>
    <row r="765" spans="1:33">
      <c r="A765" t="s">
        <v>916</v>
      </c>
      <c r="B765">
        <v>46006</v>
      </c>
      <c r="D765" t="s">
        <v>21</v>
      </c>
      <c r="E765">
        <v>500</v>
      </c>
      <c r="F765">
        <v>897.47</v>
      </c>
      <c r="G765">
        <v>3.42</v>
      </c>
      <c r="H765">
        <v>433388.26</v>
      </c>
      <c r="I765" t="s">
        <v>1728</v>
      </c>
      <c r="J765">
        <v>652.54</v>
      </c>
      <c r="K765">
        <v>326270</v>
      </c>
      <c r="L765">
        <v>8034.73</v>
      </c>
      <c r="M765">
        <v>1996.24</v>
      </c>
      <c r="N765">
        <v>3321.84</v>
      </c>
      <c r="O765">
        <v>339622.81</v>
      </c>
      <c r="P765">
        <v>107118.26</v>
      </c>
      <c r="Q765">
        <v>93765.45</v>
      </c>
      <c r="R765" t="s">
        <v>65</v>
      </c>
      <c r="S765">
        <v>433388.26</v>
      </c>
      <c r="T765">
        <v>0</v>
      </c>
      <c r="U765" t="s">
        <v>91</v>
      </c>
      <c r="V765" t="s">
        <v>14</v>
      </c>
      <c r="W765" t="s">
        <v>80</v>
      </c>
      <c r="X765" t="s">
        <v>123</v>
      </c>
      <c r="Y765" t="s">
        <v>22</v>
      </c>
      <c r="Z765">
        <v>1.7</v>
      </c>
      <c r="AA765">
        <f t="shared" si="33"/>
        <v>93765.45</v>
      </c>
      <c r="AB765">
        <f t="shared" si="34"/>
        <v>0.21635438394201079</v>
      </c>
      <c r="AC765">
        <f t="shared" si="35"/>
        <v>0</v>
      </c>
      <c r="AD765">
        <v>2025</v>
      </c>
      <c r="AE765">
        <v>12</v>
      </c>
      <c r="AF765" t="s">
        <v>98</v>
      </c>
      <c r="AG765" t="s">
        <v>168</v>
      </c>
    </row>
    <row r="766" spans="1:33">
      <c r="A766" t="s">
        <v>917</v>
      </c>
      <c r="B766">
        <v>45386</v>
      </c>
      <c r="C766">
        <v>45391</v>
      </c>
      <c r="D766" t="s">
        <v>23</v>
      </c>
      <c r="E766">
        <v>150</v>
      </c>
      <c r="F766">
        <v>1394.2</v>
      </c>
      <c r="G766">
        <v>1.82</v>
      </c>
      <c r="H766">
        <v>205323.83</v>
      </c>
      <c r="I766" t="s">
        <v>1726</v>
      </c>
      <c r="J766">
        <v>1081.68</v>
      </c>
      <c r="K766">
        <v>162252</v>
      </c>
      <c r="L766">
        <v>2497.1999999999998</v>
      </c>
      <c r="M766">
        <v>758.28</v>
      </c>
      <c r="N766">
        <v>3389.86</v>
      </c>
      <c r="O766">
        <v>168897.34</v>
      </c>
      <c r="P766">
        <v>43071.83</v>
      </c>
      <c r="Q766">
        <v>36426.49</v>
      </c>
      <c r="R766" t="s">
        <v>65</v>
      </c>
      <c r="S766">
        <v>205323.83</v>
      </c>
      <c r="T766">
        <v>0</v>
      </c>
      <c r="U766" t="s">
        <v>66</v>
      </c>
      <c r="V766" t="s">
        <v>12</v>
      </c>
      <c r="W766" t="s">
        <v>67</v>
      </c>
      <c r="X766" t="s">
        <v>115</v>
      </c>
      <c r="Y766" t="s">
        <v>22</v>
      </c>
      <c r="Z766">
        <v>2.33</v>
      </c>
      <c r="AA766">
        <f t="shared" si="33"/>
        <v>36426.49</v>
      </c>
      <c r="AB766">
        <f t="shared" si="34"/>
        <v>0.17740994798314447</v>
      </c>
      <c r="AC766">
        <f t="shared" si="35"/>
        <v>0</v>
      </c>
      <c r="AD766">
        <v>2024</v>
      </c>
      <c r="AE766">
        <v>4</v>
      </c>
      <c r="AF766" t="s">
        <v>154</v>
      </c>
      <c r="AG766" t="s">
        <v>157</v>
      </c>
    </row>
    <row r="767" spans="1:33">
      <c r="A767" t="s">
        <v>918</v>
      </c>
      <c r="B767">
        <v>46008</v>
      </c>
      <c r="C767">
        <v>46018</v>
      </c>
      <c r="D767" t="s">
        <v>27</v>
      </c>
      <c r="E767">
        <v>300</v>
      </c>
      <c r="F767">
        <v>766.88</v>
      </c>
      <c r="G767">
        <v>1.62</v>
      </c>
      <c r="H767">
        <v>226336.96</v>
      </c>
      <c r="I767" t="s">
        <v>1728</v>
      </c>
      <c r="J767">
        <v>551.72</v>
      </c>
      <c r="K767">
        <v>165516</v>
      </c>
      <c r="L767">
        <v>6587.34</v>
      </c>
      <c r="M767">
        <v>1214.55</v>
      </c>
      <c r="N767">
        <v>6142.59</v>
      </c>
      <c r="O767">
        <v>179460.48000000001</v>
      </c>
      <c r="P767">
        <v>60820.959999999999</v>
      </c>
      <c r="Q767">
        <v>46876.480000000003</v>
      </c>
      <c r="R767" t="s">
        <v>65</v>
      </c>
      <c r="S767">
        <v>226336.96</v>
      </c>
      <c r="T767">
        <v>0</v>
      </c>
      <c r="U767" t="s">
        <v>66</v>
      </c>
      <c r="V767" t="s">
        <v>6</v>
      </c>
      <c r="W767" t="s">
        <v>74</v>
      </c>
      <c r="X767" t="s">
        <v>142</v>
      </c>
      <c r="Y767" t="s">
        <v>28</v>
      </c>
      <c r="Z767">
        <v>1.2</v>
      </c>
      <c r="AA767">
        <f t="shared" si="33"/>
        <v>46876.480000000003</v>
      </c>
      <c r="AB767">
        <f t="shared" si="34"/>
        <v>0.2071092586911126</v>
      </c>
      <c r="AC767">
        <f t="shared" si="35"/>
        <v>0</v>
      </c>
      <c r="AD767">
        <v>2025</v>
      </c>
      <c r="AE767">
        <v>12</v>
      </c>
      <c r="AF767" t="s">
        <v>98</v>
      </c>
      <c r="AG767" t="s">
        <v>168</v>
      </c>
    </row>
    <row r="768" spans="1:33">
      <c r="A768" t="s">
        <v>919</v>
      </c>
      <c r="B768">
        <v>45729</v>
      </c>
      <c r="C768">
        <v>45729</v>
      </c>
      <c r="D768" t="s">
        <v>23</v>
      </c>
      <c r="E768">
        <v>150</v>
      </c>
      <c r="F768">
        <v>1374.97</v>
      </c>
      <c r="G768">
        <v>1.27</v>
      </c>
      <c r="H768">
        <v>203626.18</v>
      </c>
      <c r="I768" t="s">
        <v>1728</v>
      </c>
      <c r="J768">
        <v>997.05</v>
      </c>
      <c r="K768">
        <v>149557.5</v>
      </c>
      <c r="L768">
        <v>3459.45</v>
      </c>
      <c r="M768">
        <v>410.19</v>
      </c>
      <c r="N768">
        <v>11342.54</v>
      </c>
      <c r="O768">
        <v>164769.68</v>
      </c>
      <c r="P768">
        <v>54068.68</v>
      </c>
      <c r="Q768">
        <v>38856.5</v>
      </c>
      <c r="R768" t="s">
        <v>65</v>
      </c>
      <c r="S768">
        <v>203626.18</v>
      </c>
      <c r="T768">
        <v>0</v>
      </c>
      <c r="U768" t="s">
        <v>66</v>
      </c>
      <c r="V768" t="s">
        <v>6</v>
      </c>
      <c r="W768" t="s">
        <v>67</v>
      </c>
      <c r="X768" t="s">
        <v>208</v>
      </c>
      <c r="Y768" t="s">
        <v>26</v>
      </c>
      <c r="Z768">
        <v>2.2000000000000002</v>
      </c>
      <c r="AA768">
        <f t="shared" si="33"/>
        <v>38856.5</v>
      </c>
      <c r="AB768">
        <f t="shared" si="34"/>
        <v>0.19082271248225549</v>
      </c>
      <c r="AC768">
        <f t="shared" si="35"/>
        <v>0</v>
      </c>
      <c r="AD768">
        <v>2025</v>
      </c>
      <c r="AE768">
        <v>3</v>
      </c>
      <c r="AF768" t="s">
        <v>105</v>
      </c>
      <c r="AG768" t="s">
        <v>106</v>
      </c>
    </row>
    <row r="769" spans="1:33">
      <c r="A769" t="s">
        <v>920</v>
      </c>
      <c r="B769">
        <v>45551</v>
      </c>
      <c r="D769" t="s">
        <v>25</v>
      </c>
      <c r="E769">
        <v>100</v>
      </c>
      <c r="F769">
        <v>955.59</v>
      </c>
      <c r="G769">
        <v>0.72</v>
      </c>
      <c r="H769">
        <v>94870.98</v>
      </c>
      <c r="I769" t="s">
        <v>1726</v>
      </c>
      <c r="J769">
        <v>754.05</v>
      </c>
      <c r="K769">
        <v>75405</v>
      </c>
      <c r="L769">
        <v>2038.27</v>
      </c>
      <c r="M769">
        <v>289.44</v>
      </c>
      <c r="N769">
        <v>6006.53</v>
      </c>
      <c r="O769">
        <v>83739.240000000005</v>
      </c>
      <c r="P769">
        <v>19465.98</v>
      </c>
      <c r="Q769">
        <v>11131.74</v>
      </c>
      <c r="R769" t="s">
        <v>85</v>
      </c>
      <c r="S769">
        <v>41637.620000000003</v>
      </c>
      <c r="T769">
        <v>53233.36</v>
      </c>
      <c r="U769" t="s">
        <v>91</v>
      </c>
      <c r="V769" t="s">
        <v>6</v>
      </c>
      <c r="W769" t="s">
        <v>92</v>
      </c>
      <c r="X769" t="s">
        <v>123</v>
      </c>
      <c r="Y769" t="s">
        <v>22</v>
      </c>
      <c r="Z769">
        <v>1.71</v>
      </c>
      <c r="AA769">
        <f t="shared" si="33"/>
        <v>11131.74</v>
      </c>
      <c r="AB769">
        <f t="shared" si="34"/>
        <v>0.11733556457411951</v>
      </c>
      <c r="AC769">
        <f t="shared" si="35"/>
        <v>0</v>
      </c>
      <c r="AD769">
        <v>2024</v>
      </c>
      <c r="AE769">
        <v>9</v>
      </c>
      <c r="AF769" t="s">
        <v>131</v>
      </c>
      <c r="AG769" t="s">
        <v>188</v>
      </c>
    </row>
    <row r="770" spans="1:33">
      <c r="A770" t="s">
        <v>921</v>
      </c>
      <c r="B770">
        <v>45496</v>
      </c>
      <c r="C770">
        <v>45500</v>
      </c>
      <c r="D770" t="s">
        <v>21</v>
      </c>
      <c r="E770">
        <v>300</v>
      </c>
      <c r="F770">
        <v>831.37</v>
      </c>
      <c r="G770">
        <v>0.71</v>
      </c>
      <c r="H770">
        <v>247640.18</v>
      </c>
      <c r="I770" t="s">
        <v>1727</v>
      </c>
      <c r="J770">
        <v>649.52</v>
      </c>
      <c r="K770">
        <v>194856</v>
      </c>
      <c r="L770">
        <v>5107.47</v>
      </c>
      <c r="M770">
        <v>1496.27</v>
      </c>
      <c r="N770">
        <v>1308.02</v>
      </c>
      <c r="O770">
        <v>202767.76</v>
      </c>
      <c r="P770">
        <v>52784.18</v>
      </c>
      <c r="Q770">
        <v>44872.42</v>
      </c>
      <c r="R770" t="s">
        <v>65</v>
      </c>
      <c r="S770">
        <v>247640.18</v>
      </c>
      <c r="T770">
        <v>0</v>
      </c>
      <c r="U770" t="s">
        <v>66</v>
      </c>
      <c r="V770" t="s">
        <v>10</v>
      </c>
      <c r="W770" t="s">
        <v>80</v>
      </c>
      <c r="X770" t="s">
        <v>195</v>
      </c>
      <c r="Y770" t="s">
        <v>26</v>
      </c>
      <c r="Z770">
        <v>0.24</v>
      </c>
      <c r="AA770">
        <f t="shared" ref="AA770:AA833" si="36">ROUND(H770-O770,2)</f>
        <v>44872.42</v>
      </c>
      <c r="AB770">
        <f t="shared" ref="AB770:AB833" si="37">AA770/H770</f>
        <v>0.18120007827485829</v>
      </c>
      <c r="AC770">
        <f t="shared" ref="AC770:AC833" si="38">ROUND(AA770-Q770,2)</f>
        <v>0</v>
      </c>
      <c r="AD770">
        <v>2024</v>
      </c>
      <c r="AE770">
        <v>7</v>
      </c>
      <c r="AF770" t="s">
        <v>69</v>
      </c>
      <c r="AG770" t="s">
        <v>70</v>
      </c>
    </row>
    <row r="771" spans="1:33">
      <c r="A771" t="s">
        <v>922</v>
      </c>
      <c r="B771">
        <v>45913</v>
      </c>
      <c r="C771">
        <v>45920</v>
      </c>
      <c r="D771" t="s">
        <v>21</v>
      </c>
      <c r="E771">
        <v>250</v>
      </c>
      <c r="F771">
        <v>941.43</v>
      </c>
      <c r="G771">
        <v>0.18</v>
      </c>
      <c r="H771">
        <v>234933.86</v>
      </c>
      <c r="I771" t="s">
        <v>1728</v>
      </c>
      <c r="J771">
        <v>701.79</v>
      </c>
      <c r="K771">
        <v>175447.5</v>
      </c>
      <c r="L771">
        <v>3930.24</v>
      </c>
      <c r="M771">
        <v>1397.49</v>
      </c>
      <c r="N771">
        <v>5565.18</v>
      </c>
      <c r="O771">
        <v>186340.41</v>
      </c>
      <c r="P771">
        <v>59486.36</v>
      </c>
      <c r="Q771">
        <v>48593.45</v>
      </c>
      <c r="R771" t="s">
        <v>65</v>
      </c>
      <c r="S771">
        <v>234933.86</v>
      </c>
      <c r="T771">
        <v>0</v>
      </c>
      <c r="U771" t="s">
        <v>66</v>
      </c>
      <c r="V771" t="s">
        <v>10</v>
      </c>
      <c r="W771" t="s">
        <v>67</v>
      </c>
      <c r="X771" t="s">
        <v>127</v>
      </c>
      <c r="Y771" t="s">
        <v>22</v>
      </c>
      <c r="Z771">
        <v>1.85</v>
      </c>
      <c r="AA771">
        <f t="shared" si="36"/>
        <v>48593.45</v>
      </c>
      <c r="AB771">
        <f t="shared" si="37"/>
        <v>0.20683885243276554</v>
      </c>
      <c r="AC771">
        <f t="shared" si="38"/>
        <v>0</v>
      </c>
      <c r="AD771">
        <v>2025</v>
      </c>
      <c r="AE771">
        <v>9</v>
      </c>
      <c r="AF771" t="s">
        <v>131</v>
      </c>
      <c r="AG771" t="s">
        <v>132</v>
      </c>
    </row>
    <row r="772" spans="1:33">
      <c r="A772" t="s">
        <v>923</v>
      </c>
      <c r="B772">
        <v>45676</v>
      </c>
      <c r="C772">
        <v>45680</v>
      </c>
      <c r="D772" t="s">
        <v>21</v>
      </c>
      <c r="E772">
        <v>100</v>
      </c>
      <c r="F772">
        <v>904.84</v>
      </c>
      <c r="G772">
        <v>0.95</v>
      </c>
      <c r="H772">
        <v>89624.4</v>
      </c>
      <c r="I772" t="s">
        <v>1727</v>
      </c>
      <c r="J772">
        <v>729.79</v>
      </c>
      <c r="K772">
        <v>72979</v>
      </c>
      <c r="L772">
        <v>1283.8499999999999</v>
      </c>
      <c r="M772">
        <v>261.51</v>
      </c>
      <c r="N772">
        <v>5050.91</v>
      </c>
      <c r="O772">
        <v>79575.27</v>
      </c>
      <c r="P772">
        <v>16645.400000000001</v>
      </c>
      <c r="Q772">
        <v>10049.129999999999</v>
      </c>
      <c r="R772" t="s">
        <v>65</v>
      </c>
      <c r="S772">
        <v>89624.4</v>
      </c>
      <c r="T772">
        <v>0</v>
      </c>
      <c r="U772" t="s">
        <v>66</v>
      </c>
      <c r="V772" t="s">
        <v>6</v>
      </c>
      <c r="W772" t="s">
        <v>92</v>
      </c>
      <c r="X772" t="s">
        <v>193</v>
      </c>
      <c r="Y772" t="s">
        <v>30</v>
      </c>
      <c r="Z772">
        <v>1.72</v>
      </c>
      <c r="AA772">
        <f t="shared" si="36"/>
        <v>10049.129999999999</v>
      </c>
      <c r="AB772">
        <f t="shared" si="37"/>
        <v>0.11212493472759651</v>
      </c>
      <c r="AC772">
        <f t="shared" si="38"/>
        <v>0</v>
      </c>
      <c r="AD772">
        <v>2025</v>
      </c>
      <c r="AE772">
        <v>1</v>
      </c>
      <c r="AF772" t="s">
        <v>102</v>
      </c>
      <c r="AG772" t="s">
        <v>118</v>
      </c>
    </row>
    <row r="773" spans="1:33">
      <c r="A773" t="s">
        <v>924</v>
      </c>
      <c r="B773">
        <v>45432</v>
      </c>
      <c r="C773">
        <v>45441</v>
      </c>
      <c r="D773" t="s">
        <v>21</v>
      </c>
      <c r="E773">
        <v>250</v>
      </c>
      <c r="F773">
        <v>917.02</v>
      </c>
      <c r="G773">
        <v>1.1299999999999999</v>
      </c>
      <c r="H773">
        <v>226664.42</v>
      </c>
      <c r="I773" t="s">
        <v>1727</v>
      </c>
      <c r="J773">
        <v>693.55</v>
      </c>
      <c r="K773">
        <v>173387.5</v>
      </c>
      <c r="L773">
        <v>3908.64</v>
      </c>
      <c r="M773">
        <v>1319.6</v>
      </c>
      <c r="N773">
        <v>9046.75</v>
      </c>
      <c r="O773">
        <v>187662.49</v>
      </c>
      <c r="P773">
        <v>53276.92</v>
      </c>
      <c r="Q773">
        <v>39001.93</v>
      </c>
      <c r="R773" t="s">
        <v>65</v>
      </c>
      <c r="S773">
        <v>226664.42</v>
      </c>
      <c r="T773">
        <v>0</v>
      </c>
      <c r="U773" t="s">
        <v>66</v>
      </c>
      <c r="V773" t="s">
        <v>14</v>
      </c>
      <c r="W773" t="s">
        <v>141</v>
      </c>
      <c r="X773" t="s">
        <v>101</v>
      </c>
      <c r="Y773" t="s">
        <v>22</v>
      </c>
      <c r="Z773">
        <v>2.08</v>
      </c>
      <c r="AA773">
        <f t="shared" si="36"/>
        <v>39001.93</v>
      </c>
      <c r="AB773">
        <f t="shared" si="37"/>
        <v>0.17206904374316886</v>
      </c>
      <c r="AC773">
        <f t="shared" si="38"/>
        <v>0</v>
      </c>
      <c r="AD773">
        <v>2024</v>
      </c>
      <c r="AE773">
        <v>5</v>
      </c>
      <c r="AF773" t="s">
        <v>76</v>
      </c>
      <c r="AG773" t="s">
        <v>77</v>
      </c>
    </row>
    <row r="774" spans="1:33">
      <c r="A774" t="s">
        <v>925</v>
      </c>
      <c r="B774">
        <v>45485</v>
      </c>
      <c r="D774" t="s">
        <v>21</v>
      </c>
      <c r="E774">
        <v>100</v>
      </c>
      <c r="F774">
        <v>859.91</v>
      </c>
      <c r="G774">
        <v>0.83</v>
      </c>
      <c r="H774">
        <v>0</v>
      </c>
      <c r="I774" t="s">
        <v>1729</v>
      </c>
      <c r="J774">
        <v>697.15</v>
      </c>
      <c r="K774">
        <v>0</v>
      </c>
      <c r="L774">
        <v>0</v>
      </c>
      <c r="M774">
        <v>0</v>
      </c>
      <c r="N774">
        <v>0</v>
      </c>
      <c r="O774">
        <v>0</v>
      </c>
      <c r="P774">
        <v>0</v>
      </c>
      <c r="Q774">
        <v>0</v>
      </c>
      <c r="R774" t="s">
        <v>85</v>
      </c>
      <c r="S774">
        <v>0</v>
      </c>
      <c r="T774">
        <v>0</v>
      </c>
      <c r="U774" t="s">
        <v>117</v>
      </c>
      <c r="V774" t="s">
        <v>12</v>
      </c>
      <c r="W774" t="s">
        <v>74</v>
      </c>
      <c r="X774" t="s">
        <v>89</v>
      </c>
      <c r="Y774" t="s">
        <v>28</v>
      </c>
      <c r="Z774">
        <v>1.88</v>
      </c>
      <c r="AA774">
        <f t="shared" si="36"/>
        <v>0</v>
      </c>
      <c r="AB774" t="e">
        <f t="shared" si="37"/>
        <v>#DIV/0!</v>
      </c>
      <c r="AC774">
        <f t="shared" si="38"/>
        <v>0</v>
      </c>
      <c r="AD774">
        <v>2024</v>
      </c>
      <c r="AE774">
        <v>7</v>
      </c>
      <c r="AF774" t="s">
        <v>69</v>
      </c>
      <c r="AG774" t="s">
        <v>70</v>
      </c>
    </row>
    <row r="775" spans="1:33">
      <c r="A775" t="s">
        <v>926</v>
      </c>
      <c r="B775">
        <v>45752</v>
      </c>
      <c r="C775">
        <v>45762</v>
      </c>
      <c r="D775" t="s">
        <v>21</v>
      </c>
      <c r="E775">
        <v>300</v>
      </c>
      <c r="F775">
        <v>916.99</v>
      </c>
      <c r="G775">
        <v>2.37</v>
      </c>
      <c r="H775">
        <v>268577.2</v>
      </c>
      <c r="I775" t="s">
        <v>1727</v>
      </c>
      <c r="J775">
        <v>654.73</v>
      </c>
      <c r="K775">
        <v>196419</v>
      </c>
      <c r="L775">
        <v>2318.25</v>
      </c>
      <c r="M775">
        <v>651.62</v>
      </c>
      <c r="N775">
        <v>1992.59</v>
      </c>
      <c r="O775">
        <v>201381.46</v>
      </c>
      <c r="P775">
        <v>72158.2</v>
      </c>
      <c r="Q775">
        <v>67195.740000000005</v>
      </c>
      <c r="R775" t="s">
        <v>65</v>
      </c>
      <c r="S775">
        <v>268577.2</v>
      </c>
      <c r="T775">
        <v>0</v>
      </c>
      <c r="U775" t="s">
        <v>66</v>
      </c>
      <c r="V775" t="s">
        <v>12</v>
      </c>
      <c r="W775" t="s">
        <v>74</v>
      </c>
      <c r="X775" t="s">
        <v>182</v>
      </c>
      <c r="Y775" t="s">
        <v>26</v>
      </c>
      <c r="Z775">
        <v>2.34</v>
      </c>
      <c r="AA775">
        <f t="shared" si="36"/>
        <v>67195.740000000005</v>
      </c>
      <c r="AB775">
        <f t="shared" si="37"/>
        <v>0.25019152779908349</v>
      </c>
      <c r="AC775">
        <f t="shared" si="38"/>
        <v>0</v>
      </c>
      <c r="AD775">
        <v>2025</v>
      </c>
      <c r="AE775">
        <v>4</v>
      </c>
      <c r="AF775" t="s">
        <v>154</v>
      </c>
      <c r="AG775" t="s">
        <v>155</v>
      </c>
    </row>
    <row r="776" spans="1:33">
      <c r="A776" t="s">
        <v>927</v>
      </c>
      <c r="B776">
        <v>45582</v>
      </c>
      <c r="C776">
        <v>45584</v>
      </c>
      <c r="D776" t="s">
        <v>21</v>
      </c>
      <c r="E776">
        <v>500</v>
      </c>
      <c r="F776">
        <v>921.14</v>
      </c>
      <c r="G776">
        <v>3.12</v>
      </c>
      <c r="H776">
        <v>446200.22</v>
      </c>
      <c r="I776" t="s">
        <v>1726</v>
      </c>
      <c r="J776">
        <v>690.57</v>
      </c>
      <c r="K776">
        <v>345285</v>
      </c>
      <c r="L776">
        <v>5071.1099999999997</v>
      </c>
      <c r="M776">
        <v>1265.27</v>
      </c>
      <c r="N776">
        <v>3882.41</v>
      </c>
      <c r="O776">
        <v>355503.79</v>
      </c>
      <c r="P776">
        <v>100915.22</v>
      </c>
      <c r="Q776">
        <v>90696.43</v>
      </c>
      <c r="R776" t="s">
        <v>65</v>
      </c>
      <c r="S776">
        <v>446200.22</v>
      </c>
      <c r="T776">
        <v>0</v>
      </c>
      <c r="U776" t="s">
        <v>66</v>
      </c>
      <c r="V776" t="s">
        <v>8</v>
      </c>
      <c r="W776" t="s">
        <v>74</v>
      </c>
      <c r="X776" t="s">
        <v>127</v>
      </c>
      <c r="Y776" t="s">
        <v>22</v>
      </c>
      <c r="Z776">
        <v>0.96</v>
      </c>
      <c r="AA776">
        <f t="shared" si="36"/>
        <v>90696.43</v>
      </c>
      <c r="AB776">
        <f t="shared" si="37"/>
        <v>0.20326397418629691</v>
      </c>
      <c r="AC776">
        <f t="shared" si="38"/>
        <v>0</v>
      </c>
      <c r="AD776">
        <v>2024</v>
      </c>
      <c r="AE776">
        <v>10</v>
      </c>
      <c r="AF776" t="s">
        <v>138</v>
      </c>
      <c r="AG776" t="s">
        <v>139</v>
      </c>
    </row>
    <row r="777" spans="1:33">
      <c r="A777" t="s">
        <v>928</v>
      </c>
      <c r="B777">
        <v>45897</v>
      </c>
      <c r="C777">
        <v>45901</v>
      </c>
      <c r="D777" t="s">
        <v>21</v>
      </c>
      <c r="E777">
        <v>500</v>
      </c>
      <c r="F777">
        <v>830.89</v>
      </c>
      <c r="G777">
        <v>1.95</v>
      </c>
      <c r="H777">
        <v>407343.82</v>
      </c>
      <c r="I777" t="s">
        <v>1727</v>
      </c>
      <c r="J777">
        <v>651.23</v>
      </c>
      <c r="K777">
        <v>325615</v>
      </c>
      <c r="L777">
        <v>8951.0499999999993</v>
      </c>
      <c r="M777">
        <v>1378.77</v>
      </c>
      <c r="N777">
        <v>621.82000000000005</v>
      </c>
      <c r="O777">
        <v>336566.64</v>
      </c>
      <c r="P777">
        <v>81728.820000000007</v>
      </c>
      <c r="Q777">
        <v>70777.179999999993</v>
      </c>
      <c r="R777" t="s">
        <v>65</v>
      </c>
      <c r="S777">
        <v>407343.82</v>
      </c>
      <c r="T777">
        <v>0</v>
      </c>
      <c r="U777" t="s">
        <v>66</v>
      </c>
      <c r="V777" t="s">
        <v>16</v>
      </c>
      <c r="W777" t="s">
        <v>67</v>
      </c>
      <c r="X777" t="s">
        <v>101</v>
      </c>
      <c r="Y777" t="s">
        <v>22</v>
      </c>
      <c r="Z777">
        <v>0.91</v>
      </c>
      <c r="AA777">
        <f t="shared" si="36"/>
        <v>70777.179999999993</v>
      </c>
      <c r="AB777">
        <f t="shared" si="37"/>
        <v>0.17375292449508623</v>
      </c>
      <c r="AC777">
        <f t="shared" si="38"/>
        <v>0</v>
      </c>
      <c r="AD777">
        <v>2025</v>
      </c>
      <c r="AE777">
        <v>8</v>
      </c>
      <c r="AF777" t="s">
        <v>82</v>
      </c>
      <c r="AG777" t="s">
        <v>87</v>
      </c>
    </row>
    <row r="778" spans="1:33">
      <c r="A778" t="s">
        <v>929</v>
      </c>
      <c r="B778">
        <v>45455</v>
      </c>
      <c r="C778">
        <v>45467</v>
      </c>
      <c r="D778" t="s">
        <v>25</v>
      </c>
      <c r="E778">
        <v>200</v>
      </c>
      <c r="F778">
        <v>1007.63</v>
      </c>
      <c r="G778">
        <v>2.39</v>
      </c>
      <c r="H778">
        <v>196709.53</v>
      </c>
      <c r="I778" t="s">
        <v>1727</v>
      </c>
      <c r="J778">
        <v>728.18</v>
      </c>
      <c r="K778">
        <v>145636</v>
      </c>
      <c r="L778">
        <v>3334.03</v>
      </c>
      <c r="M778">
        <v>818.12</v>
      </c>
      <c r="N778">
        <v>10223.219999999999</v>
      </c>
      <c r="O778">
        <v>160011.37</v>
      </c>
      <c r="P778">
        <v>51073.53</v>
      </c>
      <c r="Q778">
        <v>36698.160000000003</v>
      </c>
      <c r="R778" t="s">
        <v>85</v>
      </c>
      <c r="S778">
        <v>122386.01</v>
      </c>
      <c r="T778">
        <v>74323.520000000004</v>
      </c>
      <c r="U778" t="s">
        <v>66</v>
      </c>
      <c r="V778" t="s">
        <v>6</v>
      </c>
      <c r="W778" t="s">
        <v>92</v>
      </c>
      <c r="X778" t="s">
        <v>176</v>
      </c>
      <c r="Y778" t="s">
        <v>22</v>
      </c>
      <c r="Z778">
        <v>1.23</v>
      </c>
      <c r="AA778">
        <f t="shared" si="36"/>
        <v>36698.160000000003</v>
      </c>
      <c r="AB778">
        <f t="shared" si="37"/>
        <v>0.18656015293209233</v>
      </c>
      <c r="AC778">
        <f t="shared" si="38"/>
        <v>0</v>
      </c>
      <c r="AD778">
        <v>2024</v>
      </c>
      <c r="AE778">
        <v>6</v>
      </c>
      <c r="AF778" t="s">
        <v>111</v>
      </c>
      <c r="AG778" t="s">
        <v>148</v>
      </c>
    </row>
    <row r="779" spans="1:33">
      <c r="A779" t="s">
        <v>930</v>
      </c>
      <c r="B779">
        <v>45719</v>
      </c>
      <c r="C779">
        <v>45723</v>
      </c>
      <c r="D779" t="s">
        <v>21</v>
      </c>
      <c r="E779">
        <v>500</v>
      </c>
      <c r="F779">
        <v>904.43</v>
      </c>
      <c r="G779">
        <v>3.89</v>
      </c>
      <c r="H779">
        <v>434623.84</v>
      </c>
      <c r="I779" t="s">
        <v>1726</v>
      </c>
      <c r="J779">
        <v>735.29</v>
      </c>
      <c r="K779">
        <v>367645</v>
      </c>
      <c r="L779">
        <v>9282.9</v>
      </c>
      <c r="M779">
        <v>2172.2399999999998</v>
      </c>
      <c r="N779">
        <v>11343.75</v>
      </c>
      <c r="O779">
        <v>390443.89</v>
      </c>
      <c r="P779">
        <v>66978.84</v>
      </c>
      <c r="Q779">
        <v>44179.95</v>
      </c>
      <c r="R779" t="s">
        <v>65</v>
      </c>
      <c r="S779">
        <v>434623.84</v>
      </c>
      <c r="T779">
        <v>0</v>
      </c>
      <c r="U779" t="s">
        <v>66</v>
      </c>
      <c r="V779" t="s">
        <v>8</v>
      </c>
      <c r="W779" t="s">
        <v>74</v>
      </c>
      <c r="X779" t="s">
        <v>230</v>
      </c>
      <c r="Y779" t="s">
        <v>31</v>
      </c>
      <c r="Z779">
        <v>0.82</v>
      </c>
      <c r="AA779">
        <f t="shared" si="36"/>
        <v>44179.95</v>
      </c>
      <c r="AB779">
        <f t="shared" si="37"/>
        <v>0.10165100469408211</v>
      </c>
      <c r="AC779">
        <f t="shared" si="38"/>
        <v>0</v>
      </c>
      <c r="AD779">
        <v>2025</v>
      </c>
      <c r="AE779">
        <v>3</v>
      </c>
      <c r="AF779" t="s">
        <v>105</v>
      </c>
      <c r="AG779" t="s">
        <v>106</v>
      </c>
    </row>
    <row r="780" spans="1:33">
      <c r="A780" t="s">
        <v>931</v>
      </c>
      <c r="B780">
        <v>45489</v>
      </c>
      <c r="D780" t="s">
        <v>21</v>
      </c>
      <c r="E780">
        <v>300</v>
      </c>
      <c r="F780">
        <v>791.03</v>
      </c>
      <c r="G780">
        <v>0.96</v>
      </c>
      <c r="H780">
        <v>235030.83</v>
      </c>
      <c r="I780" t="s">
        <v>1726</v>
      </c>
      <c r="J780">
        <v>651.4</v>
      </c>
      <c r="K780">
        <v>195420</v>
      </c>
      <c r="L780">
        <v>4352.59</v>
      </c>
      <c r="M780">
        <v>1131.07</v>
      </c>
      <c r="N780">
        <v>3943.64</v>
      </c>
      <c r="O780">
        <v>204847.3</v>
      </c>
      <c r="P780">
        <v>39610.83</v>
      </c>
      <c r="Q780">
        <v>30183.53</v>
      </c>
      <c r="R780" t="s">
        <v>65</v>
      </c>
      <c r="S780">
        <v>235030.83</v>
      </c>
      <c r="T780">
        <v>0</v>
      </c>
      <c r="U780" t="s">
        <v>91</v>
      </c>
      <c r="V780" t="s">
        <v>10</v>
      </c>
      <c r="W780" t="s">
        <v>141</v>
      </c>
      <c r="X780" t="s">
        <v>159</v>
      </c>
      <c r="Y780" t="s">
        <v>30</v>
      </c>
      <c r="Z780">
        <v>0.05</v>
      </c>
      <c r="AA780">
        <f t="shared" si="36"/>
        <v>30183.53</v>
      </c>
      <c r="AB780">
        <f t="shared" si="37"/>
        <v>0.12842370509434869</v>
      </c>
      <c r="AC780">
        <f t="shared" si="38"/>
        <v>0</v>
      </c>
      <c r="AD780">
        <v>2024</v>
      </c>
      <c r="AE780">
        <v>7</v>
      </c>
      <c r="AF780" t="s">
        <v>69</v>
      </c>
      <c r="AG780" t="s">
        <v>70</v>
      </c>
    </row>
    <row r="781" spans="1:33">
      <c r="A781" t="s">
        <v>932</v>
      </c>
      <c r="B781">
        <v>45516</v>
      </c>
      <c r="D781" t="s">
        <v>21</v>
      </c>
      <c r="E781">
        <v>200</v>
      </c>
      <c r="F781">
        <v>871.41</v>
      </c>
      <c r="G781">
        <v>2.29</v>
      </c>
      <c r="H781">
        <v>170290.94</v>
      </c>
      <c r="I781" t="s">
        <v>1727</v>
      </c>
      <c r="J781">
        <v>675.53</v>
      </c>
      <c r="K781">
        <v>135106</v>
      </c>
      <c r="L781">
        <v>1951.27</v>
      </c>
      <c r="M781">
        <v>811.44</v>
      </c>
      <c r="N781">
        <v>47.15</v>
      </c>
      <c r="O781">
        <v>137915.85999999999</v>
      </c>
      <c r="P781">
        <v>35184.94</v>
      </c>
      <c r="Q781">
        <v>32375.08</v>
      </c>
      <c r="R781" t="s">
        <v>65</v>
      </c>
      <c r="S781">
        <v>170290.94</v>
      </c>
      <c r="T781">
        <v>0</v>
      </c>
      <c r="U781" t="s">
        <v>91</v>
      </c>
      <c r="V781" t="s">
        <v>8</v>
      </c>
      <c r="W781" t="s">
        <v>67</v>
      </c>
      <c r="X781" t="s">
        <v>205</v>
      </c>
      <c r="Y781" t="s">
        <v>24</v>
      </c>
      <c r="Z781">
        <v>0.34</v>
      </c>
      <c r="AA781">
        <f t="shared" si="36"/>
        <v>32375.08</v>
      </c>
      <c r="AB781">
        <f t="shared" si="37"/>
        <v>0.19011627982087598</v>
      </c>
      <c r="AC781">
        <f t="shared" si="38"/>
        <v>0</v>
      </c>
      <c r="AD781">
        <v>2024</v>
      </c>
      <c r="AE781">
        <v>8</v>
      </c>
      <c r="AF781" t="s">
        <v>82</v>
      </c>
      <c r="AG781" t="s">
        <v>83</v>
      </c>
    </row>
    <row r="782" spans="1:33">
      <c r="A782" t="s">
        <v>933</v>
      </c>
      <c r="B782">
        <v>45429</v>
      </c>
      <c r="C782">
        <v>45438</v>
      </c>
      <c r="D782" t="s">
        <v>27</v>
      </c>
      <c r="E782">
        <v>250</v>
      </c>
      <c r="F782">
        <v>765.34</v>
      </c>
      <c r="G782">
        <v>0.06</v>
      </c>
      <c r="H782">
        <v>191220.2</v>
      </c>
      <c r="I782" t="s">
        <v>1727</v>
      </c>
      <c r="J782">
        <v>547.75</v>
      </c>
      <c r="K782">
        <v>136937.5</v>
      </c>
      <c r="L782">
        <v>2995.18</v>
      </c>
      <c r="M782">
        <v>866.49</v>
      </c>
      <c r="N782">
        <v>8835.57</v>
      </c>
      <c r="O782">
        <v>149634.74</v>
      </c>
      <c r="P782">
        <v>54282.7</v>
      </c>
      <c r="Q782">
        <v>41585.46</v>
      </c>
      <c r="R782" t="s">
        <v>65</v>
      </c>
      <c r="S782">
        <v>191220.2</v>
      </c>
      <c r="T782">
        <v>0</v>
      </c>
      <c r="U782" t="s">
        <v>66</v>
      </c>
      <c r="V782" t="s">
        <v>12</v>
      </c>
      <c r="W782" t="s">
        <v>74</v>
      </c>
      <c r="X782" t="s">
        <v>327</v>
      </c>
      <c r="Y782" t="s">
        <v>26</v>
      </c>
      <c r="Z782">
        <v>1.89</v>
      </c>
      <c r="AA782">
        <f t="shared" si="36"/>
        <v>41585.46</v>
      </c>
      <c r="AB782">
        <f t="shared" si="37"/>
        <v>0.21747419990147482</v>
      </c>
      <c r="AC782">
        <f t="shared" si="38"/>
        <v>0</v>
      </c>
      <c r="AD782">
        <v>2024</v>
      </c>
      <c r="AE782">
        <v>5</v>
      </c>
      <c r="AF782" t="s">
        <v>76</v>
      </c>
      <c r="AG782" t="s">
        <v>77</v>
      </c>
    </row>
    <row r="783" spans="1:33">
      <c r="A783" t="s">
        <v>934</v>
      </c>
      <c r="B783">
        <v>45502</v>
      </c>
      <c r="C783">
        <v>45507</v>
      </c>
      <c r="D783" t="s">
        <v>29</v>
      </c>
      <c r="E783">
        <v>150</v>
      </c>
      <c r="F783">
        <v>2854.13</v>
      </c>
      <c r="G783">
        <v>1.93</v>
      </c>
      <c r="H783">
        <v>419856.79</v>
      </c>
      <c r="I783" t="s">
        <v>1727</v>
      </c>
      <c r="J783">
        <v>2439.31</v>
      </c>
      <c r="K783">
        <v>365896.5</v>
      </c>
      <c r="L783">
        <v>1030.74</v>
      </c>
      <c r="M783">
        <v>592.77</v>
      </c>
      <c r="N783">
        <v>180.61</v>
      </c>
      <c r="O783">
        <v>367700.62</v>
      </c>
      <c r="P783">
        <v>53960.29</v>
      </c>
      <c r="Q783">
        <v>52156.17</v>
      </c>
      <c r="R783" t="s">
        <v>65</v>
      </c>
      <c r="S783">
        <v>419856.79</v>
      </c>
      <c r="T783">
        <v>0</v>
      </c>
      <c r="U783" t="s">
        <v>66</v>
      </c>
      <c r="V783" t="s">
        <v>10</v>
      </c>
      <c r="W783" t="s">
        <v>74</v>
      </c>
      <c r="X783" t="s">
        <v>162</v>
      </c>
      <c r="Y783" t="s">
        <v>26</v>
      </c>
      <c r="Z783">
        <v>0.56999999999999995</v>
      </c>
      <c r="AA783">
        <f t="shared" si="36"/>
        <v>52156.17</v>
      </c>
      <c r="AB783">
        <f t="shared" si="37"/>
        <v>0.12422371447178454</v>
      </c>
      <c r="AC783">
        <f t="shared" si="38"/>
        <v>0</v>
      </c>
      <c r="AD783">
        <v>2024</v>
      </c>
      <c r="AE783">
        <v>7</v>
      </c>
      <c r="AF783" t="s">
        <v>69</v>
      </c>
      <c r="AG783" t="s">
        <v>70</v>
      </c>
    </row>
    <row r="784" spans="1:33">
      <c r="A784" t="s">
        <v>935</v>
      </c>
      <c r="B784">
        <v>45700</v>
      </c>
      <c r="C784">
        <v>45705</v>
      </c>
      <c r="D784" t="s">
        <v>27</v>
      </c>
      <c r="E784">
        <v>150</v>
      </c>
      <c r="F784">
        <v>726.53</v>
      </c>
      <c r="G784">
        <v>0.67</v>
      </c>
      <c r="H784">
        <v>108249.34</v>
      </c>
      <c r="I784" t="s">
        <v>1728</v>
      </c>
      <c r="J784">
        <v>597.28</v>
      </c>
      <c r="K784">
        <v>89592</v>
      </c>
      <c r="L784">
        <v>2729.26</v>
      </c>
      <c r="M784">
        <v>639.48</v>
      </c>
      <c r="N784">
        <v>6890.96</v>
      </c>
      <c r="O784">
        <v>99851.7</v>
      </c>
      <c r="P784">
        <v>18657.34</v>
      </c>
      <c r="Q784">
        <v>8397.64</v>
      </c>
      <c r="R784" t="s">
        <v>65</v>
      </c>
      <c r="S784">
        <v>108249.34</v>
      </c>
      <c r="T784">
        <v>0</v>
      </c>
      <c r="U784" t="s">
        <v>73</v>
      </c>
      <c r="V784" t="s">
        <v>8</v>
      </c>
      <c r="W784" t="s">
        <v>74</v>
      </c>
      <c r="X784" t="s">
        <v>150</v>
      </c>
      <c r="Y784" t="s">
        <v>30</v>
      </c>
      <c r="Z784">
        <v>1.57</v>
      </c>
      <c r="AA784">
        <f t="shared" si="36"/>
        <v>8397.64</v>
      </c>
      <c r="AB784">
        <f t="shared" si="37"/>
        <v>7.7576824024977883E-2</v>
      </c>
      <c r="AC784">
        <f t="shared" si="38"/>
        <v>0</v>
      </c>
      <c r="AD784">
        <v>2025</v>
      </c>
      <c r="AE784">
        <v>2</v>
      </c>
      <c r="AF784" t="s">
        <v>172</v>
      </c>
      <c r="AG784" t="s">
        <v>244</v>
      </c>
    </row>
    <row r="785" spans="1:33">
      <c r="A785" t="s">
        <v>936</v>
      </c>
      <c r="B785">
        <v>45661</v>
      </c>
      <c r="C785">
        <v>45668</v>
      </c>
      <c r="D785" t="s">
        <v>21</v>
      </c>
      <c r="E785">
        <v>500</v>
      </c>
      <c r="F785">
        <v>892.77</v>
      </c>
      <c r="G785">
        <v>1.98</v>
      </c>
      <c r="H785">
        <v>437546.58</v>
      </c>
      <c r="I785" t="s">
        <v>1726</v>
      </c>
      <c r="J785">
        <v>660.27</v>
      </c>
      <c r="K785">
        <v>330135</v>
      </c>
      <c r="L785">
        <v>11702.65</v>
      </c>
      <c r="M785">
        <v>2296.8000000000002</v>
      </c>
      <c r="N785">
        <v>3323.79</v>
      </c>
      <c r="O785">
        <v>347458.24</v>
      </c>
      <c r="P785">
        <v>107411.58</v>
      </c>
      <c r="Q785">
        <v>90088.34</v>
      </c>
      <c r="R785" t="s">
        <v>65</v>
      </c>
      <c r="S785">
        <v>437546.58</v>
      </c>
      <c r="T785">
        <v>0</v>
      </c>
      <c r="U785" t="s">
        <v>66</v>
      </c>
      <c r="V785" t="s">
        <v>8</v>
      </c>
      <c r="W785" t="s">
        <v>74</v>
      </c>
      <c r="X785" t="s">
        <v>75</v>
      </c>
      <c r="Y785" t="s">
        <v>28</v>
      </c>
      <c r="Z785">
        <v>0.97</v>
      </c>
      <c r="AA785">
        <f t="shared" si="36"/>
        <v>90088.34</v>
      </c>
      <c r="AB785">
        <f t="shared" si="37"/>
        <v>0.20589428444395563</v>
      </c>
      <c r="AC785">
        <f t="shared" si="38"/>
        <v>0</v>
      </c>
      <c r="AD785">
        <v>2025</v>
      </c>
      <c r="AE785">
        <v>1</v>
      </c>
      <c r="AF785" t="s">
        <v>102</v>
      </c>
      <c r="AG785" t="s">
        <v>118</v>
      </c>
    </row>
    <row r="786" spans="1:33">
      <c r="A786" t="s">
        <v>937</v>
      </c>
      <c r="B786">
        <v>45649</v>
      </c>
      <c r="C786">
        <v>45662</v>
      </c>
      <c r="D786" t="s">
        <v>25</v>
      </c>
      <c r="E786">
        <v>100</v>
      </c>
      <c r="F786">
        <v>941.55</v>
      </c>
      <c r="G786">
        <v>1.31</v>
      </c>
      <c r="H786">
        <v>92921.57</v>
      </c>
      <c r="I786" t="s">
        <v>1726</v>
      </c>
      <c r="J786">
        <v>762.15</v>
      </c>
      <c r="K786">
        <v>76215</v>
      </c>
      <c r="L786">
        <v>538.79999999999995</v>
      </c>
      <c r="M786">
        <v>571.38</v>
      </c>
      <c r="N786">
        <v>4163.3999999999996</v>
      </c>
      <c r="O786">
        <v>81488.58</v>
      </c>
      <c r="P786">
        <v>16706.57</v>
      </c>
      <c r="Q786">
        <v>11432.99</v>
      </c>
      <c r="R786" t="s">
        <v>65</v>
      </c>
      <c r="S786">
        <v>92921.57</v>
      </c>
      <c r="T786">
        <v>0</v>
      </c>
      <c r="U786" t="s">
        <v>66</v>
      </c>
      <c r="V786" t="s">
        <v>12</v>
      </c>
      <c r="W786" t="s">
        <v>67</v>
      </c>
      <c r="X786" t="s">
        <v>147</v>
      </c>
      <c r="Y786" t="s">
        <v>28</v>
      </c>
      <c r="Z786">
        <v>2.4700000000000002</v>
      </c>
      <c r="AA786">
        <f t="shared" si="36"/>
        <v>11432.99</v>
      </c>
      <c r="AB786">
        <f t="shared" si="37"/>
        <v>0.12303913935160586</v>
      </c>
      <c r="AC786">
        <f t="shared" si="38"/>
        <v>0</v>
      </c>
      <c r="AD786">
        <v>2024</v>
      </c>
      <c r="AE786">
        <v>12</v>
      </c>
      <c r="AF786" t="s">
        <v>98</v>
      </c>
      <c r="AG786" t="s">
        <v>99</v>
      </c>
    </row>
    <row r="787" spans="1:33">
      <c r="A787" t="s">
        <v>938</v>
      </c>
      <c r="B787">
        <v>45972</v>
      </c>
      <c r="C787">
        <v>45983</v>
      </c>
      <c r="D787" t="s">
        <v>21</v>
      </c>
      <c r="E787">
        <v>200</v>
      </c>
      <c r="F787">
        <v>848.89</v>
      </c>
      <c r="G787">
        <v>0.28999999999999998</v>
      </c>
      <c r="H787">
        <v>169285.64</v>
      </c>
      <c r="I787" t="s">
        <v>1729</v>
      </c>
      <c r="J787">
        <v>671.18</v>
      </c>
      <c r="K787">
        <v>134236</v>
      </c>
      <c r="L787">
        <v>1204.96</v>
      </c>
      <c r="M787">
        <v>971.9</v>
      </c>
      <c r="N787">
        <v>10813.67</v>
      </c>
      <c r="O787">
        <v>147226.53</v>
      </c>
      <c r="P787">
        <v>35049.64</v>
      </c>
      <c r="Q787">
        <v>22059.11</v>
      </c>
      <c r="R787" t="s">
        <v>65</v>
      </c>
      <c r="S787">
        <v>169285.64</v>
      </c>
      <c r="T787">
        <v>0</v>
      </c>
      <c r="U787" t="s">
        <v>73</v>
      </c>
      <c r="V787" t="s">
        <v>8</v>
      </c>
      <c r="W787" t="s">
        <v>74</v>
      </c>
      <c r="X787" t="s">
        <v>230</v>
      </c>
      <c r="Y787" t="s">
        <v>31</v>
      </c>
      <c r="Z787">
        <v>0.69</v>
      </c>
      <c r="AA787">
        <f t="shared" si="36"/>
        <v>22059.11</v>
      </c>
      <c r="AB787">
        <f t="shared" si="37"/>
        <v>0.13030703608410021</v>
      </c>
      <c r="AC787">
        <f t="shared" si="38"/>
        <v>0</v>
      </c>
      <c r="AD787">
        <v>2025</v>
      </c>
      <c r="AE787">
        <v>11</v>
      </c>
      <c r="AF787" t="s">
        <v>128</v>
      </c>
      <c r="AG787" t="s">
        <v>135</v>
      </c>
    </row>
    <row r="788" spans="1:33">
      <c r="A788" t="s">
        <v>939</v>
      </c>
      <c r="B788">
        <v>45937</v>
      </c>
      <c r="D788" t="s">
        <v>21</v>
      </c>
      <c r="E788">
        <v>300</v>
      </c>
      <c r="F788">
        <v>949.35</v>
      </c>
      <c r="G788">
        <v>0.34</v>
      </c>
      <c r="H788">
        <v>283836.65999999997</v>
      </c>
      <c r="I788" t="s">
        <v>1727</v>
      </c>
      <c r="J788">
        <v>705.69</v>
      </c>
      <c r="K788">
        <v>211707</v>
      </c>
      <c r="L788">
        <v>7112.07</v>
      </c>
      <c r="M788">
        <v>790.05</v>
      </c>
      <c r="N788">
        <v>9209.2900000000009</v>
      </c>
      <c r="O788">
        <v>228818.41</v>
      </c>
      <c r="P788">
        <v>72129.66</v>
      </c>
      <c r="Q788">
        <v>55018.25</v>
      </c>
      <c r="R788" t="s">
        <v>65</v>
      </c>
      <c r="S788">
        <v>283836.65999999997</v>
      </c>
      <c r="T788">
        <v>0</v>
      </c>
      <c r="U788" t="s">
        <v>91</v>
      </c>
      <c r="V788" t="s">
        <v>6</v>
      </c>
      <c r="W788" t="s">
        <v>74</v>
      </c>
      <c r="X788" t="s">
        <v>108</v>
      </c>
      <c r="Y788" t="s">
        <v>22</v>
      </c>
      <c r="Z788">
        <v>1.81</v>
      </c>
      <c r="AA788">
        <f t="shared" si="36"/>
        <v>55018.25</v>
      </c>
      <c r="AB788">
        <f t="shared" si="37"/>
        <v>0.1938377163823729</v>
      </c>
      <c r="AC788">
        <f t="shared" si="38"/>
        <v>0</v>
      </c>
      <c r="AD788">
        <v>2025</v>
      </c>
      <c r="AE788">
        <v>10</v>
      </c>
      <c r="AF788" t="s">
        <v>138</v>
      </c>
      <c r="AG788" t="s">
        <v>160</v>
      </c>
    </row>
    <row r="789" spans="1:33">
      <c r="A789" t="s">
        <v>940</v>
      </c>
      <c r="B789">
        <v>45586</v>
      </c>
      <c r="C789">
        <v>45590</v>
      </c>
      <c r="D789" t="s">
        <v>21</v>
      </c>
      <c r="E789">
        <v>500</v>
      </c>
      <c r="F789">
        <v>902.21</v>
      </c>
      <c r="G789">
        <v>3.83</v>
      </c>
      <c r="H789">
        <v>433827.68</v>
      </c>
      <c r="I789" t="s">
        <v>1727</v>
      </c>
      <c r="J789">
        <v>709.2</v>
      </c>
      <c r="K789">
        <v>354600</v>
      </c>
      <c r="L789">
        <v>5645.14</v>
      </c>
      <c r="M789">
        <v>1778.14</v>
      </c>
      <c r="N789">
        <v>5357.7</v>
      </c>
      <c r="O789">
        <v>367380.98</v>
      </c>
      <c r="P789">
        <v>79227.679999999993</v>
      </c>
      <c r="Q789">
        <v>66446.7</v>
      </c>
      <c r="R789" t="s">
        <v>65</v>
      </c>
      <c r="S789">
        <v>433827.68</v>
      </c>
      <c r="T789">
        <v>0</v>
      </c>
      <c r="U789" t="s">
        <v>73</v>
      </c>
      <c r="V789" t="s">
        <v>8</v>
      </c>
      <c r="W789" t="s">
        <v>141</v>
      </c>
      <c r="X789" t="s">
        <v>108</v>
      </c>
      <c r="Y789" t="s">
        <v>22</v>
      </c>
      <c r="Z789">
        <v>2.4300000000000002</v>
      </c>
      <c r="AA789">
        <f t="shared" si="36"/>
        <v>66446.7</v>
      </c>
      <c r="AB789">
        <f t="shared" si="37"/>
        <v>0.15316380918801678</v>
      </c>
      <c r="AC789">
        <f t="shared" si="38"/>
        <v>0</v>
      </c>
      <c r="AD789">
        <v>2024</v>
      </c>
      <c r="AE789">
        <v>10</v>
      </c>
      <c r="AF789" t="s">
        <v>138</v>
      </c>
      <c r="AG789" t="s">
        <v>139</v>
      </c>
    </row>
    <row r="790" spans="1:33">
      <c r="A790" t="s">
        <v>941</v>
      </c>
      <c r="B790">
        <v>45693</v>
      </c>
      <c r="C790">
        <v>45702</v>
      </c>
      <c r="D790" t="s">
        <v>21</v>
      </c>
      <c r="E790">
        <v>200</v>
      </c>
      <c r="F790">
        <v>893.63</v>
      </c>
      <c r="G790">
        <v>0.31</v>
      </c>
      <c r="H790">
        <v>178171.95</v>
      </c>
      <c r="I790" t="s">
        <v>1727</v>
      </c>
      <c r="J790">
        <v>684.77</v>
      </c>
      <c r="K790">
        <v>136954</v>
      </c>
      <c r="L790">
        <v>3867.7</v>
      </c>
      <c r="M790">
        <v>529.58000000000004</v>
      </c>
      <c r="N790">
        <v>4835.8599999999997</v>
      </c>
      <c r="O790">
        <v>146187.14000000001</v>
      </c>
      <c r="P790">
        <v>41217.949999999997</v>
      </c>
      <c r="Q790">
        <v>31984.81</v>
      </c>
      <c r="R790" t="s">
        <v>85</v>
      </c>
      <c r="S790">
        <v>87667.8</v>
      </c>
      <c r="T790">
        <v>90504.15</v>
      </c>
      <c r="U790" t="s">
        <v>73</v>
      </c>
      <c r="V790" t="s">
        <v>14</v>
      </c>
      <c r="W790" t="s">
        <v>67</v>
      </c>
      <c r="X790" t="s">
        <v>97</v>
      </c>
      <c r="Y790" t="s">
        <v>24</v>
      </c>
      <c r="Z790">
        <v>0.25</v>
      </c>
      <c r="AA790">
        <f t="shared" si="36"/>
        <v>31984.81</v>
      </c>
      <c r="AB790">
        <f t="shared" si="37"/>
        <v>0.17951652883632918</v>
      </c>
      <c r="AC790">
        <f t="shared" si="38"/>
        <v>0</v>
      </c>
      <c r="AD790">
        <v>2025</v>
      </c>
      <c r="AE790">
        <v>2</v>
      </c>
      <c r="AF790" t="s">
        <v>172</v>
      </c>
      <c r="AG790" t="s">
        <v>244</v>
      </c>
    </row>
    <row r="791" spans="1:33">
      <c r="A791" t="s">
        <v>942</v>
      </c>
      <c r="B791">
        <v>45630</v>
      </c>
      <c r="C791">
        <v>45638</v>
      </c>
      <c r="D791" t="s">
        <v>21</v>
      </c>
      <c r="E791">
        <v>150</v>
      </c>
      <c r="F791">
        <v>898.08</v>
      </c>
      <c r="G791">
        <v>1.17</v>
      </c>
      <c r="H791">
        <v>133135.87</v>
      </c>
      <c r="I791" t="s">
        <v>1729</v>
      </c>
      <c r="J791">
        <v>680.59</v>
      </c>
      <c r="K791">
        <v>102088.5</v>
      </c>
      <c r="L791">
        <v>3128.95</v>
      </c>
      <c r="M791">
        <v>338.74</v>
      </c>
      <c r="N791">
        <v>5713.21</v>
      </c>
      <c r="O791">
        <v>111269.4</v>
      </c>
      <c r="P791">
        <v>31047.37</v>
      </c>
      <c r="Q791">
        <v>21866.47</v>
      </c>
      <c r="R791" t="s">
        <v>65</v>
      </c>
      <c r="S791">
        <v>133135.87</v>
      </c>
      <c r="T791">
        <v>0</v>
      </c>
      <c r="U791" t="s">
        <v>66</v>
      </c>
      <c r="V791" t="s">
        <v>6</v>
      </c>
      <c r="W791" t="s">
        <v>80</v>
      </c>
      <c r="X791" t="s">
        <v>167</v>
      </c>
      <c r="Y791" t="s">
        <v>31</v>
      </c>
      <c r="Z791">
        <v>2.23</v>
      </c>
      <c r="AA791">
        <f t="shared" si="36"/>
        <v>21866.47</v>
      </c>
      <c r="AB791">
        <f t="shared" si="37"/>
        <v>0.1642417629448773</v>
      </c>
      <c r="AC791">
        <f t="shared" si="38"/>
        <v>0</v>
      </c>
      <c r="AD791">
        <v>2024</v>
      </c>
      <c r="AE791">
        <v>12</v>
      </c>
      <c r="AF791" t="s">
        <v>98</v>
      </c>
      <c r="AG791" t="s">
        <v>99</v>
      </c>
    </row>
    <row r="792" spans="1:33">
      <c r="A792" t="s">
        <v>943</v>
      </c>
      <c r="B792">
        <v>45462</v>
      </c>
      <c r="C792">
        <v>45467</v>
      </c>
      <c r="D792" t="s">
        <v>21</v>
      </c>
      <c r="E792">
        <v>500</v>
      </c>
      <c r="F792">
        <v>843.8</v>
      </c>
      <c r="G792">
        <v>3.31</v>
      </c>
      <c r="H792">
        <v>407935.11</v>
      </c>
      <c r="I792" t="s">
        <v>1727</v>
      </c>
      <c r="J792">
        <v>695.83</v>
      </c>
      <c r="K792">
        <v>347915</v>
      </c>
      <c r="L792">
        <v>6834.57</v>
      </c>
      <c r="M792">
        <v>2941.16</v>
      </c>
      <c r="N792">
        <v>2366.67</v>
      </c>
      <c r="O792">
        <v>360057.4</v>
      </c>
      <c r="P792">
        <v>60020.11</v>
      </c>
      <c r="Q792">
        <v>47877.71</v>
      </c>
      <c r="R792" t="s">
        <v>85</v>
      </c>
      <c r="S792">
        <v>111565.91</v>
      </c>
      <c r="T792">
        <v>296369.2</v>
      </c>
      <c r="U792" t="s">
        <v>66</v>
      </c>
      <c r="V792" t="s">
        <v>12</v>
      </c>
      <c r="W792" t="s">
        <v>74</v>
      </c>
      <c r="X792" t="s">
        <v>123</v>
      </c>
      <c r="Y792" t="s">
        <v>22</v>
      </c>
      <c r="Z792">
        <v>2.09</v>
      </c>
      <c r="AA792">
        <f t="shared" si="36"/>
        <v>47877.71</v>
      </c>
      <c r="AB792">
        <f t="shared" si="37"/>
        <v>0.11736599480245767</v>
      </c>
      <c r="AC792">
        <f t="shared" si="38"/>
        <v>0</v>
      </c>
      <c r="AD792">
        <v>2024</v>
      </c>
      <c r="AE792">
        <v>6</v>
      </c>
      <c r="AF792" t="s">
        <v>111</v>
      </c>
      <c r="AG792" t="s">
        <v>148</v>
      </c>
    </row>
    <row r="793" spans="1:33">
      <c r="A793" t="s">
        <v>944</v>
      </c>
      <c r="B793">
        <v>45832</v>
      </c>
      <c r="C793">
        <v>45839</v>
      </c>
      <c r="D793" t="s">
        <v>21</v>
      </c>
      <c r="E793">
        <v>50</v>
      </c>
      <c r="F793">
        <v>811.16</v>
      </c>
      <c r="G793">
        <v>1.89</v>
      </c>
      <c r="H793">
        <v>39791.449999999997</v>
      </c>
      <c r="I793" t="s">
        <v>1726</v>
      </c>
      <c r="J793">
        <v>711.54</v>
      </c>
      <c r="K793">
        <v>35577</v>
      </c>
      <c r="L793">
        <v>1174.24</v>
      </c>
      <c r="M793">
        <v>90.15</v>
      </c>
      <c r="N793">
        <v>1647.08</v>
      </c>
      <c r="O793">
        <v>38488.47</v>
      </c>
      <c r="P793">
        <v>4214.45</v>
      </c>
      <c r="Q793">
        <v>1302.98</v>
      </c>
      <c r="R793" t="s">
        <v>65</v>
      </c>
      <c r="S793">
        <v>39791.449999999997</v>
      </c>
      <c r="T793">
        <v>0</v>
      </c>
      <c r="U793" t="s">
        <v>66</v>
      </c>
      <c r="V793" t="s">
        <v>10</v>
      </c>
      <c r="W793" t="s">
        <v>92</v>
      </c>
      <c r="X793" t="s">
        <v>123</v>
      </c>
      <c r="Y793" t="s">
        <v>22</v>
      </c>
      <c r="Z793">
        <v>1.43</v>
      </c>
      <c r="AA793">
        <f t="shared" si="36"/>
        <v>1302.98</v>
      </c>
      <c r="AB793">
        <f t="shared" si="37"/>
        <v>3.2745225419028461E-2</v>
      </c>
      <c r="AC793">
        <f t="shared" si="38"/>
        <v>0</v>
      </c>
      <c r="AD793">
        <v>2025</v>
      </c>
      <c r="AE793">
        <v>6</v>
      </c>
      <c r="AF793" t="s">
        <v>111</v>
      </c>
      <c r="AG793" t="s">
        <v>112</v>
      </c>
    </row>
    <row r="794" spans="1:33">
      <c r="A794" t="s">
        <v>945</v>
      </c>
      <c r="B794">
        <v>45937</v>
      </c>
      <c r="C794">
        <v>45946</v>
      </c>
      <c r="D794" t="s">
        <v>25</v>
      </c>
      <c r="E794">
        <v>500</v>
      </c>
      <c r="F794">
        <v>1069.3900000000001</v>
      </c>
      <c r="G794">
        <v>0.88</v>
      </c>
      <c r="H794">
        <v>529989.68000000005</v>
      </c>
      <c r="I794" t="s">
        <v>1726</v>
      </c>
      <c r="J794">
        <v>819.49</v>
      </c>
      <c r="K794">
        <v>409745</v>
      </c>
      <c r="L794">
        <v>8424.4500000000007</v>
      </c>
      <c r="M794">
        <v>1252.07</v>
      </c>
      <c r="N794">
        <v>5796.84</v>
      </c>
      <c r="O794">
        <v>425218.36</v>
      </c>
      <c r="P794">
        <v>120244.68</v>
      </c>
      <c r="Q794">
        <v>104771.32</v>
      </c>
      <c r="R794" t="s">
        <v>134</v>
      </c>
      <c r="S794">
        <v>0</v>
      </c>
      <c r="T794">
        <v>529989.68000000005</v>
      </c>
      <c r="U794" t="s">
        <v>66</v>
      </c>
      <c r="V794" t="s">
        <v>16</v>
      </c>
      <c r="W794" t="s">
        <v>92</v>
      </c>
      <c r="X794" t="s">
        <v>208</v>
      </c>
      <c r="Y794" t="s">
        <v>26</v>
      </c>
      <c r="Z794">
        <v>2.36</v>
      </c>
      <c r="AA794">
        <f t="shared" si="36"/>
        <v>104771.32</v>
      </c>
      <c r="AB794">
        <f t="shared" si="37"/>
        <v>0.19768558512309145</v>
      </c>
      <c r="AC794">
        <f t="shared" si="38"/>
        <v>0</v>
      </c>
      <c r="AD794">
        <v>2025</v>
      </c>
      <c r="AE794">
        <v>10</v>
      </c>
      <c r="AF794" t="s">
        <v>138</v>
      </c>
      <c r="AG794" t="s">
        <v>160</v>
      </c>
    </row>
    <row r="795" spans="1:33">
      <c r="A795" t="s">
        <v>946</v>
      </c>
      <c r="B795">
        <v>45894</v>
      </c>
      <c r="C795">
        <v>45898</v>
      </c>
      <c r="D795" t="s">
        <v>21</v>
      </c>
      <c r="E795">
        <v>500</v>
      </c>
      <c r="F795">
        <v>812.71</v>
      </c>
      <c r="G795">
        <v>3.75</v>
      </c>
      <c r="H795">
        <v>391116.69</v>
      </c>
      <c r="I795" t="s">
        <v>1726</v>
      </c>
      <c r="J795">
        <v>655.35</v>
      </c>
      <c r="K795">
        <v>327675</v>
      </c>
      <c r="L795">
        <v>5938.55</v>
      </c>
      <c r="M795">
        <v>1372.29</v>
      </c>
      <c r="N795">
        <v>4947.9799999999996</v>
      </c>
      <c r="O795">
        <v>339933.82</v>
      </c>
      <c r="P795">
        <v>63441.69</v>
      </c>
      <c r="Q795">
        <v>51182.87</v>
      </c>
      <c r="R795" t="s">
        <v>65</v>
      </c>
      <c r="S795">
        <v>391116.69</v>
      </c>
      <c r="T795">
        <v>0</v>
      </c>
      <c r="U795" t="s">
        <v>73</v>
      </c>
      <c r="V795" t="s">
        <v>10</v>
      </c>
      <c r="W795" t="s">
        <v>80</v>
      </c>
      <c r="X795" t="s">
        <v>89</v>
      </c>
      <c r="Y795" t="s">
        <v>28</v>
      </c>
      <c r="Z795">
        <v>0.98</v>
      </c>
      <c r="AA795">
        <f t="shared" si="36"/>
        <v>51182.87</v>
      </c>
      <c r="AB795">
        <f t="shared" si="37"/>
        <v>0.13086342595096109</v>
      </c>
      <c r="AC795">
        <f t="shared" si="38"/>
        <v>0</v>
      </c>
      <c r="AD795">
        <v>2025</v>
      </c>
      <c r="AE795">
        <v>8</v>
      </c>
      <c r="AF795" t="s">
        <v>82</v>
      </c>
      <c r="AG795" t="s">
        <v>87</v>
      </c>
    </row>
    <row r="796" spans="1:33">
      <c r="A796" t="s">
        <v>947</v>
      </c>
      <c r="B796">
        <v>45700</v>
      </c>
      <c r="C796">
        <v>45705</v>
      </c>
      <c r="D796" t="s">
        <v>23</v>
      </c>
      <c r="E796">
        <v>250</v>
      </c>
      <c r="F796">
        <v>1185.76</v>
      </c>
      <c r="G796">
        <v>2.37</v>
      </c>
      <c r="H796">
        <v>289414.37</v>
      </c>
      <c r="I796" t="s">
        <v>1728</v>
      </c>
      <c r="J796">
        <v>1054.0899999999999</v>
      </c>
      <c r="K796">
        <v>263522.5</v>
      </c>
      <c r="L796">
        <v>3364.5</v>
      </c>
      <c r="M796">
        <v>773.28</v>
      </c>
      <c r="N796">
        <v>6835.78</v>
      </c>
      <c r="O796">
        <v>274496.06</v>
      </c>
      <c r="P796">
        <v>25891.87</v>
      </c>
      <c r="Q796">
        <v>14918.31</v>
      </c>
      <c r="R796" t="s">
        <v>65</v>
      </c>
      <c r="S796">
        <v>289414.37</v>
      </c>
      <c r="T796">
        <v>0</v>
      </c>
      <c r="U796" t="s">
        <v>66</v>
      </c>
      <c r="V796" t="s">
        <v>10</v>
      </c>
      <c r="W796" t="s">
        <v>74</v>
      </c>
      <c r="X796" t="s">
        <v>123</v>
      </c>
      <c r="Y796" t="s">
        <v>22</v>
      </c>
      <c r="Z796">
        <v>0.64</v>
      </c>
      <c r="AA796">
        <f t="shared" si="36"/>
        <v>14918.31</v>
      </c>
      <c r="AB796">
        <f t="shared" si="37"/>
        <v>5.1546542073912918E-2</v>
      </c>
      <c r="AC796">
        <f t="shared" si="38"/>
        <v>0</v>
      </c>
      <c r="AD796">
        <v>2025</v>
      </c>
      <c r="AE796">
        <v>2</v>
      </c>
      <c r="AF796" t="s">
        <v>172</v>
      </c>
      <c r="AG796" t="s">
        <v>244</v>
      </c>
    </row>
    <row r="797" spans="1:33">
      <c r="A797" t="s">
        <v>948</v>
      </c>
      <c r="B797">
        <v>45402</v>
      </c>
      <c r="C797">
        <v>45406</v>
      </c>
      <c r="D797" t="s">
        <v>21</v>
      </c>
      <c r="E797">
        <v>200</v>
      </c>
      <c r="F797">
        <v>908.56</v>
      </c>
      <c r="G797">
        <v>0.42</v>
      </c>
      <c r="H797">
        <v>180948.81</v>
      </c>
      <c r="I797" t="s">
        <v>1728</v>
      </c>
      <c r="J797">
        <v>667.42</v>
      </c>
      <c r="K797">
        <v>133484</v>
      </c>
      <c r="L797">
        <v>4290.62</v>
      </c>
      <c r="M797">
        <v>702.28</v>
      </c>
      <c r="N797">
        <v>9294.39</v>
      </c>
      <c r="O797">
        <v>147771.29</v>
      </c>
      <c r="P797">
        <v>47464.81</v>
      </c>
      <c r="Q797">
        <v>33177.519999999997</v>
      </c>
      <c r="R797" t="s">
        <v>65</v>
      </c>
      <c r="S797">
        <v>180948.81</v>
      </c>
      <c r="T797">
        <v>0</v>
      </c>
      <c r="U797" t="s">
        <v>73</v>
      </c>
      <c r="V797" t="s">
        <v>6</v>
      </c>
      <c r="W797" t="s">
        <v>67</v>
      </c>
      <c r="X797" t="s">
        <v>371</v>
      </c>
      <c r="Y797" t="s">
        <v>26</v>
      </c>
      <c r="Z797">
        <v>0.15</v>
      </c>
      <c r="AA797">
        <f t="shared" si="36"/>
        <v>33177.519999999997</v>
      </c>
      <c r="AB797">
        <f t="shared" si="37"/>
        <v>0.1833530709596819</v>
      </c>
      <c r="AC797">
        <f t="shared" si="38"/>
        <v>0</v>
      </c>
      <c r="AD797">
        <v>2024</v>
      </c>
      <c r="AE797">
        <v>4</v>
      </c>
      <c r="AF797" t="s">
        <v>154</v>
      </c>
      <c r="AG797" t="s">
        <v>157</v>
      </c>
    </row>
    <row r="798" spans="1:33">
      <c r="A798" t="s">
        <v>949</v>
      </c>
      <c r="B798">
        <v>45520</v>
      </c>
      <c r="C798">
        <v>45521</v>
      </c>
      <c r="D798" t="s">
        <v>29</v>
      </c>
      <c r="E798">
        <v>250</v>
      </c>
      <c r="F798">
        <v>2908</v>
      </c>
      <c r="G798">
        <v>2.48</v>
      </c>
      <c r="H798">
        <v>708970.4</v>
      </c>
      <c r="I798" t="s">
        <v>1726</v>
      </c>
      <c r="J798">
        <v>2391.61</v>
      </c>
      <c r="K798">
        <v>597902.5</v>
      </c>
      <c r="L798">
        <v>1779.06</v>
      </c>
      <c r="M798">
        <v>1165.08</v>
      </c>
      <c r="N798">
        <v>10202.61</v>
      </c>
      <c r="O798">
        <v>611049.25</v>
      </c>
      <c r="P798">
        <v>111067.9</v>
      </c>
      <c r="Q798">
        <v>97921.15</v>
      </c>
      <c r="R798" t="s">
        <v>134</v>
      </c>
      <c r="S798">
        <v>0</v>
      </c>
      <c r="T798">
        <v>708970.4</v>
      </c>
      <c r="U798" t="s">
        <v>73</v>
      </c>
      <c r="V798" t="s">
        <v>16</v>
      </c>
      <c r="W798" t="s">
        <v>74</v>
      </c>
      <c r="X798" t="s">
        <v>108</v>
      </c>
      <c r="Y798" t="s">
        <v>22</v>
      </c>
      <c r="Z798">
        <v>1.57</v>
      </c>
      <c r="AA798">
        <f t="shared" si="36"/>
        <v>97921.15</v>
      </c>
      <c r="AB798">
        <f t="shared" si="37"/>
        <v>0.13811740236263742</v>
      </c>
      <c r="AC798">
        <f t="shared" si="38"/>
        <v>0</v>
      </c>
      <c r="AD798">
        <v>2024</v>
      </c>
      <c r="AE798">
        <v>8</v>
      </c>
      <c r="AF798" t="s">
        <v>82</v>
      </c>
      <c r="AG798" t="s">
        <v>83</v>
      </c>
    </row>
    <row r="799" spans="1:33">
      <c r="A799" t="s">
        <v>950</v>
      </c>
      <c r="B799">
        <v>45552</v>
      </c>
      <c r="C799">
        <v>45564</v>
      </c>
      <c r="D799" t="s">
        <v>21</v>
      </c>
      <c r="E799">
        <v>500</v>
      </c>
      <c r="F799">
        <v>943.58</v>
      </c>
      <c r="G799">
        <v>4.71</v>
      </c>
      <c r="H799">
        <v>449568.69</v>
      </c>
      <c r="I799" t="s">
        <v>1727</v>
      </c>
      <c r="J799">
        <v>728.2</v>
      </c>
      <c r="K799">
        <v>364100</v>
      </c>
      <c r="L799">
        <v>11711.26</v>
      </c>
      <c r="M799">
        <v>2109.5700000000002</v>
      </c>
      <c r="N799">
        <v>7206.98</v>
      </c>
      <c r="O799">
        <v>385127.81</v>
      </c>
      <c r="P799">
        <v>85468.69</v>
      </c>
      <c r="Q799">
        <v>64440.88</v>
      </c>
      <c r="R799" t="s">
        <v>134</v>
      </c>
      <c r="S799">
        <v>0</v>
      </c>
      <c r="T799">
        <v>449568.69</v>
      </c>
      <c r="U799" t="s">
        <v>66</v>
      </c>
      <c r="V799" t="s">
        <v>6</v>
      </c>
      <c r="W799" t="s">
        <v>67</v>
      </c>
      <c r="X799" t="s">
        <v>167</v>
      </c>
      <c r="Y799" t="s">
        <v>31</v>
      </c>
      <c r="Z799">
        <v>1.92</v>
      </c>
      <c r="AA799">
        <f t="shared" si="36"/>
        <v>64440.88</v>
      </c>
      <c r="AB799">
        <f t="shared" si="37"/>
        <v>0.14333934153644018</v>
      </c>
      <c r="AC799">
        <f t="shared" si="38"/>
        <v>0</v>
      </c>
      <c r="AD799">
        <v>2024</v>
      </c>
      <c r="AE799">
        <v>9</v>
      </c>
      <c r="AF799" t="s">
        <v>131</v>
      </c>
      <c r="AG799" t="s">
        <v>188</v>
      </c>
    </row>
    <row r="800" spans="1:33">
      <c r="A800" t="s">
        <v>951</v>
      </c>
      <c r="B800">
        <v>45430</v>
      </c>
      <c r="C800">
        <v>45435</v>
      </c>
      <c r="D800" t="s">
        <v>23</v>
      </c>
      <c r="E800">
        <v>300</v>
      </c>
      <c r="F800">
        <v>1279.93</v>
      </c>
      <c r="G800">
        <v>1.21</v>
      </c>
      <c r="H800">
        <v>379332.85</v>
      </c>
      <c r="I800" t="s">
        <v>1726</v>
      </c>
      <c r="J800">
        <v>981.33</v>
      </c>
      <c r="K800">
        <v>294399</v>
      </c>
      <c r="L800">
        <v>5685.96</v>
      </c>
      <c r="M800">
        <v>1264.53</v>
      </c>
      <c r="N800">
        <v>5447.38</v>
      </c>
      <c r="O800">
        <v>306796.87</v>
      </c>
      <c r="P800">
        <v>84933.85</v>
      </c>
      <c r="Q800">
        <v>72535.98</v>
      </c>
      <c r="R800" t="s">
        <v>65</v>
      </c>
      <c r="S800">
        <v>379332.85</v>
      </c>
      <c r="T800">
        <v>0</v>
      </c>
      <c r="U800" t="s">
        <v>73</v>
      </c>
      <c r="V800" t="s">
        <v>6</v>
      </c>
      <c r="W800" t="s">
        <v>74</v>
      </c>
      <c r="X800" t="s">
        <v>167</v>
      </c>
      <c r="Y800" t="s">
        <v>31</v>
      </c>
      <c r="Z800">
        <v>2.04</v>
      </c>
      <c r="AA800">
        <f t="shared" si="36"/>
        <v>72535.98</v>
      </c>
      <c r="AB800">
        <f t="shared" si="37"/>
        <v>0.19121987457716882</v>
      </c>
      <c r="AC800">
        <f t="shared" si="38"/>
        <v>0</v>
      </c>
      <c r="AD800">
        <v>2024</v>
      </c>
      <c r="AE800">
        <v>5</v>
      </c>
      <c r="AF800" t="s">
        <v>76</v>
      </c>
      <c r="AG800" t="s">
        <v>77</v>
      </c>
    </row>
    <row r="801" spans="1:33">
      <c r="A801" t="s">
        <v>952</v>
      </c>
      <c r="B801">
        <v>45311</v>
      </c>
      <c r="C801">
        <v>45324</v>
      </c>
      <c r="D801" t="s">
        <v>21</v>
      </c>
      <c r="E801">
        <v>100</v>
      </c>
      <c r="F801">
        <v>805.55</v>
      </c>
      <c r="G801">
        <v>0.05</v>
      </c>
      <c r="H801">
        <v>80514.720000000001</v>
      </c>
      <c r="I801" t="s">
        <v>1728</v>
      </c>
      <c r="J801">
        <v>702.09</v>
      </c>
      <c r="K801">
        <v>70209</v>
      </c>
      <c r="L801">
        <v>1564.99</v>
      </c>
      <c r="M801">
        <v>560.91</v>
      </c>
      <c r="N801">
        <v>241.06</v>
      </c>
      <c r="O801">
        <v>72575.960000000006</v>
      </c>
      <c r="P801">
        <v>10305.719999999999</v>
      </c>
      <c r="Q801">
        <v>7938.76</v>
      </c>
      <c r="R801" t="s">
        <v>65</v>
      </c>
      <c r="S801">
        <v>80514.720000000001</v>
      </c>
      <c r="T801">
        <v>0</v>
      </c>
      <c r="U801" t="s">
        <v>73</v>
      </c>
      <c r="V801" t="s">
        <v>16</v>
      </c>
      <c r="W801" t="s">
        <v>92</v>
      </c>
      <c r="X801" t="s">
        <v>115</v>
      </c>
      <c r="Y801" t="s">
        <v>22</v>
      </c>
      <c r="Z801">
        <v>0.17</v>
      </c>
      <c r="AA801">
        <f t="shared" si="36"/>
        <v>7938.76</v>
      </c>
      <c r="AB801">
        <f t="shared" si="37"/>
        <v>9.860010691212738E-2</v>
      </c>
      <c r="AC801">
        <f t="shared" si="38"/>
        <v>0</v>
      </c>
      <c r="AD801">
        <v>2024</v>
      </c>
      <c r="AE801">
        <v>1</v>
      </c>
      <c r="AF801" t="s">
        <v>102</v>
      </c>
      <c r="AG801" t="s">
        <v>103</v>
      </c>
    </row>
    <row r="802" spans="1:33">
      <c r="A802" t="s">
        <v>953</v>
      </c>
      <c r="B802">
        <v>45866</v>
      </c>
      <c r="C802">
        <v>45872</v>
      </c>
      <c r="D802" t="s">
        <v>23</v>
      </c>
      <c r="E802">
        <v>250</v>
      </c>
      <c r="F802">
        <v>1258.56</v>
      </c>
      <c r="G802">
        <v>1.97</v>
      </c>
      <c r="H802">
        <v>308441.59000000003</v>
      </c>
      <c r="I802" t="s">
        <v>1727</v>
      </c>
      <c r="J802">
        <v>1083.42</v>
      </c>
      <c r="K802">
        <v>270855</v>
      </c>
      <c r="L802">
        <v>3851.51</v>
      </c>
      <c r="M802">
        <v>1053.29</v>
      </c>
      <c r="N802">
        <v>4906.5200000000004</v>
      </c>
      <c r="O802">
        <v>280666.32</v>
      </c>
      <c r="P802">
        <v>37586.589999999997</v>
      </c>
      <c r="Q802">
        <v>27775.27</v>
      </c>
      <c r="R802" t="s">
        <v>65</v>
      </c>
      <c r="S802">
        <v>308441.59000000003</v>
      </c>
      <c r="T802">
        <v>0</v>
      </c>
      <c r="U802" t="s">
        <v>66</v>
      </c>
      <c r="V802" t="s">
        <v>8</v>
      </c>
      <c r="W802" t="s">
        <v>80</v>
      </c>
      <c r="X802" t="s">
        <v>101</v>
      </c>
      <c r="Y802" t="s">
        <v>22</v>
      </c>
      <c r="Z802">
        <v>2.5</v>
      </c>
      <c r="AA802">
        <f t="shared" si="36"/>
        <v>27775.27</v>
      </c>
      <c r="AB802">
        <f t="shared" si="37"/>
        <v>9.0050339839059954E-2</v>
      </c>
      <c r="AC802">
        <f t="shared" si="38"/>
        <v>0</v>
      </c>
      <c r="AD802">
        <v>2025</v>
      </c>
      <c r="AE802">
        <v>7</v>
      </c>
      <c r="AF802" t="s">
        <v>69</v>
      </c>
      <c r="AG802" t="s">
        <v>151</v>
      </c>
    </row>
    <row r="803" spans="1:33">
      <c r="A803" t="s">
        <v>954</v>
      </c>
      <c r="B803">
        <v>45881</v>
      </c>
      <c r="C803">
        <v>45888</v>
      </c>
      <c r="D803" t="s">
        <v>21</v>
      </c>
      <c r="E803">
        <v>300</v>
      </c>
      <c r="F803">
        <v>818.18</v>
      </c>
      <c r="G803">
        <v>1.69</v>
      </c>
      <c r="H803">
        <v>241305.83</v>
      </c>
      <c r="I803" t="s">
        <v>1728</v>
      </c>
      <c r="J803">
        <v>695.46</v>
      </c>
      <c r="K803">
        <v>208638</v>
      </c>
      <c r="L803">
        <v>4312.95</v>
      </c>
      <c r="M803">
        <v>460.94</v>
      </c>
      <c r="N803">
        <v>1004.38</v>
      </c>
      <c r="O803">
        <v>214416.27</v>
      </c>
      <c r="P803">
        <v>32667.83</v>
      </c>
      <c r="Q803">
        <v>26889.56</v>
      </c>
      <c r="R803" t="s">
        <v>134</v>
      </c>
      <c r="S803">
        <v>0</v>
      </c>
      <c r="T803">
        <v>241305.83</v>
      </c>
      <c r="U803" t="s">
        <v>66</v>
      </c>
      <c r="V803" t="s">
        <v>14</v>
      </c>
      <c r="W803" t="s">
        <v>74</v>
      </c>
      <c r="X803" t="s">
        <v>97</v>
      </c>
      <c r="Y803" t="s">
        <v>24</v>
      </c>
      <c r="Z803">
        <v>0.33</v>
      </c>
      <c r="AA803">
        <f t="shared" si="36"/>
        <v>26889.56</v>
      </c>
      <c r="AB803">
        <f t="shared" si="37"/>
        <v>0.11143352814973431</v>
      </c>
      <c r="AC803">
        <f t="shared" si="38"/>
        <v>0</v>
      </c>
      <c r="AD803">
        <v>2025</v>
      </c>
      <c r="AE803">
        <v>8</v>
      </c>
      <c r="AF803" t="s">
        <v>82</v>
      </c>
      <c r="AG803" t="s">
        <v>87</v>
      </c>
    </row>
    <row r="804" spans="1:33">
      <c r="A804" t="s">
        <v>955</v>
      </c>
      <c r="B804">
        <v>45538</v>
      </c>
      <c r="C804">
        <v>45552</v>
      </c>
      <c r="D804" t="s">
        <v>23</v>
      </c>
      <c r="E804">
        <v>300</v>
      </c>
      <c r="F804">
        <v>1329.18</v>
      </c>
      <c r="G804">
        <v>0.74</v>
      </c>
      <c r="H804">
        <v>395803.22</v>
      </c>
      <c r="I804" t="s">
        <v>1726</v>
      </c>
      <c r="J804">
        <v>1071.01</v>
      </c>
      <c r="K804">
        <v>321303</v>
      </c>
      <c r="L804">
        <v>1693.66</v>
      </c>
      <c r="M804">
        <v>1704.35</v>
      </c>
      <c r="N804">
        <v>8866.25</v>
      </c>
      <c r="O804">
        <v>333567.26</v>
      </c>
      <c r="P804">
        <v>74500.22</v>
      </c>
      <c r="Q804">
        <v>62235.96</v>
      </c>
      <c r="R804" t="s">
        <v>65</v>
      </c>
      <c r="S804">
        <v>395803.22</v>
      </c>
      <c r="T804">
        <v>0</v>
      </c>
      <c r="U804" t="s">
        <v>66</v>
      </c>
      <c r="V804" t="s">
        <v>6</v>
      </c>
      <c r="W804" t="s">
        <v>74</v>
      </c>
      <c r="X804" t="s">
        <v>108</v>
      </c>
      <c r="Y804" t="s">
        <v>22</v>
      </c>
      <c r="Z804">
        <v>2.42</v>
      </c>
      <c r="AA804">
        <f t="shared" si="36"/>
        <v>62235.96</v>
      </c>
      <c r="AB804">
        <f t="shared" si="37"/>
        <v>0.15723965055160491</v>
      </c>
      <c r="AC804">
        <f t="shared" si="38"/>
        <v>0</v>
      </c>
      <c r="AD804">
        <v>2024</v>
      </c>
      <c r="AE804">
        <v>9</v>
      </c>
      <c r="AF804" t="s">
        <v>131</v>
      </c>
      <c r="AG804" t="s">
        <v>188</v>
      </c>
    </row>
    <row r="805" spans="1:33">
      <c r="A805" t="s">
        <v>956</v>
      </c>
      <c r="B805">
        <v>45607</v>
      </c>
      <c r="C805">
        <v>45621</v>
      </c>
      <c r="D805" t="s">
        <v>21</v>
      </c>
      <c r="E805">
        <v>500</v>
      </c>
      <c r="F805">
        <v>886.81</v>
      </c>
      <c r="G805">
        <v>2.59</v>
      </c>
      <c r="H805">
        <v>431920.81</v>
      </c>
      <c r="I805" t="s">
        <v>1728</v>
      </c>
      <c r="J805">
        <v>701.91</v>
      </c>
      <c r="K805">
        <v>350955</v>
      </c>
      <c r="L805">
        <v>5061.75</v>
      </c>
      <c r="M805">
        <v>909.29</v>
      </c>
      <c r="N805">
        <v>3067.67</v>
      </c>
      <c r="O805">
        <v>359993.71</v>
      </c>
      <c r="P805">
        <v>80965.81</v>
      </c>
      <c r="Q805">
        <v>71927.100000000006</v>
      </c>
      <c r="R805" t="s">
        <v>65</v>
      </c>
      <c r="S805">
        <v>431920.81</v>
      </c>
      <c r="T805">
        <v>0</v>
      </c>
      <c r="U805" t="s">
        <v>66</v>
      </c>
      <c r="V805" t="s">
        <v>6</v>
      </c>
      <c r="W805" t="s">
        <v>74</v>
      </c>
      <c r="X805" t="s">
        <v>275</v>
      </c>
      <c r="Y805" t="s">
        <v>31</v>
      </c>
      <c r="Z805">
        <v>0.39</v>
      </c>
      <c r="AA805">
        <f t="shared" si="36"/>
        <v>71927.100000000006</v>
      </c>
      <c r="AB805">
        <f t="shared" si="37"/>
        <v>0.16652844302639644</v>
      </c>
      <c r="AC805">
        <f t="shared" si="38"/>
        <v>0</v>
      </c>
      <c r="AD805">
        <v>2024</v>
      </c>
      <c r="AE805">
        <v>11</v>
      </c>
      <c r="AF805" t="s">
        <v>128</v>
      </c>
      <c r="AG805" t="s">
        <v>129</v>
      </c>
    </row>
    <row r="806" spans="1:33">
      <c r="A806" t="s">
        <v>957</v>
      </c>
      <c r="B806">
        <v>45869</v>
      </c>
      <c r="C806">
        <v>45873</v>
      </c>
      <c r="D806" t="s">
        <v>23</v>
      </c>
      <c r="E806">
        <v>1000</v>
      </c>
      <c r="F806">
        <v>1351.9</v>
      </c>
      <c r="G806">
        <v>4.29</v>
      </c>
      <c r="H806">
        <v>1293903.49</v>
      </c>
      <c r="I806" t="s">
        <v>1729</v>
      </c>
      <c r="J806">
        <v>1114.9000000000001</v>
      </c>
      <c r="K806">
        <v>1114900</v>
      </c>
      <c r="L806">
        <v>12950.82</v>
      </c>
      <c r="M806">
        <v>3096.55</v>
      </c>
      <c r="N806">
        <v>1202.58</v>
      </c>
      <c r="O806">
        <v>1132149.95</v>
      </c>
      <c r="P806">
        <v>179003.49</v>
      </c>
      <c r="Q806">
        <v>161753.54</v>
      </c>
      <c r="R806" t="s">
        <v>65</v>
      </c>
      <c r="S806">
        <v>1293903.49</v>
      </c>
      <c r="T806">
        <v>0</v>
      </c>
      <c r="U806" t="s">
        <v>66</v>
      </c>
      <c r="V806" t="s">
        <v>6</v>
      </c>
      <c r="W806" t="s">
        <v>74</v>
      </c>
      <c r="X806" t="s">
        <v>127</v>
      </c>
      <c r="Y806" t="s">
        <v>22</v>
      </c>
      <c r="Z806">
        <v>0.7</v>
      </c>
      <c r="AA806">
        <f t="shared" si="36"/>
        <v>161753.54</v>
      </c>
      <c r="AB806">
        <f t="shared" si="37"/>
        <v>0.12501205943883806</v>
      </c>
      <c r="AC806">
        <f t="shared" si="38"/>
        <v>0</v>
      </c>
      <c r="AD806">
        <v>2025</v>
      </c>
      <c r="AE806">
        <v>7</v>
      </c>
      <c r="AF806" t="s">
        <v>69</v>
      </c>
      <c r="AG806" t="s">
        <v>151</v>
      </c>
    </row>
    <row r="807" spans="1:33">
      <c r="A807" t="s">
        <v>958</v>
      </c>
      <c r="B807">
        <v>45644</v>
      </c>
      <c r="C807">
        <v>45650</v>
      </c>
      <c r="D807" t="s">
        <v>21</v>
      </c>
      <c r="E807">
        <v>300</v>
      </c>
      <c r="F807">
        <v>865.2</v>
      </c>
      <c r="G807">
        <v>0.85</v>
      </c>
      <c r="H807">
        <v>257353.74</v>
      </c>
      <c r="I807" t="s">
        <v>1726</v>
      </c>
      <c r="J807">
        <v>709.01</v>
      </c>
      <c r="K807">
        <v>212703</v>
      </c>
      <c r="L807">
        <v>6551.87</v>
      </c>
      <c r="M807">
        <v>1343</v>
      </c>
      <c r="N807">
        <v>2485.5700000000002</v>
      </c>
      <c r="O807">
        <v>223083.44</v>
      </c>
      <c r="P807">
        <v>44650.74</v>
      </c>
      <c r="Q807">
        <v>34270.300000000003</v>
      </c>
      <c r="R807" t="s">
        <v>65</v>
      </c>
      <c r="S807">
        <v>257353.74</v>
      </c>
      <c r="T807">
        <v>0</v>
      </c>
      <c r="U807" t="s">
        <v>73</v>
      </c>
      <c r="V807" t="s">
        <v>10</v>
      </c>
      <c r="W807" t="s">
        <v>67</v>
      </c>
      <c r="X807" t="s">
        <v>230</v>
      </c>
      <c r="Y807" t="s">
        <v>31</v>
      </c>
      <c r="Z807">
        <v>0.53</v>
      </c>
      <c r="AA807">
        <f t="shared" si="36"/>
        <v>34270.300000000003</v>
      </c>
      <c r="AB807">
        <f t="shared" si="37"/>
        <v>0.13316418094409666</v>
      </c>
      <c r="AC807">
        <f t="shared" si="38"/>
        <v>0</v>
      </c>
      <c r="AD807">
        <v>2024</v>
      </c>
      <c r="AE807">
        <v>12</v>
      </c>
      <c r="AF807" t="s">
        <v>98</v>
      </c>
      <c r="AG807" t="s">
        <v>99</v>
      </c>
    </row>
    <row r="808" spans="1:33">
      <c r="A808" t="s">
        <v>959</v>
      </c>
      <c r="B808">
        <v>45783</v>
      </c>
      <c r="C808">
        <v>45795</v>
      </c>
      <c r="D808" t="s">
        <v>21</v>
      </c>
      <c r="E808">
        <v>200</v>
      </c>
      <c r="F808">
        <v>843.94</v>
      </c>
      <c r="G808">
        <v>2.0099999999999998</v>
      </c>
      <c r="H808">
        <v>165395.35999999999</v>
      </c>
      <c r="I808" t="s">
        <v>1726</v>
      </c>
      <c r="J808">
        <v>732.01</v>
      </c>
      <c r="K808">
        <v>146402</v>
      </c>
      <c r="L808">
        <v>4672.21</v>
      </c>
      <c r="M808">
        <v>685.89</v>
      </c>
      <c r="N808">
        <v>10996.01</v>
      </c>
      <c r="O808">
        <v>162756.10999999999</v>
      </c>
      <c r="P808">
        <v>18993.36</v>
      </c>
      <c r="Q808">
        <v>2639.25</v>
      </c>
      <c r="R808" t="s">
        <v>65</v>
      </c>
      <c r="S808">
        <v>165395.35999999999</v>
      </c>
      <c r="T808">
        <v>0</v>
      </c>
      <c r="U808" t="s">
        <v>66</v>
      </c>
      <c r="V808" t="s">
        <v>12</v>
      </c>
      <c r="W808" t="s">
        <v>74</v>
      </c>
      <c r="X808" t="s">
        <v>125</v>
      </c>
      <c r="Y808" t="s">
        <v>24</v>
      </c>
      <c r="Z808">
        <v>2.15</v>
      </c>
      <c r="AA808">
        <f t="shared" si="36"/>
        <v>2639.25</v>
      </c>
      <c r="AB808">
        <f t="shared" si="37"/>
        <v>1.5957219114248432E-2</v>
      </c>
      <c r="AC808">
        <f t="shared" si="38"/>
        <v>0</v>
      </c>
      <c r="AD808">
        <v>2025</v>
      </c>
      <c r="AE808">
        <v>5</v>
      </c>
      <c r="AF808" t="s">
        <v>76</v>
      </c>
      <c r="AG808" t="s">
        <v>94</v>
      </c>
    </row>
    <row r="809" spans="1:33">
      <c r="A809" t="s">
        <v>960</v>
      </c>
      <c r="B809">
        <v>45620</v>
      </c>
      <c r="C809">
        <v>45628</v>
      </c>
      <c r="D809" t="s">
        <v>21</v>
      </c>
      <c r="E809">
        <v>150</v>
      </c>
      <c r="F809">
        <v>903.64</v>
      </c>
      <c r="G809">
        <v>1.1599999999999999</v>
      </c>
      <c r="H809">
        <v>133973.67000000001</v>
      </c>
      <c r="I809" t="s">
        <v>1726</v>
      </c>
      <c r="J809">
        <v>667.9</v>
      </c>
      <c r="K809">
        <v>100185</v>
      </c>
      <c r="L809">
        <v>3318.2</v>
      </c>
      <c r="M809">
        <v>338.75</v>
      </c>
      <c r="N809">
        <v>10858.07</v>
      </c>
      <c r="O809">
        <v>114700.02</v>
      </c>
      <c r="P809">
        <v>33788.67</v>
      </c>
      <c r="Q809">
        <v>19273.650000000001</v>
      </c>
      <c r="R809" t="s">
        <v>65</v>
      </c>
      <c r="S809">
        <v>133973.67000000001</v>
      </c>
      <c r="T809">
        <v>0</v>
      </c>
      <c r="U809" t="s">
        <v>73</v>
      </c>
      <c r="V809" t="s">
        <v>12</v>
      </c>
      <c r="W809" t="s">
        <v>141</v>
      </c>
      <c r="X809" t="s">
        <v>89</v>
      </c>
      <c r="Y809" t="s">
        <v>28</v>
      </c>
      <c r="Z809">
        <v>2.02</v>
      </c>
      <c r="AA809">
        <f t="shared" si="36"/>
        <v>19273.650000000001</v>
      </c>
      <c r="AB809">
        <f t="shared" si="37"/>
        <v>0.1438614766617948</v>
      </c>
      <c r="AC809">
        <f t="shared" si="38"/>
        <v>0</v>
      </c>
      <c r="AD809">
        <v>2024</v>
      </c>
      <c r="AE809">
        <v>11</v>
      </c>
      <c r="AF809" t="s">
        <v>128</v>
      </c>
      <c r="AG809" t="s">
        <v>129</v>
      </c>
    </row>
    <row r="810" spans="1:33">
      <c r="A810" t="s">
        <v>961</v>
      </c>
      <c r="B810">
        <v>45497</v>
      </c>
      <c r="C810">
        <v>45497</v>
      </c>
      <c r="D810" t="s">
        <v>21</v>
      </c>
      <c r="E810">
        <v>200</v>
      </c>
      <c r="F810">
        <v>806.36</v>
      </c>
      <c r="G810">
        <v>1.48</v>
      </c>
      <c r="H810">
        <v>158885.17000000001</v>
      </c>
      <c r="I810" t="s">
        <v>1726</v>
      </c>
      <c r="J810">
        <v>683.01</v>
      </c>
      <c r="K810">
        <v>136602</v>
      </c>
      <c r="L810">
        <v>3078.01</v>
      </c>
      <c r="M810">
        <v>726.72</v>
      </c>
      <c r="N810">
        <v>727.39</v>
      </c>
      <c r="O810">
        <v>141134.12</v>
      </c>
      <c r="P810">
        <v>22283.17</v>
      </c>
      <c r="Q810">
        <v>17751.05</v>
      </c>
      <c r="R810" t="s">
        <v>65</v>
      </c>
      <c r="S810">
        <v>158885.17000000001</v>
      </c>
      <c r="T810">
        <v>0</v>
      </c>
      <c r="U810" t="s">
        <v>66</v>
      </c>
      <c r="V810" t="s">
        <v>14</v>
      </c>
      <c r="W810" t="s">
        <v>74</v>
      </c>
      <c r="X810" t="s">
        <v>123</v>
      </c>
      <c r="Y810" t="s">
        <v>22</v>
      </c>
      <c r="Z810">
        <v>1.1399999999999999</v>
      </c>
      <c r="AA810">
        <f t="shared" si="36"/>
        <v>17751.05</v>
      </c>
      <c r="AB810">
        <f t="shared" si="37"/>
        <v>0.11172251003665098</v>
      </c>
      <c r="AC810">
        <f t="shared" si="38"/>
        <v>0</v>
      </c>
      <c r="AD810">
        <v>2024</v>
      </c>
      <c r="AE810">
        <v>7</v>
      </c>
      <c r="AF810" t="s">
        <v>69</v>
      </c>
      <c r="AG810" t="s">
        <v>70</v>
      </c>
    </row>
    <row r="811" spans="1:33">
      <c r="A811" t="s">
        <v>962</v>
      </c>
      <c r="B811">
        <v>45486</v>
      </c>
      <c r="C811">
        <v>45493</v>
      </c>
      <c r="D811" t="s">
        <v>25</v>
      </c>
      <c r="E811">
        <v>500</v>
      </c>
      <c r="F811">
        <v>963.68</v>
      </c>
      <c r="G811">
        <v>0.72</v>
      </c>
      <c r="H811">
        <v>478370.75</v>
      </c>
      <c r="I811" t="s">
        <v>1727</v>
      </c>
      <c r="J811">
        <v>724.44</v>
      </c>
      <c r="K811">
        <v>362220</v>
      </c>
      <c r="L811">
        <v>3298.35</v>
      </c>
      <c r="M811">
        <v>2171.02</v>
      </c>
      <c r="N811">
        <v>4616.58</v>
      </c>
      <c r="O811">
        <v>372305.95</v>
      </c>
      <c r="P811">
        <v>116150.75</v>
      </c>
      <c r="Q811">
        <v>106064.8</v>
      </c>
      <c r="R811" t="s">
        <v>134</v>
      </c>
      <c r="S811">
        <v>0</v>
      </c>
      <c r="T811">
        <v>478370.75</v>
      </c>
      <c r="U811" t="s">
        <v>66</v>
      </c>
      <c r="V811" t="s">
        <v>6</v>
      </c>
      <c r="W811" t="s">
        <v>74</v>
      </c>
      <c r="X811" t="s">
        <v>208</v>
      </c>
      <c r="Y811" t="s">
        <v>26</v>
      </c>
      <c r="Z811">
        <v>0.88</v>
      </c>
      <c r="AA811">
        <f t="shared" si="36"/>
        <v>106064.8</v>
      </c>
      <c r="AB811">
        <f t="shared" si="37"/>
        <v>0.22172091416542505</v>
      </c>
      <c r="AC811">
        <f t="shared" si="38"/>
        <v>0</v>
      </c>
      <c r="AD811">
        <v>2024</v>
      </c>
      <c r="AE811">
        <v>7</v>
      </c>
      <c r="AF811" t="s">
        <v>69</v>
      </c>
      <c r="AG811" t="s">
        <v>70</v>
      </c>
    </row>
    <row r="812" spans="1:33">
      <c r="A812" t="s">
        <v>963</v>
      </c>
      <c r="B812">
        <v>45562</v>
      </c>
      <c r="C812">
        <v>45569</v>
      </c>
      <c r="D812" t="s">
        <v>23</v>
      </c>
      <c r="E812">
        <v>250</v>
      </c>
      <c r="F812">
        <v>1331.77</v>
      </c>
      <c r="G812">
        <v>0.84</v>
      </c>
      <c r="H812">
        <v>330145.78000000003</v>
      </c>
      <c r="I812" t="s">
        <v>1727</v>
      </c>
      <c r="J812">
        <v>1055.81</v>
      </c>
      <c r="K812">
        <v>263952.5</v>
      </c>
      <c r="L812">
        <v>5258.05</v>
      </c>
      <c r="M812">
        <v>846.96</v>
      </c>
      <c r="N812">
        <v>10625.52</v>
      </c>
      <c r="O812">
        <v>280683.03000000003</v>
      </c>
      <c r="P812">
        <v>66193.279999999999</v>
      </c>
      <c r="Q812">
        <v>49462.75</v>
      </c>
      <c r="R812" t="s">
        <v>65</v>
      </c>
      <c r="S812">
        <v>330145.78000000003</v>
      </c>
      <c r="T812">
        <v>0</v>
      </c>
      <c r="U812" t="s">
        <v>73</v>
      </c>
      <c r="V812" t="s">
        <v>10</v>
      </c>
      <c r="W812" t="s">
        <v>92</v>
      </c>
      <c r="X812" t="s">
        <v>81</v>
      </c>
      <c r="Y812" t="s">
        <v>24</v>
      </c>
      <c r="Z812">
        <v>2.16</v>
      </c>
      <c r="AA812">
        <f t="shared" si="36"/>
        <v>49462.75</v>
      </c>
      <c r="AB812">
        <f t="shared" si="37"/>
        <v>0.14982093667833646</v>
      </c>
      <c r="AC812">
        <f t="shared" si="38"/>
        <v>0</v>
      </c>
      <c r="AD812">
        <v>2024</v>
      </c>
      <c r="AE812">
        <v>9</v>
      </c>
      <c r="AF812" t="s">
        <v>131</v>
      </c>
      <c r="AG812" t="s">
        <v>188</v>
      </c>
    </row>
    <row r="813" spans="1:33">
      <c r="A813" t="s">
        <v>964</v>
      </c>
      <c r="B813">
        <v>45975</v>
      </c>
      <c r="C813">
        <v>45981</v>
      </c>
      <c r="D813" t="s">
        <v>21</v>
      </c>
      <c r="E813">
        <v>150</v>
      </c>
      <c r="F813">
        <v>911.32</v>
      </c>
      <c r="G813">
        <v>1.29</v>
      </c>
      <c r="H813">
        <v>134934.6</v>
      </c>
      <c r="I813" t="s">
        <v>1729</v>
      </c>
      <c r="J813">
        <v>700.06</v>
      </c>
      <c r="K813">
        <v>105009</v>
      </c>
      <c r="L813">
        <v>2761.74</v>
      </c>
      <c r="M813">
        <v>619.39</v>
      </c>
      <c r="N813">
        <v>3644.24</v>
      </c>
      <c r="O813">
        <v>112034.37</v>
      </c>
      <c r="P813">
        <v>29925.599999999999</v>
      </c>
      <c r="Q813">
        <v>22900.23</v>
      </c>
      <c r="R813" t="s">
        <v>65</v>
      </c>
      <c r="S813">
        <v>134934.6</v>
      </c>
      <c r="T813">
        <v>0</v>
      </c>
      <c r="U813" t="s">
        <v>73</v>
      </c>
      <c r="V813" t="s">
        <v>6</v>
      </c>
      <c r="W813" t="s">
        <v>67</v>
      </c>
      <c r="X813" t="s">
        <v>127</v>
      </c>
      <c r="Y813" t="s">
        <v>22</v>
      </c>
      <c r="Z813">
        <v>0.17</v>
      </c>
      <c r="AA813">
        <f t="shared" si="36"/>
        <v>22900.23</v>
      </c>
      <c r="AB813">
        <f t="shared" si="37"/>
        <v>0.16971355011983583</v>
      </c>
      <c r="AC813">
        <f t="shared" si="38"/>
        <v>0</v>
      </c>
      <c r="AD813">
        <v>2025</v>
      </c>
      <c r="AE813">
        <v>11</v>
      </c>
      <c r="AF813" t="s">
        <v>128</v>
      </c>
      <c r="AG813" t="s">
        <v>135</v>
      </c>
    </row>
    <row r="814" spans="1:33">
      <c r="A814" t="s">
        <v>965</v>
      </c>
      <c r="B814">
        <v>45422</v>
      </c>
      <c r="C814">
        <v>45423</v>
      </c>
      <c r="D814" t="s">
        <v>21</v>
      </c>
      <c r="E814">
        <v>500</v>
      </c>
      <c r="F814">
        <v>833.2</v>
      </c>
      <c r="G814">
        <v>0.69</v>
      </c>
      <c r="H814">
        <v>413725.46</v>
      </c>
      <c r="I814" t="s">
        <v>1726</v>
      </c>
      <c r="J814">
        <v>741.34</v>
      </c>
      <c r="K814">
        <v>370670</v>
      </c>
      <c r="L814">
        <v>8963.24</v>
      </c>
      <c r="M814">
        <v>2351.0500000000002</v>
      </c>
      <c r="N814">
        <v>2877.55</v>
      </c>
      <c r="O814">
        <v>384861.84</v>
      </c>
      <c r="P814">
        <v>43055.46</v>
      </c>
      <c r="Q814">
        <v>28863.62</v>
      </c>
      <c r="R814" t="s">
        <v>85</v>
      </c>
      <c r="S814">
        <v>313907.71999999997</v>
      </c>
      <c r="T814">
        <v>99817.74</v>
      </c>
      <c r="U814" t="s">
        <v>66</v>
      </c>
      <c r="V814" t="s">
        <v>8</v>
      </c>
      <c r="W814" t="s">
        <v>67</v>
      </c>
      <c r="X814" t="s">
        <v>208</v>
      </c>
      <c r="Y814" t="s">
        <v>26</v>
      </c>
      <c r="Z814">
        <v>0.67</v>
      </c>
      <c r="AA814">
        <f t="shared" si="36"/>
        <v>28863.62</v>
      </c>
      <c r="AB814">
        <f t="shared" si="37"/>
        <v>6.9765152959162816E-2</v>
      </c>
      <c r="AC814">
        <f t="shared" si="38"/>
        <v>0</v>
      </c>
      <c r="AD814">
        <v>2024</v>
      </c>
      <c r="AE814">
        <v>5</v>
      </c>
      <c r="AF814" t="s">
        <v>76</v>
      </c>
      <c r="AG814" t="s">
        <v>77</v>
      </c>
    </row>
    <row r="815" spans="1:33">
      <c r="A815" t="s">
        <v>966</v>
      </c>
      <c r="B815">
        <v>45599</v>
      </c>
      <c r="C815">
        <v>45604</v>
      </c>
      <c r="D815" t="s">
        <v>25</v>
      </c>
      <c r="E815">
        <v>500</v>
      </c>
      <c r="F815">
        <v>1053.8399999999999</v>
      </c>
      <c r="G815">
        <v>4.4000000000000004</v>
      </c>
      <c r="H815">
        <v>503735.52</v>
      </c>
      <c r="I815" t="s">
        <v>1728</v>
      </c>
      <c r="J815">
        <v>734.51</v>
      </c>
      <c r="K815">
        <v>367255</v>
      </c>
      <c r="L815">
        <v>6713.84</v>
      </c>
      <c r="M815">
        <v>2194.35</v>
      </c>
      <c r="N815">
        <v>6271.37</v>
      </c>
      <c r="O815">
        <v>382434.56</v>
      </c>
      <c r="P815">
        <v>136480.51999999999</v>
      </c>
      <c r="Q815">
        <v>121300.96</v>
      </c>
      <c r="R815" t="s">
        <v>65</v>
      </c>
      <c r="S815">
        <v>503735.52</v>
      </c>
      <c r="T815">
        <v>0</v>
      </c>
      <c r="U815" t="s">
        <v>66</v>
      </c>
      <c r="V815" t="s">
        <v>8</v>
      </c>
      <c r="W815" t="s">
        <v>67</v>
      </c>
      <c r="X815" t="s">
        <v>145</v>
      </c>
      <c r="Y815" t="s">
        <v>30</v>
      </c>
      <c r="Z815">
        <v>1.6</v>
      </c>
      <c r="AA815">
        <f t="shared" si="36"/>
        <v>121300.96</v>
      </c>
      <c r="AB815">
        <f t="shared" si="37"/>
        <v>0.2408028721103487</v>
      </c>
      <c r="AC815">
        <f t="shared" si="38"/>
        <v>0</v>
      </c>
      <c r="AD815">
        <v>2024</v>
      </c>
      <c r="AE815">
        <v>11</v>
      </c>
      <c r="AF815" t="s">
        <v>128</v>
      </c>
      <c r="AG815" t="s">
        <v>129</v>
      </c>
    </row>
    <row r="816" spans="1:33">
      <c r="A816" t="s">
        <v>967</v>
      </c>
      <c r="B816">
        <v>45512</v>
      </c>
      <c r="C816">
        <v>45525</v>
      </c>
      <c r="D816" t="s">
        <v>21</v>
      </c>
      <c r="E816">
        <v>200</v>
      </c>
      <c r="F816">
        <v>882.41</v>
      </c>
      <c r="G816">
        <v>2.2000000000000002</v>
      </c>
      <c r="H816">
        <v>172599.4</v>
      </c>
      <c r="I816" t="s">
        <v>1726</v>
      </c>
      <c r="J816">
        <v>747.94</v>
      </c>
      <c r="K816">
        <v>149588</v>
      </c>
      <c r="L816">
        <v>1900.79</v>
      </c>
      <c r="M816">
        <v>868.46</v>
      </c>
      <c r="N816">
        <v>5700.57</v>
      </c>
      <c r="O816">
        <v>158057.82</v>
      </c>
      <c r="P816">
        <v>23011.4</v>
      </c>
      <c r="Q816">
        <v>14541.58</v>
      </c>
      <c r="R816" t="s">
        <v>65</v>
      </c>
      <c r="S816">
        <v>172599.4</v>
      </c>
      <c r="T816">
        <v>0</v>
      </c>
      <c r="U816" t="s">
        <v>66</v>
      </c>
      <c r="V816" t="s">
        <v>6</v>
      </c>
      <c r="W816" t="s">
        <v>80</v>
      </c>
      <c r="X816" t="s">
        <v>108</v>
      </c>
      <c r="Y816" t="s">
        <v>22</v>
      </c>
      <c r="Z816">
        <v>0.16</v>
      </c>
      <c r="AA816">
        <f t="shared" si="36"/>
        <v>14541.58</v>
      </c>
      <c r="AB816">
        <f t="shared" si="37"/>
        <v>8.4250466687601472E-2</v>
      </c>
      <c r="AC816">
        <f t="shared" si="38"/>
        <v>0</v>
      </c>
      <c r="AD816">
        <v>2024</v>
      </c>
      <c r="AE816">
        <v>8</v>
      </c>
      <c r="AF816" t="s">
        <v>82</v>
      </c>
      <c r="AG816" t="s">
        <v>83</v>
      </c>
    </row>
    <row r="817" spans="1:33">
      <c r="A817" t="s">
        <v>968</v>
      </c>
      <c r="B817">
        <v>45554</v>
      </c>
      <c r="C817">
        <v>45567</v>
      </c>
      <c r="D817" t="s">
        <v>21</v>
      </c>
      <c r="E817">
        <v>50</v>
      </c>
      <c r="F817">
        <v>955.98</v>
      </c>
      <c r="G817">
        <v>0.83</v>
      </c>
      <c r="H817">
        <v>47402.27</v>
      </c>
      <c r="I817" t="s">
        <v>1726</v>
      </c>
      <c r="J817">
        <v>649.16999999999996</v>
      </c>
      <c r="K817">
        <v>32458.5</v>
      </c>
      <c r="L817">
        <v>254.72</v>
      </c>
      <c r="M817">
        <v>216.64</v>
      </c>
      <c r="N817">
        <v>3202.32</v>
      </c>
      <c r="O817">
        <v>36132.18</v>
      </c>
      <c r="P817">
        <v>14943.77</v>
      </c>
      <c r="Q817">
        <v>11270.09</v>
      </c>
      <c r="R817" t="s">
        <v>65</v>
      </c>
      <c r="S817">
        <v>47402.27</v>
      </c>
      <c r="T817">
        <v>0</v>
      </c>
      <c r="U817" t="s">
        <v>66</v>
      </c>
      <c r="V817" t="s">
        <v>6</v>
      </c>
      <c r="W817" t="s">
        <v>80</v>
      </c>
      <c r="X817" t="s">
        <v>97</v>
      </c>
      <c r="Y817" t="s">
        <v>24</v>
      </c>
      <c r="Z817">
        <v>1.42</v>
      </c>
      <c r="AA817">
        <f t="shared" si="36"/>
        <v>11270.09</v>
      </c>
      <c r="AB817">
        <f t="shared" si="37"/>
        <v>0.23775422569425475</v>
      </c>
      <c r="AC817">
        <f t="shared" si="38"/>
        <v>0</v>
      </c>
      <c r="AD817">
        <v>2024</v>
      </c>
      <c r="AE817">
        <v>9</v>
      </c>
      <c r="AF817" t="s">
        <v>131</v>
      </c>
      <c r="AG817" t="s">
        <v>188</v>
      </c>
    </row>
    <row r="818" spans="1:33">
      <c r="A818" t="s">
        <v>969</v>
      </c>
      <c r="B818">
        <v>45891</v>
      </c>
      <c r="C818">
        <v>45899</v>
      </c>
      <c r="D818" t="s">
        <v>25</v>
      </c>
      <c r="E818">
        <v>150</v>
      </c>
      <c r="F818">
        <v>909.35</v>
      </c>
      <c r="G818">
        <v>1.84</v>
      </c>
      <c r="H818">
        <v>133892.69</v>
      </c>
      <c r="I818" t="s">
        <v>1726</v>
      </c>
      <c r="J818">
        <v>794.18</v>
      </c>
      <c r="K818">
        <v>119127</v>
      </c>
      <c r="L818">
        <v>2515.21</v>
      </c>
      <c r="M818">
        <v>309.70999999999998</v>
      </c>
      <c r="N818">
        <v>8807.61</v>
      </c>
      <c r="O818">
        <v>130759.53</v>
      </c>
      <c r="P818">
        <v>14765.69</v>
      </c>
      <c r="Q818">
        <v>3133.16</v>
      </c>
      <c r="R818" t="s">
        <v>65</v>
      </c>
      <c r="S818">
        <v>133892.69</v>
      </c>
      <c r="T818">
        <v>0</v>
      </c>
      <c r="U818" t="s">
        <v>66</v>
      </c>
      <c r="V818" t="s">
        <v>8</v>
      </c>
      <c r="W818" t="s">
        <v>67</v>
      </c>
      <c r="X818" t="s">
        <v>108</v>
      </c>
      <c r="Y818" t="s">
        <v>22</v>
      </c>
      <c r="Z818">
        <v>2.34</v>
      </c>
      <c r="AA818">
        <f t="shared" si="36"/>
        <v>3133.16</v>
      </c>
      <c r="AB818">
        <f t="shared" si="37"/>
        <v>2.3400530678709942E-2</v>
      </c>
      <c r="AC818">
        <f t="shared" si="38"/>
        <v>0</v>
      </c>
      <c r="AD818">
        <v>2025</v>
      </c>
      <c r="AE818">
        <v>8</v>
      </c>
      <c r="AF818" t="s">
        <v>82</v>
      </c>
      <c r="AG818" t="s">
        <v>87</v>
      </c>
    </row>
    <row r="819" spans="1:33">
      <c r="A819" t="s">
        <v>970</v>
      </c>
      <c r="B819">
        <v>45683</v>
      </c>
      <c r="C819">
        <v>45683</v>
      </c>
      <c r="D819" t="s">
        <v>21</v>
      </c>
      <c r="E819">
        <v>200</v>
      </c>
      <c r="F819">
        <v>901.36</v>
      </c>
      <c r="G819">
        <v>1.56</v>
      </c>
      <c r="H819">
        <v>177459.76</v>
      </c>
      <c r="I819" t="s">
        <v>1726</v>
      </c>
      <c r="J819">
        <v>684.64</v>
      </c>
      <c r="K819">
        <v>136928</v>
      </c>
      <c r="L819">
        <v>1969.6</v>
      </c>
      <c r="M819">
        <v>531.79</v>
      </c>
      <c r="N819">
        <v>8911.31</v>
      </c>
      <c r="O819">
        <v>148340.70000000001</v>
      </c>
      <c r="P819">
        <v>40531.760000000002</v>
      </c>
      <c r="Q819">
        <v>29119.06</v>
      </c>
      <c r="R819" t="s">
        <v>65</v>
      </c>
      <c r="S819">
        <v>177459.76</v>
      </c>
      <c r="T819">
        <v>0</v>
      </c>
      <c r="U819" t="s">
        <v>66</v>
      </c>
      <c r="V819" t="s">
        <v>12</v>
      </c>
      <c r="W819" t="s">
        <v>67</v>
      </c>
      <c r="X819" t="s">
        <v>127</v>
      </c>
      <c r="Y819" t="s">
        <v>22</v>
      </c>
      <c r="Z819">
        <v>2.14</v>
      </c>
      <c r="AA819">
        <f t="shared" si="36"/>
        <v>29119.06</v>
      </c>
      <c r="AB819">
        <f t="shared" si="37"/>
        <v>0.16408824175125675</v>
      </c>
      <c r="AC819">
        <f t="shared" si="38"/>
        <v>0</v>
      </c>
      <c r="AD819">
        <v>2025</v>
      </c>
      <c r="AE819">
        <v>1</v>
      </c>
      <c r="AF819" t="s">
        <v>102</v>
      </c>
      <c r="AG819" t="s">
        <v>118</v>
      </c>
    </row>
    <row r="820" spans="1:33">
      <c r="A820" t="s">
        <v>971</v>
      </c>
      <c r="B820">
        <v>45750</v>
      </c>
      <c r="C820">
        <v>45760</v>
      </c>
      <c r="D820" t="s">
        <v>23</v>
      </c>
      <c r="E820">
        <v>200</v>
      </c>
      <c r="F820">
        <v>1235.4100000000001</v>
      </c>
      <c r="G820">
        <v>0.13</v>
      </c>
      <c r="H820">
        <v>246760.79</v>
      </c>
      <c r="I820" t="s">
        <v>1727</v>
      </c>
      <c r="J820">
        <v>1026.8800000000001</v>
      </c>
      <c r="K820">
        <v>205376</v>
      </c>
      <c r="L820">
        <v>3196.57</v>
      </c>
      <c r="M820">
        <v>1112.23</v>
      </c>
      <c r="N820">
        <v>7492.65</v>
      </c>
      <c r="O820">
        <v>217177.45</v>
      </c>
      <c r="P820">
        <v>41384.79</v>
      </c>
      <c r="Q820">
        <v>29583.34</v>
      </c>
      <c r="R820" t="s">
        <v>65</v>
      </c>
      <c r="S820">
        <v>246760.79</v>
      </c>
      <c r="T820">
        <v>0</v>
      </c>
      <c r="U820" t="s">
        <v>66</v>
      </c>
      <c r="V820" t="s">
        <v>14</v>
      </c>
      <c r="W820" t="s">
        <v>92</v>
      </c>
      <c r="X820" t="s">
        <v>164</v>
      </c>
      <c r="Y820" t="s">
        <v>24</v>
      </c>
      <c r="Z820">
        <v>2.44</v>
      </c>
      <c r="AA820">
        <f t="shared" si="36"/>
        <v>29583.34</v>
      </c>
      <c r="AB820">
        <f t="shared" si="37"/>
        <v>0.11988671295792172</v>
      </c>
      <c r="AC820">
        <f t="shared" si="38"/>
        <v>0</v>
      </c>
      <c r="AD820">
        <v>2025</v>
      </c>
      <c r="AE820">
        <v>4</v>
      </c>
      <c r="AF820" t="s">
        <v>154</v>
      </c>
      <c r="AG820" t="s">
        <v>155</v>
      </c>
    </row>
    <row r="821" spans="1:33">
      <c r="A821" t="s">
        <v>972</v>
      </c>
      <c r="B821">
        <v>45732</v>
      </c>
      <c r="C821">
        <v>45732</v>
      </c>
      <c r="D821" t="s">
        <v>21</v>
      </c>
      <c r="E821">
        <v>100</v>
      </c>
      <c r="F821">
        <v>930.19</v>
      </c>
      <c r="G821">
        <v>0.95</v>
      </c>
      <c r="H821">
        <v>92135.32</v>
      </c>
      <c r="I821" t="s">
        <v>1727</v>
      </c>
      <c r="J821">
        <v>688.5</v>
      </c>
      <c r="K821">
        <v>68850</v>
      </c>
      <c r="L821">
        <v>1429.99</v>
      </c>
      <c r="M821">
        <v>510.13</v>
      </c>
      <c r="N821">
        <v>6672.9</v>
      </c>
      <c r="O821">
        <v>77463.02</v>
      </c>
      <c r="P821">
        <v>23285.32</v>
      </c>
      <c r="Q821">
        <v>14672.3</v>
      </c>
      <c r="R821" t="s">
        <v>85</v>
      </c>
      <c r="S821">
        <v>60298.7</v>
      </c>
      <c r="T821">
        <v>31836.62</v>
      </c>
      <c r="U821" t="s">
        <v>66</v>
      </c>
      <c r="V821" t="s">
        <v>16</v>
      </c>
      <c r="W821" t="s">
        <v>67</v>
      </c>
      <c r="X821" t="s">
        <v>123</v>
      </c>
      <c r="Y821" t="s">
        <v>22</v>
      </c>
      <c r="Z821">
        <v>0.12</v>
      </c>
      <c r="AA821">
        <f t="shared" si="36"/>
        <v>14672.3</v>
      </c>
      <c r="AB821">
        <f t="shared" si="37"/>
        <v>0.15924728974729777</v>
      </c>
      <c r="AC821">
        <f t="shared" si="38"/>
        <v>0</v>
      </c>
      <c r="AD821">
        <v>2025</v>
      </c>
      <c r="AE821">
        <v>3</v>
      </c>
      <c r="AF821" t="s">
        <v>105</v>
      </c>
      <c r="AG821" t="s">
        <v>106</v>
      </c>
    </row>
    <row r="822" spans="1:33">
      <c r="A822" t="s">
        <v>973</v>
      </c>
      <c r="B822">
        <v>45884</v>
      </c>
      <c r="C822">
        <v>45885</v>
      </c>
      <c r="D822" t="s">
        <v>23</v>
      </c>
      <c r="E822">
        <v>300</v>
      </c>
      <c r="F822">
        <v>1342.48</v>
      </c>
      <c r="G822">
        <v>1.1000000000000001</v>
      </c>
      <c r="H822">
        <v>398313.82</v>
      </c>
      <c r="I822" t="s">
        <v>1726</v>
      </c>
      <c r="J822">
        <v>1099.54</v>
      </c>
      <c r="K822">
        <v>329862</v>
      </c>
      <c r="L822">
        <v>7187.49</v>
      </c>
      <c r="M822">
        <v>1436.18</v>
      </c>
      <c r="N822">
        <v>508.63</v>
      </c>
      <c r="O822">
        <v>338994.3</v>
      </c>
      <c r="P822">
        <v>68451.820000000007</v>
      </c>
      <c r="Q822">
        <v>59319.519999999997</v>
      </c>
      <c r="R822" t="s">
        <v>65</v>
      </c>
      <c r="S822">
        <v>398313.82</v>
      </c>
      <c r="T822">
        <v>0</v>
      </c>
      <c r="U822" t="s">
        <v>73</v>
      </c>
      <c r="V822" t="s">
        <v>8</v>
      </c>
      <c r="W822" t="s">
        <v>67</v>
      </c>
      <c r="X822" t="s">
        <v>108</v>
      </c>
      <c r="Y822" t="s">
        <v>22</v>
      </c>
      <c r="Z822">
        <v>1.05</v>
      </c>
      <c r="AA822">
        <f t="shared" si="36"/>
        <v>59319.519999999997</v>
      </c>
      <c r="AB822">
        <f t="shared" si="37"/>
        <v>0.14892659260479588</v>
      </c>
      <c r="AC822">
        <f t="shared" si="38"/>
        <v>0</v>
      </c>
      <c r="AD822">
        <v>2025</v>
      </c>
      <c r="AE822">
        <v>8</v>
      </c>
      <c r="AF822" t="s">
        <v>82</v>
      </c>
      <c r="AG822" t="s">
        <v>87</v>
      </c>
    </row>
    <row r="823" spans="1:33">
      <c r="A823" t="s">
        <v>974</v>
      </c>
      <c r="B823">
        <v>45510</v>
      </c>
      <c r="D823" t="s">
        <v>23</v>
      </c>
      <c r="E823">
        <v>150</v>
      </c>
      <c r="F823">
        <v>1292.17</v>
      </c>
      <c r="G823">
        <v>0.22</v>
      </c>
      <c r="H823">
        <v>193399.08</v>
      </c>
      <c r="I823" t="s">
        <v>1727</v>
      </c>
      <c r="J823">
        <v>972.05</v>
      </c>
      <c r="K823">
        <v>145807.5</v>
      </c>
      <c r="L823">
        <v>2862.42</v>
      </c>
      <c r="M823">
        <v>778.14</v>
      </c>
      <c r="N823">
        <v>7993.01</v>
      </c>
      <c r="O823">
        <v>157441.07</v>
      </c>
      <c r="P823">
        <v>47591.58</v>
      </c>
      <c r="Q823">
        <v>35958.01</v>
      </c>
      <c r="R823" t="s">
        <v>65</v>
      </c>
      <c r="S823">
        <v>193399.08</v>
      </c>
      <c r="T823">
        <v>0</v>
      </c>
      <c r="U823" t="s">
        <v>91</v>
      </c>
      <c r="V823" t="s">
        <v>16</v>
      </c>
      <c r="W823" t="s">
        <v>74</v>
      </c>
      <c r="X823" t="s">
        <v>97</v>
      </c>
      <c r="Y823" t="s">
        <v>24</v>
      </c>
      <c r="Z823">
        <v>1.2</v>
      </c>
      <c r="AA823">
        <f t="shared" si="36"/>
        <v>35958.01</v>
      </c>
      <c r="AB823">
        <f t="shared" si="37"/>
        <v>0.18592647907115176</v>
      </c>
      <c r="AC823">
        <f t="shared" si="38"/>
        <v>0</v>
      </c>
      <c r="AD823">
        <v>2024</v>
      </c>
      <c r="AE823">
        <v>8</v>
      </c>
      <c r="AF823" t="s">
        <v>82</v>
      </c>
      <c r="AG823" t="s">
        <v>83</v>
      </c>
    </row>
    <row r="824" spans="1:33">
      <c r="A824" t="s">
        <v>975</v>
      </c>
      <c r="B824">
        <v>45823</v>
      </c>
      <c r="C824">
        <v>45823</v>
      </c>
      <c r="D824" t="s">
        <v>25</v>
      </c>
      <c r="E824">
        <v>300</v>
      </c>
      <c r="F824">
        <v>975.87</v>
      </c>
      <c r="G824">
        <v>2.5</v>
      </c>
      <c r="H824">
        <v>285441.96999999997</v>
      </c>
      <c r="I824" t="s">
        <v>1727</v>
      </c>
      <c r="J824">
        <v>787.67</v>
      </c>
      <c r="K824">
        <v>236301</v>
      </c>
      <c r="L824">
        <v>1698.89</v>
      </c>
      <c r="M824">
        <v>1739.4</v>
      </c>
      <c r="N824">
        <v>6713.62</v>
      </c>
      <c r="O824">
        <v>246452.91</v>
      </c>
      <c r="P824">
        <v>49140.97</v>
      </c>
      <c r="Q824">
        <v>38989.06</v>
      </c>
      <c r="R824" t="s">
        <v>65</v>
      </c>
      <c r="S824">
        <v>285441.96999999997</v>
      </c>
      <c r="T824">
        <v>0</v>
      </c>
      <c r="U824" t="s">
        <v>66</v>
      </c>
      <c r="V824" t="s">
        <v>16</v>
      </c>
      <c r="W824" t="s">
        <v>74</v>
      </c>
      <c r="X824" t="s">
        <v>159</v>
      </c>
      <c r="Y824" t="s">
        <v>30</v>
      </c>
      <c r="Z824">
        <v>2.23</v>
      </c>
      <c r="AA824">
        <f t="shared" si="36"/>
        <v>38989.06</v>
      </c>
      <c r="AB824">
        <f t="shared" si="37"/>
        <v>0.13659189641943686</v>
      </c>
      <c r="AC824">
        <f t="shared" si="38"/>
        <v>0</v>
      </c>
      <c r="AD824">
        <v>2025</v>
      </c>
      <c r="AE824">
        <v>6</v>
      </c>
      <c r="AF824" t="s">
        <v>111</v>
      </c>
      <c r="AG824" t="s">
        <v>112</v>
      </c>
    </row>
    <row r="825" spans="1:33">
      <c r="A825" t="s">
        <v>976</v>
      </c>
      <c r="B825">
        <v>45334</v>
      </c>
      <c r="C825">
        <v>45338</v>
      </c>
      <c r="D825" t="s">
        <v>29</v>
      </c>
      <c r="E825">
        <v>250</v>
      </c>
      <c r="F825">
        <v>2711.61</v>
      </c>
      <c r="G825">
        <v>1.49</v>
      </c>
      <c r="H825">
        <v>667801.75</v>
      </c>
      <c r="I825" t="s">
        <v>1727</v>
      </c>
      <c r="J825">
        <v>2349.25</v>
      </c>
      <c r="K825">
        <v>587312.5</v>
      </c>
      <c r="L825">
        <v>2773.61</v>
      </c>
      <c r="M825">
        <v>637.65</v>
      </c>
      <c r="N825">
        <v>7928.9</v>
      </c>
      <c r="O825">
        <v>598652.66</v>
      </c>
      <c r="P825">
        <v>80489.25</v>
      </c>
      <c r="Q825">
        <v>69149.09</v>
      </c>
      <c r="R825" t="s">
        <v>65</v>
      </c>
      <c r="S825">
        <v>667801.75</v>
      </c>
      <c r="T825">
        <v>0</v>
      </c>
      <c r="U825" t="s">
        <v>66</v>
      </c>
      <c r="V825" t="s">
        <v>6</v>
      </c>
      <c r="W825" t="s">
        <v>74</v>
      </c>
      <c r="X825" t="s">
        <v>108</v>
      </c>
      <c r="Y825" t="s">
        <v>22</v>
      </c>
      <c r="Z825">
        <v>1.72</v>
      </c>
      <c r="AA825">
        <f t="shared" si="36"/>
        <v>69149.09</v>
      </c>
      <c r="AB825">
        <f t="shared" si="37"/>
        <v>0.10354733272262313</v>
      </c>
      <c r="AC825">
        <f t="shared" si="38"/>
        <v>0</v>
      </c>
      <c r="AD825">
        <v>2024</v>
      </c>
      <c r="AE825">
        <v>2</v>
      </c>
      <c r="AF825" t="s">
        <v>172</v>
      </c>
      <c r="AG825" t="s">
        <v>173</v>
      </c>
    </row>
    <row r="826" spans="1:33">
      <c r="A826" t="s">
        <v>977</v>
      </c>
      <c r="B826">
        <v>45933</v>
      </c>
      <c r="C826">
        <v>45943</v>
      </c>
      <c r="D826" t="s">
        <v>21</v>
      </c>
      <c r="E826">
        <v>150</v>
      </c>
      <c r="F826">
        <v>928.53</v>
      </c>
      <c r="G826">
        <v>0.96</v>
      </c>
      <c r="H826">
        <v>137942.42000000001</v>
      </c>
      <c r="I826" t="s">
        <v>1726</v>
      </c>
      <c r="J826">
        <v>738.41</v>
      </c>
      <c r="K826">
        <v>110761.5</v>
      </c>
      <c r="L826">
        <v>935.52</v>
      </c>
      <c r="M826">
        <v>311.33999999999997</v>
      </c>
      <c r="N826">
        <v>7234.71</v>
      </c>
      <c r="O826">
        <v>119243.07</v>
      </c>
      <c r="P826">
        <v>27180.92</v>
      </c>
      <c r="Q826">
        <v>18699.349999999999</v>
      </c>
      <c r="R826" t="s">
        <v>65</v>
      </c>
      <c r="S826">
        <v>137942.42000000001</v>
      </c>
      <c r="T826">
        <v>0</v>
      </c>
      <c r="U826" t="s">
        <v>66</v>
      </c>
      <c r="V826" t="s">
        <v>8</v>
      </c>
      <c r="W826" t="s">
        <v>74</v>
      </c>
      <c r="X826" t="s">
        <v>176</v>
      </c>
      <c r="Y826" t="s">
        <v>22</v>
      </c>
      <c r="Z826">
        <v>1.48</v>
      </c>
      <c r="AA826">
        <f t="shared" si="36"/>
        <v>18699.349999999999</v>
      </c>
      <c r="AB826">
        <f t="shared" si="37"/>
        <v>0.13555909777427419</v>
      </c>
      <c r="AC826">
        <f t="shared" si="38"/>
        <v>0</v>
      </c>
      <c r="AD826">
        <v>2025</v>
      </c>
      <c r="AE826">
        <v>10</v>
      </c>
      <c r="AF826" t="s">
        <v>138</v>
      </c>
      <c r="AG826" t="s">
        <v>160</v>
      </c>
    </row>
    <row r="827" spans="1:33">
      <c r="A827" t="s">
        <v>978</v>
      </c>
      <c r="B827">
        <v>45779</v>
      </c>
      <c r="C827">
        <v>45790</v>
      </c>
      <c r="D827" t="s">
        <v>25</v>
      </c>
      <c r="E827">
        <v>500</v>
      </c>
      <c r="F827">
        <v>1017.91</v>
      </c>
      <c r="G827">
        <v>0.19</v>
      </c>
      <c r="H827">
        <v>507987.99</v>
      </c>
      <c r="I827" t="s">
        <v>1729</v>
      </c>
      <c r="J827">
        <v>777.21</v>
      </c>
      <c r="K827">
        <v>388605</v>
      </c>
      <c r="L827">
        <v>6844.1</v>
      </c>
      <c r="M827">
        <v>1381.8</v>
      </c>
      <c r="N827">
        <v>4842.47</v>
      </c>
      <c r="O827">
        <v>401673.37</v>
      </c>
      <c r="P827">
        <v>119382.99</v>
      </c>
      <c r="Q827">
        <v>106314.62</v>
      </c>
      <c r="R827" t="s">
        <v>65</v>
      </c>
      <c r="S827">
        <v>507987.99</v>
      </c>
      <c r="T827">
        <v>0</v>
      </c>
      <c r="U827" t="s">
        <v>66</v>
      </c>
      <c r="V827" t="s">
        <v>6</v>
      </c>
      <c r="W827" t="s">
        <v>80</v>
      </c>
      <c r="X827" t="s">
        <v>101</v>
      </c>
      <c r="Y827" t="s">
        <v>22</v>
      </c>
      <c r="Z827">
        <v>0.88</v>
      </c>
      <c r="AA827">
        <f t="shared" si="36"/>
        <v>106314.62</v>
      </c>
      <c r="AB827">
        <f t="shared" si="37"/>
        <v>0.20928569590788948</v>
      </c>
      <c r="AC827">
        <f t="shared" si="38"/>
        <v>0</v>
      </c>
      <c r="AD827">
        <v>2025</v>
      </c>
      <c r="AE827">
        <v>5</v>
      </c>
      <c r="AF827" t="s">
        <v>76</v>
      </c>
      <c r="AG827" t="s">
        <v>94</v>
      </c>
    </row>
    <row r="828" spans="1:33">
      <c r="A828" t="s">
        <v>979</v>
      </c>
      <c r="B828">
        <v>45479</v>
      </c>
      <c r="C828">
        <v>45485</v>
      </c>
      <c r="D828" t="s">
        <v>25</v>
      </c>
      <c r="E828">
        <v>150</v>
      </c>
      <c r="F828">
        <v>950.66</v>
      </c>
      <c r="G828">
        <v>1.19</v>
      </c>
      <c r="H828">
        <v>140902.07</v>
      </c>
      <c r="I828" t="s">
        <v>1727</v>
      </c>
      <c r="J828">
        <v>742.17</v>
      </c>
      <c r="K828">
        <v>111325.5</v>
      </c>
      <c r="L828">
        <v>3108.77</v>
      </c>
      <c r="M828">
        <v>419.36</v>
      </c>
      <c r="N828">
        <v>4427.6000000000004</v>
      </c>
      <c r="O828">
        <v>119281.23</v>
      </c>
      <c r="P828">
        <v>29576.57</v>
      </c>
      <c r="Q828">
        <v>21620.84</v>
      </c>
      <c r="R828" t="s">
        <v>65</v>
      </c>
      <c r="S828">
        <v>140902.07</v>
      </c>
      <c r="T828">
        <v>0</v>
      </c>
      <c r="U828" t="s">
        <v>73</v>
      </c>
      <c r="V828" t="s">
        <v>6</v>
      </c>
      <c r="W828" t="s">
        <v>74</v>
      </c>
      <c r="X828" t="s">
        <v>86</v>
      </c>
      <c r="Y828" t="s">
        <v>30</v>
      </c>
      <c r="Z828">
        <v>1.1499999999999999</v>
      </c>
      <c r="AA828">
        <f t="shared" si="36"/>
        <v>21620.84</v>
      </c>
      <c r="AB828">
        <f t="shared" si="37"/>
        <v>0.15344586491880494</v>
      </c>
      <c r="AC828">
        <f t="shared" si="38"/>
        <v>0</v>
      </c>
      <c r="AD828">
        <v>2024</v>
      </c>
      <c r="AE828">
        <v>7</v>
      </c>
      <c r="AF828" t="s">
        <v>69</v>
      </c>
      <c r="AG828" t="s">
        <v>70</v>
      </c>
    </row>
    <row r="829" spans="1:33">
      <c r="A829" t="s">
        <v>980</v>
      </c>
      <c r="B829">
        <v>45979</v>
      </c>
      <c r="C829">
        <v>45979</v>
      </c>
      <c r="D829" t="s">
        <v>23</v>
      </c>
      <c r="E829">
        <v>1000</v>
      </c>
      <c r="F829">
        <v>1272.5</v>
      </c>
      <c r="G829">
        <v>3.51</v>
      </c>
      <c r="H829">
        <v>1227835.25</v>
      </c>
      <c r="I829" t="s">
        <v>1729</v>
      </c>
      <c r="J829">
        <v>979.52</v>
      </c>
      <c r="K829">
        <v>979520</v>
      </c>
      <c r="L829">
        <v>18542.28</v>
      </c>
      <c r="M829">
        <v>5092.25</v>
      </c>
      <c r="N829">
        <v>10290.86</v>
      </c>
      <c r="O829">
        <v>1013445.39</v>
      </c>
      <c r="P829">
        <v>248315.25</v>
      </c>
      <c r="Q829">
        <v>214389.86</v>
      </c>
      <c r="R829" t="s">
        <v>85</v>
      </c>
      <c r="S829">
        <v>865409.9</v>
      </c>
      <c r="T829">
        <v>362425.35</v>
      </c>
      <c r="U829" t="s">
        <v>66</v>
      </c>
      <c r="V829" t="s">
        <v>10</v>
      </c>
      <c r="W829" t="s">
        <v>80</v>
      </c>
      <c r="X829" t="s">
        <v>97</v>
      </c>
      <c r="Y829" t="s">
        <v>24</v>
      </c>
      <c r="Z829">
        <v>2.12</v>
      </c>
      <c r="AA829">
        <f t="shared" si="36"/>
        <v>214389.86</v>
      </c>
      <c r="AB829">
        <f t="shared" si="37"/>
        <v>0.17460800217292996</v>
      </c>
      <c r="AC829">
        <f t="shared" si="38"/>
        <v>0</v>
      </c>
      <c r="AD829">
        <v>2025</v>
      </c>
      <c r="AE829">
        <v>11</v>
      </c>
      <c r="AF829" t="s">
        <v>128</v>
      </c>
      <c r="AG829" t="s">
        <v>135</v>
      </c>
    </row>
    <row r="830" spans="1:33">
      <c r="A830" t="s">
        <v>981</v>
      </c>
      <c r="B830">
        <v>45752</v>
      </c>
      <c r="C830">
        <v>45754</v>
      </c>
      <c r="D830" t="s">
        <v>21</v>
      </c>
      <c r="E830">
        <v>300</v>
      </c>
      <c r="F830">
        <v>940.76</v>
      </c>
      <c r="G830">
        <v>1.26</v>
      </c>
      <c r="H830">
        <v>278671.93</v>
      </c>
      <c r="I830" t="s">
        <v>1727</v>
      </c>
      <c r="J830">
        <v>723.92</v>
      </c>
      <c r="K830">
        <v>217176</v>
      </c>
      <c r="L830">
        <v>2138.25</v>
      </c>
      <c r="M830">
        <v>1329.43</v>
      </c>
      <c r="N830">
        <v>1290.02</v>
      </c>
      <c r="O830">
        <v>221933.7</v>
      </c>
      <c r="P830">
        <v>61495.93</v>
      </c>
      <c r="Q830">
        <v>56738.23</v>
      </c>
      <c r="R830" t="s">
        <v>65</v>
      </c>
      <c r="S830">
        <v>278671.93</v>
      </c>
      <c r="T830">
        <v>0</v>
      </c>
      <c r="U830" t="s">
        <v>66</v>
      </c>
      <c r="V830" t="s">
        <v>16</v>
      </c>
      <c r="W830" t="s">
        <v>92</v>
      </c>
      <c r="X830" t="s">
        <v>147</v>
      </c>
      <c r="Y830" t="s">
        <v>28</v>
      </c>
      <c r="Z830">
        <v>0.22</v>
      </c>
      <c r="AA830">
        <f t="shared" si="36"/>
        <v>56738.23</v>
      </c>
      <c r="AB830">
        <f t="shared" si="37"/>
        <v>0.20360224296720522</v>
      </c>
      <c r="AC830">
        <f t="shared" si="38"/>
        <v>0</v>
      </c>
      <c r="AD830">
        <v>2025</v>
      </c>
      <c r="AE830">
        <v>4</v>
      </c>
      <c r="AF830" t="s">
        <v>154</v>
      </c>
      <c r="AG830" t="s">
        <v>155</v>
      </c>
    </row>
    <row r="831" spans="1:33">
      <c r="A831" t="s">
        <v>982</v>
      </c>
      <c r="B831">
        <v>45519</v>
      </c>
      <c r="C831">
        <v>45523</v>
      </c>
      <c r="D831" t="s">
        <v>23</v>
      </c>
      <c r="E831">
        <v>50</v>
      </c>
      <c r="F831">
        <v>1338.64</v>
      </c>
      <c r="G831">
        <v>0.28999999999999998</v>
      </c>
      <c r="H831">
        <v>66737.899999999994</v>
      </c>
      <c r="I831" t="s">
        <v>1726</v>
      </c>
      <c r="J831">
        <v>1103.72</v>
      </c>
      <c r="K831">
        <v>55186</v>
      </c>
      <c r="L831">
        <v>631.13</v>
      </c>
      <c r="M831">
        <v>215.82</v>
      </c>
      <c r="N831">
        <v>8822.43</v>
      </c>
      <c r="O831">
        <v>64855.38</v>
      </c>
      <c r="P831">
        <v>11551.9</v>
      </c>
      <c r="Q831">
        <v>1882.52</v>
      </c>
      <c r="R831" t="s">
        <v>65</v>
      </c>
      <c r="S831">
        <v>66737.899999999994</v>
      </c>
      <c r="T831">
        <v>0</v>
      </c>
      <c r="U831" t="s">
        <v>66</v>
      </c>
      <c r="V831" t="s">
        <v>6</v>
      </c>
      <c r="W831" t="s">
        <v>74</v>
      </c>
      <c r="X831" t="s">
        <v>75</v>
      </c>
      <c r="Y831" t="s">
        <v>28</v>
      </c>
      <c r="Z831">
        <v>1.61</v>
      </c>
      <c r="AA831">
        <f t="shared" si="36"/>
        <v>1882.52</v>
      </c>
      <c r="AB831">
        <f t="shared" si="37"/>
        <v>2.8207660115166948E-2</v>
      </c>
      <c r="AC831">
        <f t="shared" si="38"/>
        <v>0</v>
      </c>
      <c r="AD831">
        <v>2024</v>
      </c>
      <c r="AE831">
        <v>8</v>
      </c>
      <c r="AF831" t="s">
        <v>82</v>
      </c>
      <c r="AG831" t="s">
        <v>83</v>
      </c>
    </row>
    <row r="832" spans="1:33">
      <c r="A832" t="s">
        <v>983</v>
      </c>
      <c r="B832">
        <v>45559</v>
      </c>
      <c r="C832">
        <v>45564</v>
      </c>
      <c r="D832" t="s">
        <v>21</v>
      </c>
      <c r="E832">
        <v>1200</v>
      </c>
      <c r="F832">
        <v>880.06</v>
      </c>
      <c r="G832">
        <v>2.06</v>
      </c>
      <c r="H832">
        <v>1034316.92</v>
      </c>
      <c r="I832" t="s">
        <v>1726</v>
      </c>
      <c r="J832">
        <v>722.38</v>
      </c>
      <c r="K832">
        <v>866856</v>
      </c>
      <c r="L832">
        <v>23926.22</v>
      </c>
      <c r="M832">
        <v>2138.02</v>
      </c>
      <c r="N832">
        <v>1347.56</v>
      </c>
      <c r="O832">
        <v>894267.8</v>
      </c>
      <c r="P832">
        <v>167460.92000000001</v>
      </c>
      <c r="Q832">
        <v>140049.12</v>
      </c>
      <c r="R832" t="s">
        <v>65</v>
      </c>
      <c r="S832">
        <v>1034316.92</v>
      </c>
      <c r="T832">
        <v>0</v>
      </c>
      <c r="U832" t="s">
        <v>66</v>
      </c>
      <c r="V832" t="s">
        <v>10</v>
      </c>
      <c r="W832" t="s">
        <v>80</v>
      </c>
      <c r="X832" t="s">
        <v>142</v>
      </c>
      <c r="Y832" t="s">
        <v>28</v>
      </c>
      <c r="Z832">
        <v>1.64</v>
      </c>
      <c r="AA832">
        <f t="shared" si="36"/>
        <v>140049.12</v>
      </c>
      <c r="AB832">
        <f t="shared" si="37"/>
        <v>0.13540252246864529</v>
      </c>
      <c r="AC832">
        <f t="shared" si="38"/>
        <v>0</v>
      </c>
      <c r="AD832">
        <v>2024</v>
      </c>
      <c r="AE832">
        <v>9</v>
      </c>
      <c r="AF832" t="s">
        <v>131</v>
      </c>
      <c r="AG832" t="s">
        <v>188</v>
      </c>
    </row>
    <row r="833" spans="1:33">
      <c r="A833" t="s">
        <v>984</v>
      </c>
      <c r="B833">
        <v>45707</v>
      </c>
      <c r="C833">
        <v>45715</v>
      </c>
      <c r="D833" t="s">
        <v>21</v>
      </c>
      <c r="E833">
        <v>150</v>
      </c>
      <c r="F833">
        <v>900.22</v>
      </c>
      <c r="G833">
        <v>1.35</v>
      </c>
      <c r="H833">
        <v>133210.04999999999</v>
      </c>
      <c r="I833" t="s">
        <v>1728</v>
      </c>
      <c r="J833">
        <v>660.66</v>
      </c>
      <c r="K833">
        <v>99099</v>
      </c>
      <c r="L833">
        <v>2141.11</v>
      </c>
      <c r="M833">
        <v>548.88</v>
      </c>
      <c r="N833">
        <v>9421.86</v>
      </c>
      <c r="O833">
        <v>111210.85</v>
      </c>
      <c r="P833">
        <v>34111.050000000003</v>
      </c>
      <c r="Q833">
        <v>21999.200000000001</v>
      </c>
      <c r="R833" t="s">
        <v>65</v>
      </c>
      <c r="S833">
        <v>133210.04999999999</v>
      </c>
      <c r="T833">
        <v>0</v>
      </c>
      <c r="U833" t="s">
        <v>66</v>
      </c>
      <c r="V833" t="s">
        <v>16</v>
      </c>
      <c r="W833" t="s">
        <v>67</v>
      </c>
      <c r="X833" t="s">
        <v>86</v>
      </c>
      <c r="Y833" t="s">
        <v>30</v>
      </c>
      <c r="Z833">
        <v>2.34</v>
      </c>
      <c r="AA833">
        <f t="shared" si="36"/>
        <v>21999.200000000001</v>
      </c>
      <c r="AB833">
        <f t="shared" si="37"/>
        <v>0.16514669876634686</v>
      </c>
      <c r="AC833">
        <f t="shared" si="38"/>
        <v>0</v>
      </c>
      <c r="AD833">
        <v>2025</v>
      </c>
      <c r="AE833">
        <v>2</v>
      </c>
      <c r="AF833" t="s">
        <v>172</v>
      </c>
      <c r="AG833" t="s">
        <v>244</v>
      </c>
    </row>
    <row r="834" spans="1:33">
      <c r="A834" t="s">
        <v>985</v>
      </c>
      <c r="B834">
        <v>45964</v>
      </c>
      <c r="C834">
        <v>45966</v>
      </c>
      <c r="D834" t="s">
        <v>21</v>
      </c>
      <c r="E834">
        <v>250</v>
      </c>
      <c r="F834">
        <v>892.47</v>
      </c>
      <c r="G834">
        <v>0.2</v>
      </c>
      <c r="H834">
        <v>222671.26</v>
      </c>
      <c r="I834" t="s">
        <v>1726</v>
      </c>
      <c r="J834">
        <v>657.88</v>
      </c>
      <c r="K834">
        <v>164470</v>
      </c>
      <c r="L834">
        <v>2798.66</v>
      </c>
      <c r="M834">
        <v>679.46</v>
      </c>
      <c r="N834">
        <v>11139.49</v>
      </c>
      <c r="O834">
        <v>179087.61</v>
      </c>
      <c r="P834">
        <v>58201.26</v>
      </c>
      <c r="Q834">
        <v>43583.65</v>
      </c>
      <c r="R834" t="s">
        <v>65</v>
      </c>
      <c r="S834">
        <v>222671.26</v>
      </c>
      <c r="T834">
        <v>0</v>
      </c>
      <c r="U834" t="s">
        <v>66</v>
      </c>
      <c r="V834" t="s">
        <v>12</v>
      </c>
      <c r="W834" t="s">
        <v>80</v>
      </c>
      <c r="X834" t="s">
        <v>150</v>
      </c>
      <c r="Y834" t="s">
        <v>30</v>
      </c>
      <c r="Z834">
        <v>0.16</v>
      </c>
      <c r="AA834">
        <f t="shared" ref="AA834:AA897" si="39">ROUND(H834-O834,2)</f>
        <v>43583.65</v>
      </c>
      <c r="AB834">
        <f t="shared" ref="AB834:AB897" si="40">AA834/H834</f>
        <v>0.19573091740712295</v>
      </c>
      <c r="AC834">
        <f t="shared" ref="AC834:AC897" si="41">ROUND(AA834-Q834,2)</f>
        <v>0</v>
      </c>
      <c r="AD834">
        <v>2025</v>
      </c>
      <c r="AE834">
        <v>11</v>
      </c>
      <c r="AF834" t="s">
        <v>128</v>
      </c>
      <c r="AG834" t="s">
        <v>135</v>
      </c>
    </row>
    <row r="835" spans="1:33">
      <c r="A835" t="s">
        <v>986</v>
      </c>
      <c r="B835">
        <v>45531</v>
      </c>
      <c r="C835">
        <v>45545</v>
      </c>
      <c r="D835" t="s">
        <v>25</v>
      </c>
      <c r="E835">
        <v>300</v>
      </c>
      <c r="F835">
        <v>942.22</v>
      </c>
      <c r="G835">
        <v>1.92</v>
      </c>
      <c r="H835">
        <v>277238.81</v>
      </c>
      <c r="I835" t="s">
        <v>1726</v>
      </c>
      <c r="J835">
        <v>761.87</v>
      </c>
      <c r="K835">
        <v>228561</v>
      </c>
      <c r="L835">
        <v>5441.42</v>
      </c>
      <c r="M835">
        <v>1438.52</v>
      </c>
      <c r="N835">
        <v>7150.83</v>
      </c>
      <c r="O835">
        <v>242591.77</v>
      </c>
      <c r="P835">
        <v>48677.81</v>
      </c>
      <c r="Q835">
        <v>34647.040000000001</v>
      </c>
      <c r="R835" t="s">
        <v>134</v>
      </c>
      <c r="S835">
        <v>0</v>
      </c>
      <c r="T835">
        <v>277238.81</v>
      </c>
      <c r="U835" t="s">
        <v>66</v>
      </c>
      <c r="V835" t="s">
        <v>8</v>
      </c>
      <c r="W835" t="s">
        <v>80</v>
      </c>
      <c r="X835" t="s">
        <v>185</v>
      </c>
      <c r="Y835" t="s">
        <v>31</v>
      </c>
      <c r="Z835">
        <v>0.25</v>
      </c>
      <c r="AA835">
        <f t="shared" si="39"/>
        <v>34647.040000000001</v>
      </c>
      <c r="AB835">
        <f t="shared" si="40"/>
        <v>0.12497182483217267</v>
      </c>
      <c r="AC835">
        <f t="shared" si="41"/>
        <v>0</v>
      </c>
      <c r="AD835">
        <v>2024</v>
      </c>
      <c r="AE835">
        <v>8</v>
      </c>
      <c r="AF835" t="s">
        <v>82</v>
      </c>
      <c r="AG835" t="s">
        <v>83</v>
      </c>
    </row>
    <row r="836" spans="1:33">
      <c r="A836" t="s">
        <v>987</v>
      </c>
      <c r="B836">
        <v>45550</v>
      </c>
      <c r="C836">
        <v>45555</v>
      </c>
      <c r="D836" t="s">
        <v>27</v>
      </c>
      <c r="E836">
        <v>500</v>
      </c>
      <c r="F836">
        <v>699.9</v>
      </c>
      <c r="G836">
        <v>2.2999999999999998</v>
      </c>
      <c r="H836">
        <v>341901.15</v>
      </c>
      <c r="I836" t="s">
        <v>1726</v>
      </c>
      <c r="J836">
        <v>550.09</v>
      </c>
      <c r="K836">
        <v>275045</v>
      </c>
      <c r="L836">
        <v>7757.59</v>
      </c>
      <c r="M836">
        <v>2564.65</v>
      </c>
      <c r="N836">
        <v>2834.13</v>
      </c>
      <c r="O836">
        <v>288201.37</v>
      </c>
      <c r="P836">
        <v>66856.149999999994</v>
      </c>
      <c r="Q836">
        <v>53699.78</v>
      </c>
      <c r="R836" t="s">
        <v>65</v>
      </c>
      <c r="S836">
        <v>341901.15</v>
      </c>
      <c r="T836">
        <v>0</v>
      </c>
      <c r="U836" t="s">
        <v>66</v>
      </c>
      <c r="V836" t="s">
        <v>10</v>
      </c>
      <c r="W836" t="s">
        <v>92</v>
      </c>
      <c r="X836" t="s">
        <v>142</v>
      </c>
      <c r="Y836" t="s">
        <v>28</v>
      </c>
      <c r="Z836">
        <v>0.45</v>
      </c>
      <c r="AA836">
        <f t="shared" si="39"/>
        <v>53699.78</v>
      </c>
      <c r="AB836">
        <f t="shared" si="40"/>
        <v>0.15706229709961489</v>
      </c>
      <c r="AC836">
        <f t="shared" si="41"/>
        <v>0</v>
      </c>
      <c r="AD836">
        <v>2024</v>
      </c>
      <c r="AE836">
        <v>9</v>
      </c>
      <c r="AF836" t="s">
        <v>131</v>
      </c>
      <c r="AG836" t="s">
        <v>188</v>
      </c>
    </row>
    <row r="837" spans="1:33">
      <c r="A837" t="s">
        <v>988</v>
      </c>
      <c r="B837">
        <v>45831</v>
      </c>
      <c r="C837">
        <v>45837</v>
      </c>
      <c r="D837" t="s">
        <v>25</v>
      </c>
      <c r="E837">
        <v>200</v>
      </c>
      <c r="F837">
        <v>982.39</v>
      </c>
      <c r="G837">
        <v>1.87</v>
      </c>
      <c r="H837">
        <v>192803.86</v>
      </c>
      <c r="I837" t="s">
        <v>1726</v>
      </c>
      <c r="J837">
        <v>737.43</v>
      </c>
      <c r="K837">
        <v>147486</v>
      </c>
      <c r="L837">
        <v>1242.5899999999999</v>
      </c>
      <c r="M837">
        <v>1013.7</v>
      </c>
      <c r="N837">
        <v>4737.3</v>
      </c>
      <c r="O837">
        <v>154479.59</v>
      </c>
      <c r="P837">
        <v>45317.86</v>
      </c>
      <c r="Q837">
        <v>38324.269999999997</v>
      </c>
      <c r="R837" t="s">
        <v>65</v>
      </c>
      <c r="S837">
        <v>192803.86</v>
      </c>
      <c r="T837">
        <v>0</v>
      </c>
      <c r="U837" t="s">
        <v>66</v>
      </c>
      <c r="V837" t="s">
        <v>6</v>
      </c>
      <c r="W837" t="s">
        <v>80</v>
      </c>
      <c r="X837" t="s">
        <v>115</v>
      </c>
      <c r="Y837" t="s">
        <v>22</v>
      </c>
      <c r="Z837">
        <v>0.66</v>
      </c>
      <c r="AA837">
        <f t="shared" si="39"/>
        <v>38324.269999999997</v>
      </c>
      <c r="AB837">
        <f t="shared" si="40"/>
        <v>0.19877335443387906</v>
      </c>
      <c r="AC837">
        <f t="shared" si="41"/>
        <v>0</v>
      </c>
      <c r="AD837">
        <v>2025</v>
      </c>
      <c r="AE837">
        <v>6</v>
      </c>
      <c r="AF837" t="s">
        <v>111</v>
      </c>
      <c r="AG837" t="s">
        <v>112</v>
      </c>
    </row>
    <row r="838" spans="1:33">
      <c r="A838" t="s">
        <v>989</v>
      </c>
      <c r="B838">
        <v>45984</v>
      </c>
      <c r="C838">
        <v>45991</v>
      </c>
      <c r="D838" t="s">
        <v>21</v>
      </c>
      <c r="E838">
        <v>300</v>
      </c>
      <c r="F838">
        <v>921.35</v>
      </c>
      <c r="G838">
        <v>1.24</v>
      </c>
      <c r="H838">
        <v>272977.58</v>
      </c>
      <c r="I838" t="s">
        <v>1726</v>
      </c>
      <c r="J838">
        <v>654.05999999999995</v>
      </c>
      <c r="K838">
        <v>196218</v>
      </c>
      <c r="L838">
        <v>3922.15</v>
      </c>
      <c r="M838">
        <v>1715.26</v>
      </c>
      <c r="N838">
        <v>7205.48</v>
      </c>
      <c r="O838">
        <v>209060.89</v>
      </c>
      <c r="P838">
        <v>76759.58</v>
      </c>
      <c r="Q838">
        <v>63916.69</v>
      </c>
      <c r="R838" t="s">
        <v>85</v>
      </c>
      <c r="S838">
        <v>99927.25</v>
      </c>
      <c r="T838">
        <v>173050.33</v>
      </c>
      <c r="U838" t="s">
        <v>73</v>
      </c>
      <c r="V838" t="s">
        <v>14</v>
      </c>
      <c r="W838" t="s">
        <v>80</v>
      </c>
      <c r="X838" t="s">
        <v>185</v>
      </c>
      <c r="Y838" t="s">
        <v>31</v>
      </c>
      <c r="Z838">
        <v>0.36</v>
      </c>
      <c r="AA838">
        <f t="shared" si="39"/>
        <v>63916.69</v>
      </c>
      <c r="AB838">
        <f t="shared" si="40"/>
        <v>0.23414629875464496</v>
      </c>
      <c r="AC838">
        <f t="shared" si="41"/>
        <v>0</v>
      </c>
      <c r="AD838">
        <v>2025</v>
      </c>
      <c r="AE838">
        <v>11</v>
      </c>
      <c r="AF838" t="s">
        <v>128</v>
      </c>
      <c r="AG838" t="s">
        <v>135</v>
      </c>
    </row>
    <row r="839" spans="1:33">
      <c r="A839" t="s">
        <v>990</v>
      </c>
      <c r="B839">
        <v>45852</v>
      </c>
      <c r="C839">
        <v>45853</v>
      </c>
      <c r="D839" t="s">
        <v>21</v>
      </c>
      <c r="E839">
        <v>1000</v>
      </c>
      <c r="F839">
        <v>820.01</v>
      </c>
      <c r="G839">
        <v>4.62</v>
      </c>
      <c r="H839">
        <v>782125.54</v>
      </c>
      <c r="I839" t="s">
        <v>1727</v>
      </c>
      <c r="J839">
        <v>736.44</v>
      </c>
      <c r="K839">
        <v>736440</v>
      </c>
      <c r="L839">
        <v>16805.02</v>
      </c>
      <c r="M839">
        <v>5418.3</v>
      </c>
      <c r="N839">
        <v>5952.59</v>
      </c>
      <c r="O839">
        <v>764615.91</v>
      </c>
      <c r="P839">
        <v>45685.54</v>
      </c>
      <c r="Q839">
        <v>17509.63</v>
      </c>
      <c r="R839" t="s">
        <v>65</v>
      </c>
      <c r="S839">
        <v>782125.54</v>
      </c>
      <c r="T839">
        <v>0</v>
      </c>
      <c r="U839" t="s">
        <v>66</v>
      </c>
      <c r="V839" t="s">
        <v>6</v>
      </c>
      <c r="W839" t="s">
        <v>74</v>
      </c>
      <c r="X839" t="s">
        <v>327</v>
      </c>
      <c r="Y839" t="s">
        <v>26</v>
      </c>
      <c r="Z839">
        <v>1.56</v>
      </c>
      <c r="AA839">
        <f t="shared" si="39"/>
        <v>17509.63</v>
      </c>
      <c r="AB839">
        <f t="shared" si="40"/>
        <v>2.2387237220254947E-2</v>
      </c>
      <c r="AC839">
        <f t="shared" si="41"/>
        <v>0</v>
      </c>
      <c r="AD839">
        <v>2025</v>
      </c>
      <c r="AE839">
        <v>7</v>
      </c>
      <c r="AF839" t="s">
        <v>69</v>
      </c>
      <c r="AG839" t="s">
        <v>151</v>
      </c>
    </row>
    <row r="840" spans="1:33">
      <c r="A840" t="s">
        <v>991</v>
      </c>
      <c r="B840">
        <v>45441</v>
      </c>
      <c r="D840" t="s">
        <v>21</v>
      </c>
      <c r="E840">
        <v>750</v>
      </c>
      <c r="F840">
        <v>876.08</v>
      </c>
      <c r="G840">
        <v>1.2</v>
      </c>
      <c r="H840">
        <v>649175.28</v>
      </c>
      <c r="I840" t="s">
        <v>1727</v>
      </c>
      <c r="J840">
        <v>667.97</v>
      </c>
      <c r="K840">
        <v>500977.5</v>
      </c>
      <c r="L840">
        <v>14567.58</v>
      </c>
      <c r="M840">
        <v>3221.54</v>
      </c>
      <c r="N840">
        <v>5809.17</v>
      </c>
      <c r="O840">
        <v>524575.79</v>
      </c>
      <c r="P840">
        <v>148197.78</v>
      </c>
      <c r="Q840">
        <v>124599.49</v>
      </c>
      <c r="R840" t="s">
        <v>65</v>
      </c>
      <c r="S840">
        <v>649175.28</v>
      </c>
      <c r="T840">
        <v>0</v>
      </c>
      <c r="U840" t="s">
        <v>91</v>
      </c>
      <c r="V840" t="s">
        <v>8</v>
      </c>
      <c r="W840" t="s">
        <v>74</v>
      </c>
      <c r="X840" t="s">
        <v>115</v>
      </c>
      <c r="Y840" t="s">
        <v>22</v>
      </c>
      <c r="Z840">
        <v>1.95</v>
      </c>
      <c r="AA840">
        <f t="shared" si="39"/>
        <v>124599.49</v>
      </c>
      <c r="AB840">
        <f t="shared" si="40"/>
        <v>0.191935050268704</v>
      </c>
      <c r="AC840">
        <f t="shared" si="41"/>
        <v>0</v>
      </c>
      <c r="AD840">
        <v>2024</v>
      </c>
      <c r="AE840">
        <v>5</v>
      </c>
      <c r="AF840" t="s">
        <v>76</v>
      </c>
      <c r="AG840" t="s">
        <v>77</v>
      </c>
    </row>
    <row r="841" spans="1:33">
      <c r="A841" t="s">
        <v>992</v>
      </c>
      <c r="B841">
        <v>45321</v>
      </c>
      <c r="C841">
        <v>45322</v>
      </c>
      <c r="D841" t="s">
        <v>21</v>
      </c>
      <c r="E841">
        <v>500</v>
      </c>
      <c r="F841">
        <v>903.33</v>
      </c>
      <c r="G841">
        <v>4.8899999999999997</v>
      </c>
      <c r="H841">
        <v>429578.58</v>
      </c>
      <c r="I841" t="s">
        <v>1726</v>
      </c>
      <c r="J841">
        <v>729.04</v>
      </c>
      <c r="K841">
        <v>364520</v>
      </c>
      <c r="L841">
        <v>8201.91</v>
      </c>
      <c r="M841">
        <v>1489.48</v>
      </c>
      <c r="N841">
        <v>5201.28</v>
      </c>
      <c r="O841">
        <v>379412.67</v>
      </c>
      <c r="P841">
        <v>65058.58</v>
      </c>
      <c r="Q841">
        <v>50165.91</v>
      </c>
      <c r="R841" t="s">
        <v>85</v>
      </c>
      <c r="S841">
        <v>235973.51</v>
      </c>
      <c r="T841">
        <v>193605.07</v>
      </c>
      <c r="U841" t="s">
        <v>66</v>
      </c>
      <c r="V841" t="s">
        <v>16</v>
      </c>
      <c r="W841" t="s">
        <v>74</v>
      </c>
      <c r="X841" t="s">
        <v>150</v>
      </c>
      <c r="Y841" t="s">
        <v>30</v>
      </c>
      <c r="Z841">
        <v>1.62</v>
      </c>
      <c r="AA841">
        <f t="shared" si="39"/>
        <v>50165.91</v>
      </c>
      <c r="AB841">
        <f t="shared" si="40"/>
        <v>0.116779356177396</v>
      </c>
      <c r="AC841">
        <f t="shared" si="41"/>
        <v>0</v>
      </c>
      <c r="AD841">
        <v>2024</v>
      </c>
      <c r="AE841">
        <v>1</v>
      </c>
      <c r="AF841" t="s">
        <v>102</v>
      </c>
      <c r="AG841" t="s">
        <v>103</v>
      </c>
    </row>
    <row r="842" spans="1:33">
      <c r="A842" t="s">
        <v>993</v>
      </c>
      <c r="B842">
        <v>45663</v>
      </c>
      <c r="C842">
        <v>45664</v>
      </c>
      <c r="D842" t="s">
        <v>21</v>
      </c>
      <c r="E842">
        <v>500</v>
      </c>
      <c r="F842">
        <v>894.44</v>
      </c>
      <c r="G842">
        <v>0.33</v>
      </c>
      <c r="H842">
        <v>445744.17</v>
      </c>
      <c r="I842" t="s">
        <v>1726</v>
      </c>
      <c r="J842">
        <v>745.49</v>
      </c>
      <c r="K842">
        <v>372745</v>
      </c>
      <c r="L842">
        <v>5184.47</v>
      </c>
      <c r="M842">
        <v>2523.56</v>
      </c>
      <c r="N842">
        <v>1311.83</v>
      </c>
      <c r="O842">
        <v>381764.86</v>
      </c>
      <c r="P842">
        <v>72999.17</v>
      </c>
      <c r="Q842">
        <v>63979.31</v>
      </c>
      <c r="R842" t="s">
        <v>65</v>
      </c>
      <c r="S842">
        <v>445744.17</v>
      </c>
      <c r="T842">
        <v>0</v>
      </c>
      <c r="U842" t="s">
        <v>73</v>
      </c>
      <c r="V842" t="s">
        <v>8</v>
      </c>
      <c r="W842" t="s">
        <v>74</v>
      </c>
      <c r="X842" t="s">
        <v>125</v>
      </c>
      <c r="Y842" t="s">
        <v>24</v>
      </c>
      <c r="Z842">
        <v>2.46</v>
      </c>
      <c r="AA842">
        <f t="shared" si="39"/>
        <v>63979.31</v>
      </c>
      <c r="AB842">
        <f t="shared" si="40"/>
        <v>0.14353370005938609</v>
      </c>
      <c r="AC842">
        <f t="shared" si="41"/>
        <v>0</v>
      </c>
      <c r="AD842">
        <v>2025</v>
      </c>
      <c r="AE842">
        <v>1</v>
      </c>
      <c r="AF842" t="s">
        <v>102</v>
      </c>
      <c r="AG842" t="s">
        <v>118</v>
      </c>
    </row>
    <row r="843" spans="1:33">
      <c r="A843" t="s">
        <v>994</v>
      </c>
      <c r="B843">
        <v>45882</v>
      </c>
      <c r="C843">
        <v>45882</v>
      </c>
      <c r="D843" t="s">
        <v>25</v>
      </c>
      <c r="E843">
        <v>200</v>
      </c>
      <c r="F843">
        <v>1002.98</v>
      </c>
      <c r="G843">
        <v>0.39</v>
      </c>
      <c r="H843">
        <v>199813.68</v>
      </c>
      <c r="I843" t="s">
        <v>1728</v>
      </c>
      <c r="J843">
        <v>760.77</v>
      </c>
      <c r="K843">
        <v>152154</v>
      </c>
      <c r="L843">
        <v>1108.73</v>
      </c>
      <c r="M843">
        <v>1078.81</v>
      </c>
      <c r="N843">
        <v>2198.4899999999998</v>
      </c>
      <c r="O843">
        <v>156540.03</v>
      </c>
      <c r="P843">
        <v>47659.68</v>
      </c>
      <c r="Q843">
        <v>43273.65</v>
      </c>
      <c r="R843" t="s">
        <v>134</v>
      </c>
      <c r="S843">
        <v>0</v>
      </c>
      <c r="T843">
        <v>199813.68</v>
      </c>
      <c r="U843" t="s">
        <v>66</v>
      </c>
      <c r="V843" t="s">
        <v>14</v>
      </c>
      <c r="W843" t="s">
        <v>74</v>
      </c>
      <c r="X843" t="s">
        <v>239</v>
      </c>
      <c r="Y843" t="s">
        <v>28</v>
      </c>
      <c r="Z843">
        <v>0.33</v>
      </c>
      <c r="AA843">
        <f t="shared" si="39"/>
        <v>43273.65</v>
      </c>
      <c r="AB843">
        <f t="shared" si="40"/>
        <v>0.2165700066181655</v>
      </c>
      <c r="AC843">
        <f t="shared" si="41"/>
        <v>0</v>
      </c>
      <c r="AD843">
        <v>2025</v>
      </c>
      <c r="AE843">
        <v>8</v>
      </c>
      <c r="AF843" t="s">
        <v>82</v>
      </c>
      <c r="AG843" t="s">
        <v>87</v>
      </c>
    </row>
    <row r="844" spans="1:33">
      <c r="A844" t="s">
        <v>995</v>
      </c>
      <c r="B844">
        <v>45658</v>
      </c>
      <c r="C844">
        <v>45670</v>
      </c>
      <c r="D844" t="s">
        <v>27</v>
      </c>
      <c r="E844">
        <v>300</v>
      </c>
      <c r="F844">
        <v>708.88</v>
      </c>
      <c r="G844">
        <v>0.65</v>
      </c>
      <c r="H844">
        <v>211281.68</v>
      </c>
      <c r="I844" t="s">
        <v>1728</v>
      </c>
      <c r="J844">
        <v>557.11</v>
      </c>
      <c r="K844">
        <v>167133</v>
      </c>
      <c r="L844">
        <v>1530.28</v>
      </c>
      <c r="M844">
        <v>1370.66</v>
      </c>
      <c r="N844">
        <v>620.41999999999996</v>
      </c>
      <c r="O844">
        <v>170654.36</v>
      </c>
      <c r="P844">
        <v>44148.68</v>
      </c>
      <c r="Q844">
        <v>40627.32</v>
      </c>
      <c r="R844" t="s">
        <v>65</v>
      </c>
      <c r="S844">
        <v>211281.68</v>
      </c>
      <c r="T844">
        <v>0</v>
      </c>
      <c r="U844" t="s">
        <v>66</v>
      </c>
      <c r="V844" t="s">
        <v>6</v>
      </c>
      <c r="W844" t="s">
        <v>74</v>
      </c>
      <c r="X844" t="s">
        <v>275</v>
      </c>
      <c r="Y844" t="s">
        <v>31</v>
      </c>
      <c r="Z844">
        <v>1.85</v>
      </c>
      <c r="AA844">
        <f t="shared" si="39"/>
        <v>40627.32</v>
      </c>
      <c r="AB844">
        <f t="shared" si="40"/>
        <v>0.19228983790738507</v>
      </c>
      <c r="AC844">
        <f t="shared" si="41"/>
        <v>0</v>
      </c>
      <c r="AD844">
        <v>2025</v>
      </c>
      <c r="AE844">
        <v>1</v>
      </c>
      <c r="AF844" t="s">
        <v>102</v>
      </c>
      <c r="AG844" t="s">
        <v>118</v>
      </c>
    </row>
    <row r="845" spans="1:33">
      <c r="A845" t="s">
        <v>996</v>
      </c>
      <c r="B845">
        <v>45743</v>
      </c>
      <c r="C845">
        <v>45749</v>
      </c>
      <c r="D845" t="s">
        <v>23</v>
      </c>
      <c r="E845">
        <v>300</v>
      </c>
      <c r="F845">
        <v>1224.5</v>
      </c>
      <c r="G845">
        <v>1.04</v>
      </c>
      <c r="H845">
        <v>363529.56</v>
      </c>
      <c r="I845" t="s">
        <v>1727</v>
      </c>
      <c r="J845">
        <v>1030.53</v>
      </c>
      <c r="K845">
        <v>309159</v>
      </c>
      <c r="L845">
        <v>4201.66</v>
      </c>
      <c r="M845">
        <v>487.18</v>
      </c>
      <c r="N845">
        <v>11362.13</v>
      </c>
      <c r="O845">
        <v>325209.96999999997</v>
      </c>
      <c r="P845">
        <v>54370.559999999998</v>
      </c>
      <c r="Q845">
        <v>38319.589999999997</v>
      </c>
      <c r="R845" t="s">
        <v>65</v>
      </c>
      <c r="S845">
        <v>363529.56</v>
      </c>
      <c r="T845">
        <v>0</v>
      </c>
      <c r="U845" t="s">
        <v>66</v>
      </c>
      <c r="V845" t="s">
        <v>14</v>
      </c>
      <c r="W845" t="s">
        <v>80</v>
      </c>
      <c r="X845" t="s">
        <v>108</v>
      </c>
      <c r="Y845" t="s">
        <v>22</v>
      </c>
      <c r="Z845">
        <v>1</v>
      </c>
      <c r="AA845">
        <f t="shared" si="39"/>
        <v>38319.589999999997</v>
      </c>
      <c r="AB845">
        <f t="shared" si="40"/>
        <v>0.10540983242188062</v>
      </c>
      <c r="AC845">
        <f t="shared" si="41"/>
        <v>0</v>
      </c>
      <c r="AD845">
        <v>2025</v>
      </c>
      <c r="AE845">
        <v>3</v>
      </c>
      <c r="AF845" t="s">
        <v>105</v>
      </c>
      <c r="AG845" t="s">
        <v>106</v>
      </c>
    </row>
    <row r="846" spans="1:33">
      <c r="A846" t="s">
        <v>997</v>
      </c>
      <c r="B846">
        <v>45722</v>
      </c>
      <c r="C846">
        <v>45728</v>
      </c>
      <c r="D846" t="s">
        <v>23</v>
      </c>
      <c r="E846">
        <v>100</v>
      </c>
      <c r="F846">
        <v>1257.03</v>
      </c>
      <c r="G846">
        <v>1.71</v>
      </c>
      <c r="H846">
        <v>123553.48</v>
      </c>
      <c r="I846" t="s">
        <v>1728</v>
      </c>
      <c r="J846">
        <v>1082.94</v>
      </c>
      <c r="K846">
        <v>108294</v>
      </c>
      <c r="L846">
        <v>504.77</v>
      </c>
      <c r="M846">
        <v>582.22</v>
      </c>
      <c r="N846">
        <v>4636.21</v>
      </c>
      <c r="O846">
        <v>114017.2</v>
      </c>
      <c r="P846">
        <v>15259.48</v>
      </c>
      <c r="Q846">
        <v>9536.2800000000007</v>
      </c>
      <c r="R846" t="s">
        <v>65</v>
      </c>
      <c r="S846">
        <v>123553.48</v>
      </c>
      <c r="T846">
        <v>0</v>
      </c>
      <c r="U846" t="s">
        <v>66</v>
      </c>
      <c r="V846" t="s">
        <v>6</v>
      </c>
      <c r="W846" t="s">
        <v>74</v>
      </c>
      <c r="X846" t="s">
        <v>182</v>
      </c>
      <c r="Y846" t="s">
        <v>26</v>
      </c>
      <c r="Z846">
        <v>2.2799999999999998</v>
      </c>
      <c r="AA846">
        <f t="shared" si="39"/>
        <v>9536.2800000000007</v>
      </c>
      <c r="AB846">
        <f t="shared" si="40"/>
        <v>7.7183418872540058E-2</v>
      </c>
      <c r="AC846">
        <f t="shared" si="41"/>
        <v>0</v>
      </c>
      <c r="AD846">
        <v>2025</v>
      </c>
      <c r="AE846">
        <v>3</v>
      </c>
      <c r="AF846" t="s">
        <v>105</v>
      </c>
      <c r="AG846" t="s">
        <v>106</v>
      </c>
    </row>
    <row r="847" spans="1:33">
      <c r="A847" t="s">
        <v>998</v>
      </c>
      <c r="B847">
        <v>45318</v>
      </c>
      <c r="C847">
        <v>45325</v>
      </c>
      <c r="D847" t="s">
        <v>21</v>
      </c>
      <c r="E847">
        <v>50</v>
      </c>
      <c r="F847">
        <v>875.02</v>
      </c>
      <c r="G847">
        <v>2.46</v>
      </c>
      <c r="H847">
        <v>42674.73</v>
      </c>
      <c r="I847" t="s">
        <v>1726</v>
      </c>
      <c r="J847">
        <v>649.6</v>
      </c>
      <c r="K847">
        <v>32480</v>
      </c>
      <c r="L847">
        <v>388.87</v>
      </c>
      <c r="M847">
        <v>230.68</v>
      </c>
      <c r="N847">
        <v>3646.67</v>
      </c>
      <c r="O847">
        <v>36746.22</v>
      </c>
      <c r="P847">
        <v>10194.73</v>
      </c>
      <c r="Q847">
        <v>5928.51</v>
      </c>
      <c r="R847" t="s">
        <v>65</v>
      </c>
      <c r="S847">
        <v>42674.73</v>
      </c>
      <c r="T847">
        <v>0</v>
      </c>
      <c r="U847" t="s">
        <v>66</v>
      </c>
      <c r="V847" t="s">
        <v>10</v>
      </c>
      <c r="W847" t="s">
        <v>92</v>
      </c>
      <c r="X847" t="s">
        <v>205</v>
      </c>
      <c r="Y847" t="s">
        <v>24</v>
      </c>
      <c r="Z847">
        <v>1.38</v>
      </c>
      <c r="AA847">
        <f t="shared" si="39"/>
        <v>5928.51</v>
      </c>
      <c r="AB847">
        <f t="shared" si="40"/>
        <v>0.13892319881109969</v>
      </c>
      <c r="AC847">
        <f t="shared" si="41"/>
        <v>0</v>
      </c>
      <c r="AD847">
        <v>2024</v>
      </c>
      <c r="AE847">
        <v>1</v>
      </c>
      <c r="AF847" t="s">
        <v>102</v>
      </c>
      <c r="AG847" t="s">
        <v>103</v>
      </c>
    </row>
    <row r="848" spans="1:33">
      <c r="A848" t="s">
        <v>999</v>
      </c>
      <c r="B848">
        <v>45504</v>
      </c>
      <c r="C848">
        <v>45507</v>
      </c>
      <c r="D848" t="s">
        <v>21</v>
      </c>
      <c r="E848">
        <v>200</v>
      </c>
      <c r="F848">
        <v>891.53</v>
      </c>
      <c r="G848">
        <v>1.05</v>
      </c>
      <c r="H848">
        <v>176433.79</v>
      </c>
      <c r="I848" t="s">
        <v>1726</v>
      </c>
      <c r="J848">
        <v>717.34</v>
      </c>
      <c r="K848">
        <v>143468</v>
      </c>
      <c r="L848">
        <v>1141.04</v>
      </c>
      <c r="M848">
        <v>360.29</v>
      </c>
      <c r="N848">
        <v>8322.98</v>
      </c>
      <c r="O848">
        <v>153292.31</v>
      </c>
      <c r="P848">
        <v>32965.79</v>
      </c>
      <c r="Q848">
        <v>23141.48</v>
      </c>
      <c r="R848" t="s">
        <v>65</v>
      </c>
      <c r="S848">
        <v>176433.79</v>
      </c>
      <c r="T848">
        <v>0</v>
      </c>
      <c r="U848" t="s">
        <v>66</v>
      </c>
      <c r="V848" t="s">
        <v>14</v>
      </c>
      <c r="W848" t="s">
        <v>80</v>
      </c>
      <c r="X848" t="s">
        <v>185</v>
      </c>
      <c r="Y848" t="s">
        <v>31</v>
      </c>
      <c r="Z848">
        <v>1.83</v>
      </c>
      <c r="AA848">
        <f t="shared" si="39"/>
        <v>23141.48</v>
      </c>
      <c r="AB848">
        <f t="shared" si="40"/>
        <v>0.13116240375497232</v>
      </c>
      <c r="AC848">
        <f t="shared" si="41"/>
        <v>0</v>
      </c>
      <c r="AD848">
        <v>2024</v>
      </c>
      <c r="AE848">
        <v>7</v>
      </c>
      <c r="AF848" t="s">
        <v>69</v>
      </c>
      <c r="AG848" t="s">
        <v>70</v>
      </c>
    </row>
    <row r="849" spans="1:33">
      <c r="A849" t="s">
        <v>1000</v>
      </c>
      <c r="B849">
        <v>45532</v>
      </c>
      <c r="C849">
        <v>45542</v>
      </c>
      <c r="D849" t="s">
        <v>27</v>
      </c>
      <c r="E849">
        <v>50</v>
      </c>
      <c r="F849">
        <v>729.08</v>
      </c>
      <c r="G849">
        <v>1.61</v>
      </c>
      <c r="H849">
        <v>35867.089999999997</v>
      </c>
      <c r="I849" t="s">
        <v>1726</v>
      </c>
      <c r="J849">
        <v>593.70000000000005</v>
      </c>
      <c r="K849">
        <v>29685</v>
      </c>
      <c r="L849">
        <v>478.83</v>
      </c>
      <c r="M849">
        <v>230.65</v>
      </c>
      <c r="N849">
        <v>9607.5300000000007</v>
      </c>
      <c r="O849">
        <v>40002.01</v>
      </c>
      <c r="P849">
        <v>6182.09</v>
      </c>
      <c r="Q849">
        <v>-4134.92</v>
      </c>
      <c r="R849" t="s">
        <v>65</v>
      </c>
      <c r="S849">
        <v>35867.089999999997</v>
      </c>
      <c r="T849">
        <v>0</v>
      </c>
      <c r="U849" t="s">
        <v>66</v>
      </c>
      <c r="V849" t="s">
        <v>6</v>
      </c>
      <c r="W849" t="s">
        <v>67</v>
      </c>
      <c r="X849" t="s">
        <v>176</v>
      </c>
      <c r="Y849" t="s">
        <v>22</v>
      </c>
      <c r="Z849">
        <v>1.74</v>
      </c>
      <c r="AA849">
        <f t="shared" si="39"/>
        <v>-4134.92</v>
      </c>
      <c r="AB849">
        <f t="shared" si="40"/>
        <v>-0.11528451290584212</v>
      </c>
      <c r="AC849">
        <f t="shared" si="41"/>
        <v>0</v>
      </c>
      <c r="AD849">
        <v>2024</v>
      </c>
      <c r="AE849">
        <v>8</v>
      </c>
      <c r="AF849" t="s">
        <v>82</v>
      </c>
      <c r="AG849" t="s">
        <v>83</v>
      </c>
    </row>
    <row r="850" spans="1:33">
      <c r="A850" t="s">
        <v>1001</v>
      </c>
      <c r="B850">
        <v>45725</v>
      </c>
      <c r="C850">
        <v>45737</v>
      </c>
      <c r="D850" t="s">
        <v>23</v>
      </c>
      <c r="E850">
        <v>100</v>
      </c>
      <c r="F850">
        <v>1216.17</v>
      </c>
      <c r="G850">
        <v>0.32</v>
      </c>
      <c r="H850">
        <v>121227.83</v>
      </c>
      <c r="I850" t="s">
        <v>1726</v>
      </c>
      <c r="J850">
        <v>1112.3800000000001</v>
      </c>
      <c r="K850">
        <v>111238</v>
      </c>
      <c r="L850">
        <v>824.16</v>
      </c>
      <c r="M850">
        <v>595.79</v>
      </c>
      <c r="N850">
        <v>2453.44</v>
      </c>
      <c r="O850">
        <v>115111.39</v>
      </c>
      <c r="P850">
        <v>9989.83</v>
      </c>
      <c r="Q850">
        <v>6116.44</v>
      </c>
      <c r="R850" t="s">
        <v>65</v>
      </c>
      <c r="S850">
        <v>121227.83</v>
      </c>
      <c r="T850">
        <v>0</v>
      </c>
      <c r="U850" t="s">
        <v>73</v>
      </c>
      <c r="V850" t="s">
        <v>6</v>
      </c>
      <c r="W850" t="s">
        <v>92</v>
      </c>
      <c r="X850" t="s">
        <v>97</v>
      </c>
      <c r="Y850" t="s">
        <v>24</v>
      </c>
      <c r="Z850">
        <v>0.54</v>
      </c>
      <c r="AA850">
        <f t="shared" si="39"/>
        <v>6116.44</v>
      </c>
      <c r="AB850">
        <f t="shared" si="40"/>
        <v>5.0454091275905867E-2</v>
      </c>
      <c r="AC850">
        <f t="shared" si="41"/>
        <v>0</v>
      </c>
      <c r="AD850">
        <v>2025</v>
      </c>
      <c r="AE850">
        <v>3</v>
      </c>
      <c r="AF850" t="s">
        <v>105</v>
      </c>
      <c r="AG850" t="s">
        <v>106</v>
      </c>
    </row>
    <row r="851" spans="1:33">
      <c r="A851" t="s">
        <v>1002</v>
      </c>
      <c r="B851">
        <v>45961</v>
      </c>
      <c r="C851">
        <v>45965</v>
      </c>
      <c r="D851" t="s">
        <v>21</v>
      </c>
      <c r="E851">
        <v>200</v>
      </c>
      <c r="F851">
        <v>933.88</v>
      </c>
      <c r="G851">
        <v>0.38</v>
      </c>
      <c r="H851">
        <v>186066.25</v>
      </c>
      <c r="I851" t="s">
        <v>1726</v>
      </c>
      <c r="J851">
        <v>682.03</v>
      </c>
      <c r="K851">
        <v>136406</v>
      </c>
      <c r="L851">
        <v>3896.46</v>
      </c>
      <c r="M851">
        <v>373.38</v>
      </c>
      <c r="N851">
        <v>5671.89</v>
      </c>
      <c r="O851">
        <v>146347.73000000001</v>
      </c>
      <c r="P851">
        <v>49660.25</v>
      </c>
      <c r="Q851">
        <v>39718.519999999997</v>
      </c>
      <c r="R851" t="s">
        <v>65</v>
      </c>
      <c r="S851">
        <v>186066.25</v>
      </c>
      <c r="T851">
        <v>0</v>
      </c>
      <c r="U851" t="s">
        <v>66</v>
      </c>
      <c r="V851" t="s">
        <v>16</v>
      </c>
      <c r="W851" t="s">
        <v>67</v>
      </c>
      <c r="X851" t="s">
        <v>145</v>
      </c>
      <c r="Y851" t="s">
        <v>30</v>
      </c>
      <c r="Z851">
        <v>0.34</v>
      </c>
      <c r="AA851">
        <f t="shared" si="39"/>
        <v>39718.519999999997</v>
      </c>
      <c r="AB851">
        <f t="shared" si="40"/>
        <v>0.21346439776154996</v>
      </c>
      <c r="AC851">
        <f t="shared" si="41"/>
        <v>0</v>
      </c>
      <c r="AD851">
        <v>2025</v>
      </c>
      <c r="AE851">
        <v>10</v>
      </c>
      <c r="AF851" t="s">
        <v>138</v>
      </c>
      <c r="AG851" t="s">
        <v>160</v>
      </c>
    </row>
    <row r="852" spans="1:33">
      <c r="A852" t="s">
        <v>1003</v>
      </c>
      <c r="B852">
        <v>45782</v>
      </c>
      <c r="C852">
        <v>45794</v>
      </c>
      <c r="D852" t="s">
        <v>21</v>
      </c>
      <c r="E852">
        <v>1000</v>
      </c>
      <c r="F852">
        <v>832.45</v>
      </c>
      <c r="G852">
        <v>4.96</v>
      </c>
      <c r="H852">
        <v>791160.48</v>
      </c>
      <c r="I852" t="s">
        <v>1728</v>
      </c>
      <c r="J852">
        <v>699.22</v>
      </c>
      <c r="K852">
        <v>699220</v>
      </c>
      <c r="L852">
        <v>5387.2</v>
      </c>
      <c r="M852">
        <v>2851.89</v>
      </c>
      <c r="N852">
        <v>6898.72</v>
      </c>
      <c r="O852">
        <v>714357.81</v>
      </c>
      <c r="P852">
        <v>91940.479999999996</v>
      </c>
      <c r="Q852">
        <v>76802.67</v>
      </c>
      <c r="R852" t="s">
        <v>65</v>
      </c>
      <c r="S852">
        <v>791160.48</v>
      </c>
      <c r="T852">
        <v>0</v>
      </c>
      <c r="U852" t="s">
        <v>66</v>
      </c>
      <c r="V852" t="s">
        <v>14</v>
      </c>
      <c r="W852" t="s">
        <v>74</v>
      </c>
      <c r="X852" t="s">
        <v>125</v>
      </c>
      <c r="Y852" t="s">
        <v>24</v>
      </c>
      <c r="Z852">
        <v>0.17</v>
      </c>
      <c r="AA852">
        <f t="shared" si="39"/>
        <v>76802.67</v>
      </c>
      <c r="AB852">
        <f t="shared" si="40"/>
        <v>9.7075968708649346E-2</v>
      </c>
      <c r="AC852">
        <f t="shared" si="41"/>
        <v>0</v>
      </c>
      <c r="AD852">
        <v>2025</v>
      </c>
      <c r="AE852">
        <v>5</v>
      </c>
      <c r="AF852" t="s">
        <v>76</v>
      </c>
      <c r="AG852" t="s">
        <v>94</v>
      </c>
    </row>
    <row r="853" spans="1:33">
      <c r="A853" t="s">
        <v>1004</v>
      </c>
      <c r="B853">
        <v>45898</v>
      </c>
      <c r="C853">
        <v>45909</v>
      </c>
      <c r="D853" t="s">
        <v>21</v>
      </c>
      <c r="E853">
        <v>1000</v>
      </c>
      <c r="F853">
        <v>824.23</v>
      </c>
      <c r="G853">
        <v>2.89</v>
      </c>
      <c r="H853">
        <v>800409.75</v>
      </c>
      <c r="I853" t="s">
        <v>1726</v>
      </c>
      <c r="J853">
        <v>707.38</v>
      </c>
      <c r="K853">
        <v>707380</v>
      </c>
      <c r="L853">
        <v>21065.15</v>
      </c>
      <c r="M853">
        <v>3968.46</v>
      </c>
      <c r="N853">
        <v>2089.8200000000002</v>
      </c>
      <c r="O853">
        <v>734503.43</v>
      </c>
      <c r="P853">
        <v>93029.75</v>
      </c>
      <c r="Q853">
        <v>65906.320000000007</v>
      </c>
      <c r="R853" t="s">
        <v>65</v>
      </c>
      <c r="S853">
        <v>800409.75</v>
      </c>
      <c r="T853">
        <v>0</v>
      </c>
      <c r="U853" t="s">
        <v>66</v>
      </c>
      <c r="V853" t="s">
        <v>6</v>
      </c>
      <c r="W853" t="s">
        <v>67</v>
      </c>
      <c r="X853" t="s">
        <v>193</v>
      </c>
      <c r="Y853" t="s">
        <v>30</v>
      </c>
      <c r="Z853">
        <v>1.18</v>
      </c>
      <c r="AA853">
        <f t="shared" si="39"/>
        <v>65906.320000000007</v>
      </c>
      <c r="AB853">
        <f t="shared" si="40"/>
        <v>8.2340726109345883E-2</v>
      </c>
      <c r="AC853">
        <f t="shared" si="41"/>
        <v>0</v>
      </c>
      <c r="AD853">
        <v>2025</v>
      </c>
      <c r="AE853">
        <v>8</v>
      </c>
      <c r="AF853" t="s">
        <v>82</v>
      </c>
      <c r="AG853" t="s">
        <v>87</v>
      </c>
    </row>
    <row r="854" spans="1:33">
      <c r="A854" t="s">
        <v>1005</v>
      </c>
      <c r="B854">
        <v>45418</v>
      </c>
      <c r="D854" t="s">
        <v>21</v>
      </c>
      <c r="E854">
        <v>50</v>
      </c>
      <c r="F854">
        <v>895.12</v>
      </c>
      <c r="G854">
        <v>1.19</v>
      </c>
      <c r="H854">
        <v>44223.4</v>
      </c>
      <c r="I854" t="s">
        <v>1726</v>
      </c>
      <c r="J854">
        <v>668.84</v>
      </c>
      <c r="K854">
        <v>33442</v>
      </c>
      <c r="L854">
        <v>1083.6300000000001</v>
      </c>
      <c r="M854">
        <v>109.28</v>
      </c>
      <c r="N854">
        <v>144.34</v>
      </c>
      <c r="O854">
        <v>34779.25</v>
      </c>
      <c r="P854">
        <v>10781.4</v>
      </c>
      <c r="Q854">
        <v>9444.15</v>
      </c>
      <c r="R854" t="s">
        <v>65</v>
      </c>
      <c r="S854">
        <v>44223.4</v>
      </c>
      <c r="T854">
        <v>0</v>
      </c>
      <c r="U854" t="s">
        <v>91</v>
      </c>
      <c r="V854" t="s">
        <v>10</v>
      </c>
      <c r="W854" t="s">
        <v>92</v>
      </c>
      <c r="X854" t="s">
        <v>164</v>
      </c>
      <c r="Y854" t="s">
        <v>24</v>
      </c>
      <c r="Z854">
        <v>0.78</v>
      </c>
      <c r="AA854">
        <f t="shared" si="39"/>
        <v>9444.15</v>
      </c>
      <c r="AB854">
        <f t="shared" si="40"/>
        <v>0.21355549324565726</v>
      </c>
      <c r="AC854">
        <f t="shared" si="41"/>
        <v>0</v>
      </c>
      <c r="AD854">
        <v>2024</v>
      </c>
      <c r="AE854">
        <v>5</v>
      </c>
      <c r="AF854" t="s">
        <v>76</v>
      </c>
      <c r="AG854" t="s">
        <v>77</v>
      </c>
    </row>
    <row r="855" spans="1:33">
      <c r="A855" t="s">
        <v>1006</v>
      </c>
      <c r="B855">
        <v>45897</v>
      </c>
      <c r="C855">
        <v>45902</v>
      </c>
      <c r="D855" t="s">
        <v>23</v>
      </c>
      <c r="E855">
        <v>150</v>
      </c>
      <c r="F855">
        <v>1252.1500000000001</v>
      </c>
      <c r="G855">
        <v>0.82</v>
      </c>
      <c r="H855">
        <v>186282.36</v>
      </c>
      <c r="I855" t="s">
        <v>1727</v>
      </c>
      <c r="J855">
        <v>981.12</v>
      </c>
      <c r="K855">
        <v>147168</v>
      </c>
      <c r="L855">
        <v>3230.56</v>
      </c>
      <c r="M855">
        <v>284.79000000000002</v>
      </c>
      <c r="N855">
        <v>289.77</v>
      </c>
      <c r="O855">
        <v>150973.12</v>
      </c>
      <c r="P855">
        <v>39114.36</v>
      </c>
      <c r="Q855">
        <v>35309.24</v>
      </c>
      <c r="R855" t="s">
        <v>65</v>
      </c>
      <c r="S855">
        <v>186282.36</v>
      </c>
      <c r="T855">
        <v>0</v>
      </c>
      <c r="U855" t="s">
        <v>66</v>
      </c>
      <c r="V855" t="s">
        <v>10</v>
      </c>
      <c r="W855" t="s">
        <v>74</v>
      </c>
      <c r="X855" t="s">
        <v>101</v>
      </c>
      <c r="Y855" t="s">
        <v>22</v>
      </c>
      <c r="Z855">
        <v>1.4</v>
      </c>
      <c r="AA855">
        <f t="shared" si="39"/>
        <v>35309.24</v>
      </c>
      <c r="AB855">
        <f t="shared" si="40"/>
        <v>0.18954687926435976</v>
      </c>
      <c r="AC855">
        <f t="shared" si="41"/>
        <v>0</v>
      </c>
      <c r="AD855">
        <v>2025</v>
      </c>
      <c r="AE855">
        <v>8</v>
      </c>
      <c r="AF855" t="s">
        <v>82</v>
      </c>
      <c r="AG855" t="s">
        <v>87</v>
      </c>
    </row>
    <row r="856" spans="1:33">
      <c r="A856" t="s">
        <v>1007</v>
      </c>
      <c r="B856">
        <v>45584</v>
      </c>
      <c r="C856">
        <v>45591</v>
      </c>
      <c r="D856" t="s">
        <v>21</v>
      </c>
      <c r="E856">
        <v>500</v>
      </c>
      <c r="F856">
        <v>875.02</v>
      </c>
      <c r="G856">
        <v>1.73</v>
      </c>
      <c r="H856">
        <v>429941.08</v>
      </c>
      <c r="I856" t="s">
        <v>1728</v>
      </c>
      <c r="J856">
        <v>709.95</v>
      </c>
      <c r="K856">
        <v>354975</v>
      </c>
      <c r="L856">
        <v>8967.7800000000007</v>
      </c>
      <c r="M856">
        <v>817.63</v>
      </c>
      <c r="N856">
        <v>10552.5</v>
      </c>
      <c r="O856">
        <v>375312.91</v>
      </c>
      <c r="P856">
        <v>74966.080000000002</v>
      </c>
      <c r="Q856">
        <v>54628.17</v>
      </c>
      <c r="R856" t="s">
        <v>65</v>
      </c>
      <c r="S856">
        <v>429941.08</v>
      </c>
      <c r="T856">
        <v>0</v>
      </c>
      <c r="U856" t="s">
        <v>66</v>
      </c>
      <c r="V856" t="s">
        <v>6</v>
      </c>
      <c r="W856" t="s">
        <v>74</v>
      </c>
      <c r="X856" t="s">
        <v>150</v>
      </c>
      <c r="Y856" t="s">
        <v>30</v>
      </c>
      <c r="Z856">
        <v>1.1200000000000001</v>
      </c>
      <c r="AA856">
        <f t="shared" si="39"/>
        <v>54628.17</v>
      </c>
      <c r="AB856">
        <f t="shared" si="40"/>
        <v>0.12705966594306364</v>
      </c>
      <c r="AC856">
        <f t="shared" si="41"/>
        <v>0</v>
      </c>
      <c r="AD856">
        <v>2024</v>
      </c>
      <c r="AE856">
        <v>10</v>
      </c>
      <c r="AF856" t="s">
        <v>138</v>
      </c>
      <c r="AG856" t="s">
        <v>139</v>
      </c>
    </row>
    <row r="857" spans="1:33">
      <c r="A857" t="s">
        <v>1008</v>
      </c>
      <c r="B857">
        <v>45507</v>
      </c>
      <c r="C857">
        <v>45510</v>
      </c>
      <c r="D857" t="s">
        <v>25</v>
      </c>
      <c r="E857">
        <v>100</v>
      </c>
      <c r="F857">
        <v>915.99</v>
      </c>
      <c r="G857">
        <v>2.37</v>
      </c>
      <c r="H857">
        <v>89428.1</v>
      </c>
      <c r="I857" t="s">
        <v>1726</v>
      </c>
      <c r="J857">
        <v>743.18</v>
      </c>
      <c r="K857">
        <v>74318</v>
      </c>
      <c r="L857">
        <v>2360.67</v>
      </c>
      <c r="M857">
        <v>285.99</v>
      </c>
      <c r="N857">
        <v>10329.02</v>
      </c>
      <c r="O857">
        <v>87293.68</v>
      </c>
      <c r="P857">
        <v>15110.1</v>
      </c>
      <c r="Q857">
        <v>2134.42</v>
      </c>
      <c r="R857" t="s">
        <v>134</v>
      </c>
      <c r="S857">
        <v>0</v>
      </c>
      <c r="T857">
        <v>89428.1</v>
      </c>
      <c r="U857" t="s">
        <v>73</v>
      </c>
      <c r="V857" t="s">
        <v>14</v>
      </c>
      <c r="W857" t="s">
        <v>74</v>
      </c>
      <c r="X857" t="s">
        <v>101</v>
      </c>
      <c r="Y857" t="s">
        <v>22</v>
      </c>
      <c r="Z857">
        <v>0.93</v>
      </c>
      <c r="AA857">
        <f t="shared" si="39"/>
        <v>2134.42</v>
      </c>
      <c r="AB857">
        <f t="shared" si="40"/>
        <v>2.3867442112714011E-2</v>
      </c>
      <c r="AC857">
        <f t="shared" si="41"/>
        <v>0</v>
      </c>
      <c r="AD857">
        <v>2024</v>
      </c>
      <c r="AE857">
        <v>8</v>
      </c>
      <c r="AF857" t="s">
        <v>82</v>
      </c>
      <c r="AG857" t="s">
        <v>83</v>
      </c>
    </row>
    <row r="858" spans="1:33">
      <c r="A858" t="s">
        <v>1009</v>
      </c>
      <c r="B858">
        <v>45536</v>
      </c>
      <c r="C858">
        <v>45546</v>
      </c>
      <c r="D858" t="s">
        <v>21</v>
      </c>
      <c r="E858">
        <v>200</v>
      </c>
      <c r="F858">
        <v>835.32</v>
      </c>
      <c r="G858">
        <v>1.76</v>
      </c>
      <c r="H858">
        <v>164123.67000000001</v>
      </c>
      <c r="I858" t="s">
        <v>1727</v>
      </c>
      <c r="J858">
        <v>707.91</v>
      </c>
      <c r="K858">
        <v>141582</v>
      </c>
      <c r="L858">
        <v>2539.31</v>
      </c>
      <c r="M858">
        <v>519.88</v>
      </c>
      <c r="N858">
        <v>8672.27</v>
      </c>
      <c r="O858">
        <v>153313.46</v>
      </c>
      <c r="P858">
        <v>22541.67</v>
      </c>
      <c r="Q858">
        <v>10810.21</v>
      </c>
      <c r="R858" t="s">
        <v>134</v>
      </c>
      <c r="S858">
        <v>0</v>
      </c>
      <c r="T858">
        <v>164123.67000000001</v>
      </c>
      <c r="U858" t="s">
        <v>66</v>
      </c>
      <c r="V858" t="s">
        <v>6</v>
      </c>
      <c r="W858" t="s">
        <v>67</v>
      </c>
      <c r="X858" t="s">
        <v>371</v>
      </c>
      <c r="Y858" t="s">
        <v>26</v>
      </c>
      <c r="Z858">
        <v>0.02</v>
      </c>
      <c r="AA858">
        <f t="shared" si="39"/>
        <v>10810.21</v>
      </c>
      <c r="AB858">
        <f t="shared" si="40"/>
        <v>6.5866245862038056E-2</v>
      </c>
      <c r="AC858">
        <f t="shared" si="41"/>
        <v>0</v>
      </c>
      <c r="AD858">
        <v>2024</v>
      </c>
      <c r="AE858">
        <v>9</v>
      </c>
      <c r="AF858" t="s">
        <v>131</v>
      </c>
      <c r="AG858" t="s">
        <v>188</v>
      </c>
    </row>
    <row r="859" spans="1:33">
      <c r="A859" t="s">
        <v>1010</v>
      </c>
      <c r="B859">
        <v>45520</v>
      </c>
      <c r="D859" t="s">
        <v>21</v>
      </c>
      <c r="E859">
        <v>750</v>
      </c>
      <c r="F859">
        <v>826.34</v>
      </c>
      <c r="G859">
        <v>0.13</v>
      </c>
      <c r="H859">
        <v>618949.31999999995</v>
      </c>
      <c r="I859" t="s">
        <v>1727</v>
      </c>
      <c r="J859">
        <v>652.26</v>
      </c>
      <c r="K859">
        <v>489195</v>
      </c>
      <c r="L859">
        <v>10179.42</v>
      </c>
      <c r="M859">
        <v>1603.47</v>
      </c>
      <c r="N859">
        <v>9305.92</v>
      </c>
      <c r="O859">
        <v>510283.81</v>
      </c>
      <c r="P859">
        <v>129754.32</v>
      </c>
      <c r="Q859">
        <v>108665.51</v>
      </c>
      <c r="R859" t="s">
        <v>65</v>
      </c>
      <c r="S859">
        <v>618949.31999999995</v>
      </c>
      <c r="T859">
        <v>0</v>
      </c>
      <c r="U859" t="s">
        <v>91</v>
      </c>
      <c r="V859" t="s">
        <v>12</v>
      </c>
      <c r="W859" t="s">
        <v>67</v>
      </c>
      <c r="X859" t="s">
        <v>208</v>
      </c>
      <c r="Y859" t="s">
        <v>26</v>
      </c>
      <c r="Z859">
        <v>0.22</v>
      </c>
      <c r="AA859">
        <f t="shared" si="39"/>
        <v>108665.51</v>
      </c>
      <c r="AB859">
        <f t="shared" si="40"/>
        <v>0.17556447109433776</v>
      </c>
      <c r="AC859">
        <f t="shared" si="41"/>
        <v>0</v>
      </c>
      <c r="AD859">
        <v>2024</v>
      </c>
      <c r="AE859">
        <v>8</v>
      </c>
      <c r="AF859" t="s">
        <v>82</v>
      </c>
      <c r="AG859" t="s">
        <v>83</v>
      </c>
    </row>
    <row r="860" spans="1:33">
      <c r="A860" t="s">
        <v>1011</v>
      </c>
      <c r="B860">
        <v>45608</v>
      </c>
      <c r="C860">
        <v>45616</v>
      </c>
      <c r="D860" t="s">
        <v>21</v>
      </c>
      <c r="E860">
        <v>300</v>
      </c>
      <c r="F860">
        <v>870.82</v>
      </c>
      <c r="G860">
        <v>1.54</v>
      </c>
      <c r="H860">
        <v>257222.81</v>
      </c>
      <c r="I860" t="s">
        <v>1727</v>
      </c>
      <c r="J860">
        <v>693.9</v>
      </c>
      <c r="K860">
        <v>208170</v>
      </c>
      <c r="L860">
        <v>6197.6</v>
      </c>
      <c r="M860">
        <v>1738.61</v>
      </c>
      <c r="N860">
        <v>4021.41</v>
      </c>
      <c r="O860">
        <v>220127.62</v>
      </c>
      <c r="P860">
        <v>49052.81</v>
      </c>
      <c r="Q860">
        <v>37095.19</v>
      </c>
      <c r="R860" t="s">
        <v>65</v>
      </c>
      <c r="S860">
        <v>257222.81</v>
      </c>
      <c r="T860">
        <v>0</v>
      </c>
      <c r="U860" t="s">
        <v>66</v>
      </c>
      <c r="V860" t="s">
        <v>12</v>
      </c>
      <c r="W860" t="s">
        <v>80</v>
      </c>
      <c r="X860" t="s">
        <v>176</v>
      </c>
      <c r="Y860" t="s">
        <v>22</v>
      </c>
      <c r="Z860">
        <v>2.48</v>
      </c>
      <c r="AA860">
        <f t="shared" si="39"/>
        <v>37095.19</v>
      </c>
      <c r="AB860">
        <f t="shared" si="40"/>
        <v>0.14421423201153896</v>
      </c>
      <c r="AC860">
        <f t="shared" si="41"/>
        <v>0</v>
      </c>
      <c r="AD860">
        <v>2024</v>
      </c>
      <c r="AE860">
        <v>11</v>
      </c>
      <c r="AF860" t="s">
        <v>128</v>
      </c>
      <c r="AG860" t="s">
        <v>129</v>
      </c>
    </row>
    <row r="861" spans="1:33">
      <c r="A861" t="s">
        <v>1012</v>
      </c>
      <c r="B861">
        <v>45576</v>
      </c>
      <c r="C861">
        <v>45580</v>
      </c>
      <c r="D861" t="s">
        <v>21</v>
      </c>
      <c r="E861">
        <v>50</v>
      </c>
      <c r="F861">
        <v>944.08</v>
      </c>
      <c r="G861">
        <v>2.27</v>
      </c>
      <c r="H861">
        <v>46132.47</v>
      </c>
      <c r="I861" t="s">
        <v>1728</v>
      </c>
      <c r="J861">
        <v>660.36</v>
      </c>
      <c r="K861">
        <v>33018</v>
      </c>
      <c r="L861">
        <v>873.69</v>
      </c>
      <c r="M861">
        <v>137.9</v>
      </c>
      <c r="N861">
        <v>10816.74</v>
      </c>
      <c r="O861">
        <v>44846.33</v>
      </c>
      <c r="P861">
        <v>13114.47</v>
      </c>
      <c r="Q861">
        <v>1286.1400000000001</v>
      </c>
      <c r="R861" t="s">
        <v>65</v>
      </c>
      <c r="S861">
        <v>46132.47</v>
      </c>
      <c r="T861">
        <v>0</v>
      </c>
      <c r="U861" t="s">
        <v>66</v>
      </c>
      <c r="V861" t="s">
        <v>6</v>
      </c>
      <c r="W861" t="s">
        <v>67</v>
      </c>
      <c r="X861" t="s">
        <v>230</v>
      </c>
      <c r="Y861" t="s">
        <v>31</v>
      </c>
      <c r="Z861">
        <v>1.42</v>
      </c>
      <c r="AA861">
        <f t="shared" si="39"/>
        <v>1286.1400000000001</v>
      </c>
      <c r="AB861">
        <f t="shared" si="40"/>
        <v>2.7879278954714544E-2</v>
      </c>
      <c r="AC861">
        <f t="shared" si="41"/>
        <v>0</v>
      </c>
      <c r="AD861">
        <v>2024</v>
      </c>
      <c r="AE861">
        <v>10</v>
      </c>
      <c r="AF861" t="s">
        <v>138</v>
      </c>
      <c r="AG861" t="s">
        <v>139</v>
      </c>
    </row>
    <row r="862" spans="1:33">
      <c r="A862" t="s">
        <v>1013</v>
      </c>
      <c r="B862">
        <v>45437</v>
      </c>
      <c r="C862">
        <v>45437</v>
      </c>
      <c r="D862" t="s">
        <v>23</v>
      </c>
      <c r="E862">
        <v>300</v>
      </c>
      <c r="F862">
        <v>1211.7</v>
      </c>
      <c r="G862">
        <v>1.46</v>
      </c>
      <c r="H862">
        <v>358202.75</v>
      </c>
      <c r="I862" t="s">
        <v>1727</v>
      </c>
      <c r="J862">
        <v>968.36</v>
      </c>
      <c r="K862">
        <v>290508</v>
      </c>
      <c r="L862">
        <v>2138.9699999999998</v>
      </c>
      <c r="M862">
        <v>1314.25</v>
      </c>
      <c r="N862">
        <v>7051.36</v>
      </c>
      <c r="O862">
        <v>301012.58</v>
      </c>
      <c r="P862">
        <v>67694.75</v>
      </c>
      <c r="Q862">
        <v>57190.17</v>
      </c>
      <c r="R862" t="s">
        <v>65</v>
      </c>
      <c r="S862">
        <v>358202.75</v>
      </c>
      <c r="T862">
        <v>0</v>
      </c>
      <c r="U862" t="s">
        <v>66</v>
      </c>
      <c r="V862" t="s">
        <v>8</v>
      </c>
      <c r="W862" t="s">
        <v>74</v>
      </c>
      <c r="X862" t="s">
        <v>68</v>
      </c>
      <c r="Y862" t="s">
        <v>31</v>
      </c>
      <c r="Z862">
        <v>0.73</v>
      </c>
      <c r="AA862">
        <f t="shared" si="39"/>
        <v>57190.17</v>
      </c>
      <c r="AB862">
        <f t="shared" si="40"/>
        <v>0.15965865700361037</v>
      </c>
      <c r="AC862">
        <f t="shared" si="41"/>
        <v>0</v>
      </c>
      <c r="AD862">
        <v>2024</v>
      </c>
      <c r="AE862">
        <v>5</v>
      </c>
      <c r="AF862" t="s">
        <v>76</v>
      </c>
      <c r="AG862" t="s">
        <v>77</v>
      </c>
    </row>
    <row r="863" spans="1:33">
      <c r="A863" t="s">
        <v>1014</v>
      </c>
      <c r="B863">
        <v>45552</v>
      </c>
      <c r="D863" t="s">
        <v>21</v>
      </c>
      <c r="E863">
        <v>1000</v>
      </c>
      <c r="F863">
        <v>868.61</v>
      </c>
      <c r="G863">
        <v>3.19</v>
      </c>
      <c r="H863">
        <v>840901.34</v>
      </c>
      <c r="I863" t="s">
        <v>1728</v>
      </c>
      <c r="J863">
        <v>684.69</v>
      </c>
      <c r="K863">
        <v>684690</v>
      </c>
      <c r="L863">
        <v>19785.189999999999</v>
      </c>
      <c r="M863">
        <v>3795.99</v>
      </c>
      <c r="N863">
        <v>9857.01</v>
      </c>
      <c r="O863">
        <v>718128.19</v>
      </c>
      <c r="P863">
        <v>156211.34</v>
      </c>
      <c r="Q863">
        <v>122773.15</v>
      </c>
      <c r="R863" t="s">
        <v>65</v>
      </c>
      <c r="S863">
        <v>840901.34</v>
      </c>
      <c r="T863">
        <v>0</v>
      </c>
      <c r="U863" t="s">
        <v>91</v>
      </c>
      <c r="V863" t="s">
        <v>6</v>
      </c>
      <c r="W863" t="s">
        <v>74</v>
      </c>
      <c r="X863" t="s">
        <v>115</v>
      </c>
      <c r="Y863" t="s">
        <v>22</v>
      </c>
      <c r="Z863">
        <v>1.55</v>
      </c>
      <c r="AA863">
        <f t="shared" si="39"/>
        <v>122773.15</v>
      </c>
      <c r="AB863">
        <f t="shared" si="40"/>
        <v>0.14600184844514577</v>
      </c>
      <c r="AC863">
        <f t="shared" si="41"/>
        <v>0</v>
      </c>
      <c r="AD863">
        <v>2024</v>
      </c>
      <c r="AE863">
        <v>9</v>
      </c>
      <c r="AF863" t="s">
        <v>131</v>
      </c>
      <c r="AG863" t="s">
        <v>188</v>
      </c>
    </row>
    <row r="864" spans="1:33">
      <c r="A864" t="s">
        <v>1015</v>
      </c>
      <c r="B864">
        <v>45320</v>
      </c>
      <c r="C864">
        <v>45321</v>
      </c>
      <c r="D864" t="s">
        <v>23</v>
      </c>
      <c r="E864">
        <v>100</v>
      </c>
      <c r="F864">
        <v>1364.76</v>
      </c>
      <c r="G864">
        <v>1.1000000000000001</v>
      </c>
      <c r="H864">
        <v>134974.76</v>
      </c>
      <c r="I864" t="s">
        <v>1729</v>
      </c>
      <c r="J864">
        <v>986.31</v>
      </c>
      <c r="K864">
        <v>98631</v>
      </c>
      <c r="L864">
        <v>1070.44</v>
      </c>
      <c r="M864">
        <v>427.07</v>
      </c>
      <c r="N864">
        <v>6690.05</v>
      </c>
      <c r="O864">
        <v>106818.56</v>
      </c>
      <c r="P864">
        <v>36343.760000000002</v>
      </c>
      <c r="Q864">
        <v>28156.2</v>
      </c>
      <c r="R864" t="s">
        <v>65</v>
      </c>
      <c r="S864">
        <v>134974.76</v>
      </c>
      <c r="T864">
        <v>0</v>
      </c>
      <c r="U864" t="s">
        <v>66</v>
      </c>
      <c r="V864" t="s">
        <v>12</v>
      </c>
      <c r="W864" t="s">
        <v>141</v>
      </c>
      <c r="X864" t="s">
        <v>81</v>
      </c>
      <c r="Y864" t="s">
        <v>24</v>
      </c>
      <c r="Z864">
        <v>1.31</v>
      </c>
      <c r="AA864">
        <f t="shared" si="39"/>
        <v>28156.2</v>
      </c>
      <c r="AB864">
        <f t="shared" si="40"/>
        <v>0.20860344556271113</v>
      </c>
      <c r="AC864">
        <f t="shared" si="41"/>
        <v>0</v>
      </c>
      <c r="AD864">
        <v>2024</v>
      </c>
      <c r="AE864">
        <v>1</v>
      </c>
      <c r="AF864" t="s">
        <v>102</v>
      </c>
      <c r="AG864" t="s">
        <v>103</v>
      </c>
    </row>
    <row r="865" spans="1:33">
      <c r="A865" t="s">
        <v>1016</v>
      </c>
      <c r="B865">
        <v>45674</v>
      </c>
      <c r="C865">
        <v>45685</v>
      </c>
      <c r="D865" t="s">
        <v>23</v>
      </c>
      <c r="E865">
        <v>150</v>
      </c>
      <c r="F865">
        <v>1243.25</v>
      </c>
      <c r="G865">
        <v>1.59</v>
      </c>
      <c r="H865">
        <v>183522.35</v>
      </c>
      <c r="I865" t="s">
        <v>1726</v>
      </c>
      <c r="J865">
        <v>991.41</v>
      </c>
      <c r="K865">
        <v>148711.5</v>
      </c>
      <c r="L865">
        <v>1654.47</v>
      </c>
      <c r="M865">
        <v>826.53</v>
      </c>
      <c r="N865">
        <v>3956.76</v>
      </c>
      <c r="O865">
        <v>155149.26</v>
      </c>
      <c r="P865">
        <v>34810.85</v>
      </c>
      <c r="Q865">
        <v>28373.09</v>
      </c>
      <c r="R865" t="s">
        <v>65</v>
      </c>
      <c r="S865">
        <v>183522.35</v>
      </c>
      <c r="T865">
        <v>0</v>
      </c>
      <c r="U865" t="s">
        <v>73</v>
      </c>
      <c r="V865" t="s">
        <v>10</v>
      </c>
      <c r="W865" t="s">
        <v>74</v>
      </c>
      <c r="X865" t="s">
        <v>162</v>
      </c>
      <c r="Y865" t="s">
        <v>26</v>
      </c>
      <c r="Z865">
        <v>0.43</v>
      </c>
      <c r="AA865">
        <f t="shared" si="39"/>
        <v>28373.09</v>
      </c>
      <c r="AB865">
        <f t="shared" si="40"/>
        <v>0.15460291348710389</v>
      </c>
      <c r="AC865">
        <f t="shared" si="41"/>
        <v>0</v>
      </c>
      <c r="AD865">
        <v>2025</v>
      </c>
      <c r="AE865">
        <v>1</v>
      </c>
      <c r="AF865" t="s">
        <v>102</v>
      </c>
      <c r="AG865" t="s">
        <v>118</v>
      </c>
    </row>
    <row r="866" spans="1:33">
      <c r="A866" t="s">
        <v>1017</v>
      </c>
      <c r="B866">
        <v>45801</v>
      </c>
      <c r="C866">
        <v>45803</v>
      </c>
      <c r="D866" t="s">
        <v>21</v>
      </c>
      <c r="E866">
        <v>200</v>
      </c>
      <c r="F866">
        <v>815.47</v>
      </c>
      <c r="G866">
        <v>2.13</v>
      </c>
      <c r="H866">
        <v>159620.1</v>
      </c>
      <c r="I866" t="s">
        <v>1727</v>
      </c>
      <c r="J866">
        <v>663.02</v>
      </c>
      <c r="K866">
        <v>132604</v>
      </c>
      <c r="L866">
        <v>3987.98</v>
      </c>
      <c r="M866">
        <v>636.16999999999996</v>
      </c>
      <c r="N866">
        <v>1436.31</v>
      </c>
      <c r="O866">
        <v>138664.46</v>
      </c>
      <c r="P866">
        <v>27016.1</v>
      </c>
      <c r="Q866">
        <v>20955.64</v>
      </c>
      <c r="R866" t="s">
        <v>65</v>
      </c>
      <c r="S866">
        <v>159620.1</v>
      </c>
      <c r="T866">
        <v>0</v>
      </c>
      <c r="U866" t="s">
        <v>66</v>
      </c>
      <c r="V866" t="s">
        <v>12</v>
      </c>
      <c r="W866" t="s">
        <v>141</v>
      </c>
      <c r="X866" t="s">
        <v>123</v>
      </c>
      <c r="Y866" t="s">
        <v>22</v>
      </c>
      <c r="Z866">
        <v>2.13</v>
      </c>
      <c r="AA866">
        <f t="shared" si="39"/>
        <v>20955.64</v>
      </c>
      <c r="AB866">
        <f t="shared" si="40"/>
        <v>0.13128446856003723</v>
      </c>
      <c r="AC866">
        <f t="shared" si="41"/>
        <v>0</v>
      </c>
      <c r="AD866">
        <v>2025</v>
      </c>
      <c r="AE866">
        <v>5</v>
      </c>
      <c r="AF866" t="s">
        <v>76</v>
      </c>
      <c r="AG866" t="s">
        <v>94</v>
      </c>
    </row>
    <row r="867" spans="1:33">
      <c r="A867" t="s">
        <v>1018</v>
      </c>
      <c r="B867">
        <v>45859</v>
      </c>
      <c r="C867">
        <v>45859</v>
      </c>
      <c r="D867" t="s">
        <v>21</v>
      </c>
      <c r="E867">
        <v>200</v>
      </c>
      <c r="F867">
        <v>869.56</v>
      </c>
      <c r="G867">
        <v>1.98</v>
      </c>
      <c r="H867">
        <v>170468.54</v>
      </c>
      <c r="I867" t="s">
        <v>1726</v>
      </c>
      <c r="J867">
        <v>736.58</v>
      </c>
      <c r="K867">
        <v>147316</v>
      </c>
      <c r="L867">
        <v>3768.42</v>
      </c>
      <c r="M867">
        <v>930.52</v>
      </c>
      <c r="N867">
        <v>4945.8100000000004</v>
      </c>
      <c r="O867">
        <v>156960.75</v>
      </c>
      <c r="P867">
        <v>23152.54</v>
      </c>
      <c r="Q867">
        <v>13507.79</v>
      </c>
      <c r="R867" t="s">
        <v>134</v>
      </c>
      <c r="S867">
        <v>0</v>
      </c>
      <c r="T867">
        <v>170468.54</v>
      </c>
      <c r="U867" t="s">
        <v>73</v>
      </c>
      <c r="V867" t="s">
        <v>8</v>
      </c>
      <c r="W867" t="s">
        <v>74</v>
      </c>
      <c r="X867" t="s">
        <v>239</v>
      </c>
      <c r="Y867" t="s">
        <v>28</v>
      </c>
      <c r="Z867">
        <v>2.4900000000000002</v>
      </c>
      <c r="AA867">
        <f t="shared" si="39"/>
        <v>13507.79</v>
      </c>
      <c r="AB867">
        <f t="shared" si="40"/>
        <v>7.923919568971495E-2</v>
      </c>
      <c r="AC867">
        <f t="shared" si="41"/>
        <v>0</v>
      </c>
      <c r="AD867">
        <v>2025</v>
      </c>
      <c r="AE867">
        <v>7</v>
      </c>
      <c r="AF867" t="s">
        <v>69</v>
      </c>
      <c r="AG867" t="s">
        <v>151</v>
      </c>
    </row>
    <row r="868" spans="1:33">
      <c r="A868" t="s">
        <v>1019</v>
      </c>
      <c r="B868">
        <v>45420</v>
      </c>
      <c r="D868" t="s">
        <v>21</v>
      </c>
      <c r="E868">
        <v>300</v>
      </c>
      <c r="F868">
        <v>853.61</v>
      </c>
      <c r="G868">
        <v>1.52</v>
      </c>
      <c r="H868">
        <v>252190.54</v>
      </c>
      <c r="I868" t="s">
        <v>1727</v>
      </c>
      <c r="J868">
        <v>751.65</v>
      </c>
      <c r="K868">
        <v>225495</v>
      </c>
      <c r="L868">
        <v>5384.26</v>
      </c>
      <c r="M868">
        <v>1002.91</v>
      </c>
      <c r="N868">
        <v>4457.82</v>
      </c>
      <c r="O868">
        <v>236339.99</v>
      </c>
      <c r="P868">
        <v>26695.54</v>
      </c>
      <c r="Q868">
        <v>15850.55</v>
      </c>
      <c r="R868" t="s">
        <v>134</v>
      </c>
      <c r="S868">
        <v>0</v>
      </c>
      <c r="T868">
        <v>252190.54</v>
      </c>
      <c r="U868" t="s">
        <v>91</v>
      </c>
      <c r="V868" t="s">
        <v>8</v>
      </c>
      <c r="W868" t="s">
        <v>80</v>
      </c>
      <c r="X868" t="s">
        <v>75</v>
      </c>
      <c r="Y868" t="s">
        <v>28</v>
      </c>
      <c r="Z868">
        <v>1.41</v>
      </c>
      <c r="AA868">
        <f t="shared" si="39"/>
        <v>15850.55</v>
      </c>
      <c r="AB868">
        <f t="shared" si="40"/>
        <v>6.2851485230175558E-2</v>
      </c>
      <c r="AC868">
        <f t="shared" si="41"/>
        <v>0</v>
      </c>
      <c r="AD868">
        <v>2024</v>
      </c>
      <c r="AE868">
        <v>5</v>
      </c>
      <c r="AF868" t="s">
        <v>76</v>
      </c>
      <c r="AG868" t="s">
        <v>77</v>
      </c>
    </row>
    <row r="869" spans="1:33">
      <c r="A869" t="s">
        <v>1020</v>
      </c>
      <c r="B869">
        <v>45382</v>
      </c>
      <c r="C869">
        <v>45385</v>
      </c>
      <c r="D869" t="s">
        <v>23</v>
      </c>
      <c r="E869">
        <v>150</v>
      </c>
      <c r="F869">
        <v>1387.35</v>
      </c>
      <c r="G869">
        <v>0.53</v>
      </c>
      <c r="H869">
        <v>206999.56</v>
      </c>
      <c r="I869" t="s">
        <v>1729</v>
      </c>
      <c r="J869">
        <v>1070.0899999999999</v>
      </c>
      <c r="K869">
        <v>160513.5</v>
      </c>
      <c r="L869">
        <v>2285.96</v>
      </c>
      <c r="M869">
        <v>478.21</v>
      </c>
      <c r="N869">
        <v>10514.44</v>
      </c>
      <c r="O869">
        <v>173792.11</v>
      </c>
      <c r="P869">
        <v>46486.06</v>
      </c>
      <c r="Q869">
        <v>33207.449999999997</v>
      </c>
      <c r="R869" t="s">
        <v>65</v>
      </c>
      <c r="S869">
        <v>206999.56</v>
      </c>
      <c r="T869">
        <v>0</v>
      </c>
      <c r="U869" t="s">
        <v>66</v>
      </c>
      <c r="V869" t="s">
        <v>6</v>
      </c>
      <c r="W869" t="s">
        <v>67</v>
      </c>
      <c r="X869" t="s">
        <v>123</v>
      </c>
      <c r="Y869" t="s">
        <v>22</v>
      </c>
      <c r="Z869">
        <v>1.75</v>
      </c>
      <c r="AA869">
        <f t="shared" si="39"/>
        <v>33207.449999999997</v>
      </c>
      <c r="AB869">
        <f t="shared" si="40"/>
        <v>0.16042280476344972</v>
      </c>
      <c r="AC869">
        <f t="shared" si="41"/>
        <v>0</v>
      </c>
      <c r="AD869">
        <v>2024</v>
      </c>
      <c r="AE869">
        <v>3</v>
      </c>
      <c r="AF869" t="s">
        <v>105</v>
      </c>
      <c r="AG869" t="s">
        <v>120</v>
      </c>
    </row>
    <row r="870" spans="1:33">
      <c r="A870" t="s">
        <v>1021</v>
      </c>
      <c r="B870">
        <v>45435</v>
      </c>
      <c r="C870">
        <v>45436</v>
      </c>
      <c r="D870" t="s">
        <v>23</v>
      </c>
      <c r="E870">
        <v>500</v>
      </c>
      <c r="F870">
        <v>1217.02</v>
      </c>
      <c r="G870">
        <v>2.84</v>
      </c>
      <c r="H870">
        <v>591228.31999999995</v>
      </c>
      <c r="I870" t="s">
        <v>1727</v>
      </c>
      <c r="J870">
        <v>996.84</v>
      </c>
      <c r="K870">
        <v>498420</v>
      </c>
      <c r="L870">
        <v>5313.86</v>
      </c>
      <c r="M870">
        <v>2092.46</v>
      </c>
      <c r="N870">
        <v>10114.48</v>
      </c>
      <c r="O870">
        <v>515940.8</v>
      </c>
      <c r="P870">
        <v>92808.320000000007</v>
      </c>
      <c r="Q870">
        <v>75287.520000000004</v>
      </c>
      <c r="R870" t="s">
        <v>65</v>
      </c>
      <c r="S870">
        <v>591228.31999999995</v>
      </c>
      <c r="T870">
        <v>0</v>
      </c>
      <c r="U870" t="s">
        <v>66</v>
      </c>
      <c r="V870" t="s">
        <v>12</v>
      </c>
      <c r="W870" t="s">
        <v>74</v>
      </c>
      <c r="X870" t="s">
        <v>101</v>
      </c>
      <c r="Y870" t="s">
        <v>22</v>
      </c>
      <c r="Z870">
        <v>1.38</v>
      </c>
      <c r="AA870">
        <f t="shared" si="39"/>
        <v>75287.520000000004</v>
      </c>
      <c r="AB870">
        <f t="shared" si="40"/>
        <v>0.12734085539068901</v>
      </c>
      <c r="AC870">
        <f t="shared" si="41"/>
        <v>0</v>
      </c>
      <c r="AD870">
        <v>2024</v>
      </c>
      <c r="AE870">
        <v>5</v>
      </c>
      <c r="AF870" t="s">
        <v>76</v>
      </c>
      <c r="AG870" t="s">
        <v>77</v>
      </c>
    </row>
    <row r="871" spans="1:33">
      <c r="A871" t="s">
        <v>1022</v>
      </c>
      <c r="B871">
        <v>45786</v>
      </c>
      <c r="C871">
        <v>45799</v>
      </c>
      <c r="D871" t="s">
        <v>23</v>
      </c>
      <c r="E871">
        <v>300</v>
      </c>
      <c r="F871">
        <v>1288.47</v>
      </c>
      <c r="G871">
        <v>0.84</v>
      </c>
      <c r="H871">
        <v>383294.06</v>
      </c>
      <c r="I871" t="s">
        <v>1728</v>
      </c>
      <c r="J871">
        <v>1042.9000000000001</v>
      </c>
      <c r="K871">
        <v>312870</v>
      </c>
      <c r="L871">
        <v>6745.5</v>
      </c>
      <c r="M871">
        <v>1087.57</v>
      </c>
      <c r="N871">
        <v>2654.35</v>
      </c>
      <c r="O871">
        <v>323357.42</v>
      </c>
      <c r="P871">
        <v>70424.06</v>
      </c>
      <c r="Q871">
        <v>59936.639999999999</v>
      </c>
      <c r="R871" t="s">
        <v>85</v>
      </c>
      <c r="S871">
        <v>177112.43</v>
      </c>
      <c r="T871">
        <v>206181.63</v>
      </c>
      <c r="U871" t="s">
        <v>66</v>
      </c>
      <c r="V871" t="s">
        <v>12</v>
      </c>
      <c r="W871" t="s">
        <v>141</v>
      </c>
      <c r="X871" t="s">
        <v>205</v>
      </c>
      <c r="Y871" t="s">
        <v>24</v>
      </c>
      <c r="Z871">
        <v>0.44</v>
      </c>
      <c r="AA871">
        <f t="shared" si="39"/>
        <v>59936.639999999999</v>
      </c>
      <c r="AB871">
        <f t="shared" si="40"/>
        <v>0.15637247287369913</v>
      </c>
      <c r="AC871">
        <f t="shared" si="41"/>
        <v>0</v>
      </c>
      <c r="AD871">
        <v>2025</v>
      </c>
      <c r="AE871">
        <v>5</v>
      </c>
      <c r="AF871" t="s">
        <v>76</v>
      </c>
      <c r="AG871" t="s">
        <v>94</v>
      </c>
    </row>
    <row r="872" spans="1:33">
      <c r="A872" t="s">
        <v>1023</v>
      </c>
      <c r="B872">
        <v>45342</v>
      </c>
      <c r="C872">
        <v>45342</v>
      </c>
      <c r="D872" t="s">
        <v>21</v>
      </c>
      <c r="E872">
        <v>150</v>
      </c>
      <c r="F872">
        <v>883.79</v>
      </c>
      <c r="G872">
        <v>1.1399999999999999</v>
      </c>
      <c r="H872">
        <v>131057.22</v>
      </c>
      <c r="I872" t="s">
        <v>1726</v>
      </c>
      <c r="J872">
        <v>711.27</v>
      </c>
      <c r="K872">
        <v>106690.5</v>
      </c>
      <c r="L872">
        <v>2717.07</v>
      </c>
      <c r="M872">
        <v>671.15</v>
      </c>
      <c r="N872">
        <v>438.86</v>
      </c>
      <c r="O872">
        <v>110517.58</v>
      </c>
      <c r="P872">
        <v>24366.720000000001</v>
      </c>
      <c r="Q872">
        <v>20539.64</v>
      </c>
      <c r="R872" t="s">
        <v>65</v>
      </c>
      <c r="S872">
        <v>131057.22</v>
      </c>
      <c r="T872">
        <v>0</v>
      </c>
      <c r="U872" t="s">
        <v>73</v>
      </c>
      <c r="V872" t="s">
        <v>8</v>
      </c>
      <c r="W872" t="s">
        <v>141</v>
      </c>
      <c r="X872" t="s">
        <v>93</v>
      </c>
      <c r="Y872" t="s">
        <v>26</v>
      </c>
      <c r="Z872">
        <v>1.65</v>
      </c>
      <c r="AA872">
        <f t="shared" si="39"/>
        <v>20539.64</v>
      </c>
      <c r="AB872">
        <f t="shared" si="40"/>
        <v>0.15672268952446877</v>
      </c>
      <c r="AC872">
        <f t="shared" si="41"/>
        <v>0</v>
      </c>
      <c r="AD872">
        <v>2024</v>
      </c>
      <c r="AE872">
        <v>2</v>
      </c>
      <c r="AF872" t="s">
        <v>172</v>
      </c>
      <c r="AG872" t="s">
        <v>173</v>
      </c>
    </row>
    <row r="873" spans="1:33">
      <c r="A873" t="s">
        <v>1024</v>
      </c>
      <c r="B873">
        <v>45536</v>
      </c>
      <c r="C873">
        <v>45542</v>
      </c>
      <c r="D873" t="s">
        <v>23</v>
      </c>
      <c r="E873">
        <v>300</v>
      </c>
      <c r="F873">
        <v>1306.51</v>
      </c>
      <c r="G873">
        <v>2.17</v>
      </c>
      <c r="H873">
        <v>383447.62</v>
      </c>
      <c r="I873" t="s">
        <v>1726</v>
      </c>
      <c r="J873">
        <v>1029.01</v>
      </c>
      <c r="K873">
        <v>308703</v>
      </c>
      <c r="L873">
        <v>6807.63</v>
      </c>
      <c r="M873">
        <v>933.96</v>
      </c>
      <c r="N873">
        <v>11101.63</v>
      </c>
      <c r="O873">
        <v>327546.21999999997</v>
      </c>
      <c r="P873">
        <v>74744.62</v>
      </c>
      <c r="Q873">
        <v>55901.4</v>
      </c>
      <c r="R873" t="s">
        <v>65</v>
      </c>
      <c r="S873">
        <v>383447.62</v>
      </c>
      <c r="T873">
        <v>0</v>
      </c>
      <c r="U873" t="s">
        <v>73</v>
      </c>
      <c r="V873" t="s">
        <v>6</v>
      </c>
      <c r="W873" t="s">
        <v>80</v>
      </c>
      <c r="X873" t="s">
        <v>101</v>
      </c>
      <c r="Y873" t="s">
        <v>22</v>
      </c>
      <c r="Z873">
        <v>0.2</v>
      </c>
      <c r="AA873">
        <f t="shared" si="39"/>
        <v>55901.4</v>
      </c>
      <c r="AB873">
        <f t="shared" si="40"/>
        <v>0.14578627453731491</v>
      </c>
      <c r="AC873">
        <f t="shared" si="41"/>
        <v>0</v>
      </c>
      <c r="AD873">
        <v>2024</v>
      </c>
      <c r="AE873">
        <v>9</v>
      </c>
      <c r="AF873" t="s">
        <v>131</v>
      </c>
      <c r="AG873" t="s">
        <v>188</v>
      </c>
    </row>
    <row r="874" spans="1:33">
      <c r="A874" t="s">
        <v>1025</v>
      </c>
      <c r="B874">
        <v>45626</v>
      </c>
      <c r="C874">
        <v>45638</v>
      </c>
      <c r="D874" t="s">
        <v>21</v>
      </c>
      <c r="E874">
        <v>500</v>
      </c>
      <c r="F874">
        <v>928.42</v>
      </c>
      <c r="G874">
        <v>0.08</v>
      </c>
      <c r="H874">
        <v>463838.63</v>
      </c>
      <c r="I874" t="s">
        <v>1729</v>
      </c>
      <c r="J874">
        <v>697.61</v>
      </c>
      <c r="K874">
        <v>348805</v>
      </c>
      <c r="L874">
        <v>4872.8900000000003</v>
      </c>
      <c r="M874">
        <v>1180.1400000000001</v>
      </c>
      <c r="N874">
        <v>8067.68</v>
      </c>
      <c r="O874">
        <v>362925.71</v>
      </c>
      <c r="P874">
        <v>115033.63</v>
      </c>
      <c r="Q874">
        <v>100912.92</v>
      </c>
      <c r="R874" t="s">
        <v>65</v>
      </c>
      <c r="S874">
        <v>463838.63</v>
      </c>
      <c r="T874">
        <v>0</v>
      </c>
      <c r="U874" t="s">
        <v>66</v>
      </c>
      <c r="V874" t="s">
        <v>6</v>
      </c>
      <c r="W874" t="s">
        <v>92</v>
      </c>
      <c r="X874" t="s">
        <v>93</v>
      </c>
      <c r="Y874" t="s">
        <v>26</v>
      </c>
      <c r="Z874">
        <v>0.09</v>
      </c>
      <c r="AA874">
        <f t="shared" si="39"/>
        <v>100912.92</v>
      </c>
      <c r="AB874">
        <f t="shared" si="40"/>
        <v>0.2175604045743236</v>
      </c>
      <c r="AC874">
        <f t="shared" si="41"/>
        <v>0</v>
      </c>
      <c r="AD874">
        <v>2024</v>
      </c>
      <c r="AE874">
        <v>11</v>
      </c>
      <c r="AF874" t="s">
        <v>128</v>
      </c>
      <c r="AG874" t="s">
        <v>129</v>
      </c>
    </row>
    <row r="875" spans="1:33">
      <c r="A875" t="s">
        <v>1026</v>
      </c>
      <c r="B875">
        <v>45385</v>
      </c>
      <c r="C875">
        <v>45387</v>
      </c>
      <c r="D875" t="s">
        <v>27</v>
      </c>
      <c r="E875">
        <v>300</v>
      </c>
      <c r="F875">
        <v>762.43</v>
      </c>
      <c r="G875">
        <v>0.7</v>
      </c>
      <c r="H875">
        <v>227127.9</v>
      </c>
      <c r="I875" t="s">
        <v>1727</v>
      </c>
      <c r="J875">
        <v>591.04</v>
      </c>
      <c r="K875">
        <v>177312</v>
      </c>
      <c r="L875">
        <v>1935.68</v>
      </c>
      <c r="M875">
        <v>1266.73</v>
      </c>
      <c r="N875">
        <v>3184.16</v>
      </c>
      <c r="O875">
        <v>183698.57</v>
      </c>
      <c r="P875">
        <v>49815.9</v>
      </c>
      <c r="Q875">
        <v>43429.33</v>
      </c>
      <c r="R875" t="s">
        <v>134</v>
      </c>
      <c r="S875">
        <v>0</v>
      </c>
      <c r="T875">
        <v>227127.9</v>
      </c>
      <c r="U875" t="s">
        <v>66</v>
      </c>
      <c r="V875" t="s">
        <v>16</v>
      </c>
      <c r="W875" t="s">
        <v>74</v>
      </c>
      <c r="X875" t="s">
        <v>115</v>
      </c>
      <c r="Y875" t="s">
        <v>22</v>
      </c>
      <c r="Z875">
        <v>1.1399999999999999</v>
      </c>
      <c r="AA875">
        <f t="shared" si="39"/>
        <v>43429.33</v>
      </c>
      <c r="AB875">
        <f t="shared" si="40"/>
        <v>0.19121089923342752</v>
      </c>
      <c r="AC875">
        <f t="shared" si="41"/>
        <v>0</v>
      </c>
      <c r="AD875">
        <v>2024</v>
      </c>
      <c r="AE875">
        <v>4</v>
      </c>
      <c r="AF875" t="s">
        <v>154</v>
      </c>
      <c r="AG875" t="s">
        <v>157</v>
      </c>
    </row>
    <row r="876" spans="1:33">
      <c r="A876" t="s">
        <v>1027</v>
      </c>
      <c r="B876">
        <v>45946</v>
      </c>
      <c r="C876">
        <v>45947</v>
      </c>
      <c r="D876" t="s">
        <v>21</v>
      </c>
      <c r="E876">
        <v>500</v>
      </c>
      <c r="F876">
        <v>895.25</v>
      </c>
      <c r="G876">
        <v>2.5099999999999998</v>
      </c>
      <c r="H876">
        <v>436389.61</v>
      </c>
      <c r="I876" t="s">
        <v>1726</v>
      </c>
      <c r="J876">
        <v>686.98</v>
      </c>
      <c r="K876">
        <v>343490</v>
      </c>
      <c r="L876">
        <v>6923.39</v>
      </c>
      <c r="M876">
        <v>2513.87</v>
      </c>
      <c r="N876">
        <v>10732.37</v>
      </c>
      <c r="O876">
        <v>363659.63</v>
      </c>
      <c r="P876">
        <v>92899.61</v>
      </c>
      <c r="Q876">
        <v>72729.98</v>
      </c>
      <c r="R876" t="s">
        <v>65</v>
      </c>
      <c r="S876">
        <v>436389.61</v>
      </c>
      <c r="T876">
        <v>0</v>
      </c>
      <c r="U876" t="s">
        <v>66</v>
      </c>
      <c r="V876" t="s">
        <v>6</v>
      </c>
      <c r="W876" t="s">
        <v>74</v>
      </c>
      <c r="X876" t="s">
        <v>115</v>
      </c>
      <c r="Y876" t="s">
        <v>22</v>
      </c>
      <c r="Z876">
        <v>1.05</v>
      </c>
      <c r="AA876">
        <f t="shared" si="39"/>
        <v>72729.98</v>
      </c>
      <c r="AB876">
        <f t="shared" si="40"/>
        <v>0.16666295056841524</v>
      </c>
      <c r="AC876">
        <f t="shared" si="41"/>
        <v>0</v>
      </c>
      <c r="AD876">
        <v>2025</v>
      </c>
      <c r="AE876">
        <v>10</v>
      </c>
      <c r="AF876" t="s">
        <v>138</v>
      </c>
      <c r="AG876" t="s">
        <v>160</v>
      </c>
    </row>
    <row r="877" spans="1:33">
      <c r="A877" t="s">
        <v>1028</v>
      </c>
      <c r="B877">
        <v>45986</v>
      </c>
      <c r="C877">
        <v>45994</v>
      </c>
      <c r="D877" t="s">
        <v>21</v>
      </c>
      <c r="E877">
        <v>100</v>
      </c>
      <c r="F877">
        <v>919.56</v>
      </c>
      <c r="G877">
        <v>0.21</v>
      </c>
      <c r="H877">
        <v>91762.89</v>
      </c>
      <c r="I877" t="s">
        <v>1727</v>
      </c>
      <c r="J877">
        <v>710.56</v>
      </c>
      <c r="K877">
        <v>71056</v>
      </c>
      <c r="L877">
        <v>1706.67</v>
      </c>
      <c r="M877">
        <v>575.52</v>
      </c>
      <c r="N877">
        <v>5127.88</v>
      </c>
      <c r="O877">
        <v>78466.070000000007</v>
      </c>
      <c r="P877">
        <v>20706.89</v>
      </c>
      <c r="Q877">
        <v>13296.82</v>
      </c>
      <c r="R877" t="s">
        <v>65</v>
      </c>
      <c r="S877">
        <v>91762.89</v>
      </c>
      <c r="T877">
        <v>0</v>
      </c>
      <c r="U877" t="s">
        <v>73</v>
      </c>
      <c r="V877" t="s">
        <v>12</v>
      </c>
      <c r="W877" t="s">
        <v>74</v>
      </c>
      <c r="X877" t="s">
        <v>327</v>
      </c>
      <c r="Y877" t="s">
        <v>26</v>
      </c>
      <c r="Z877">
        <v>1.08</v>
      </c>
      <c r="AA877">
        <f t="shared" si="39"/>
        <v>13296.82</v>
      </c>
      <c r="AB877">
        <f t="shared" si="40"/>
        <v>0.14490411101917125</v>
      </c>
      <c r="AC877">
        <f t="shared" si="41"/>
        <v>0</v>
      </c>
      <c r="AD877">
        <v>2025</v>
      </c>
      <c r="AE877">
        <v>11</v>
      </c>
      <c r="AF877" t="s">
        <v>128</v>
      </c>
      <c r="AG877" t="s">
        <v>135</v>
      </c>
    </row>
    <row r="878" spans="1:33">
      <c r="A878" t="s">
        <v>1029</v>
      </c>
      <c r="B878">
        <v>45418</v>
      </c>
      <c r="C878">
        <v>45425</v>
      </c>
      <c r="D878" t="s">
        <v>23</v>
      </c>
      <c r="E878">
        <v>750</v>
      </c>
      <c r="F878">
        <v>1317.69</v>
      </c>
      <c r="G878">
        <v>0.2</v>
      </c>
      <c r="H878">
        <v>986290.96</v>
      </c>
      <c r="I878" t="s">
        <v>1728</v>
      </c>
      <c r="J878">
        <v>970.83</v>
      </c>
      <c r="K878">
        <v>728122.5</v>
      </c>
      <c r="L878">
        <v>8368.93</v>
      </c>
      <c r="M878">
        <v>1356.37</v>
      </c>
      <c r="N878">
        <v>5457.63</v>
      </c>
      <c r="O878">
        <v>743305.43</v>
      </c>
      <c r="P878">
        <v>258168.46</v>
      </c>
      <c r="Q878">
        <v>242985.53</v>
      </c>
      <c r="R878" t="s">
        <v>85</v>
      </c>
      <c r="S878">
        <v>818909.91</v>
      </c>
      <c r="T878">
        <v>167381.04999999999</v>
      </c>
      <c r="U878" t="s">
        <v>73</v>
      </c>
      <c r="V878" t="s">
        <v>12</v>
      </c>
      <c r="W878" t="s">
        <v>80</v>
      </c>
      <c r="X878" t="s">
        <v>86</v>
      </c>
      <c r="Y878" t="s">
        <v>30</v>
      </c>
      <c r="Z878">
        <v>1.9</v>
      </c>
      <c r="AA878">
        <f t="shared" si="39"/>
        <v>242985.53</v>
      </c>
      <c r="AB878">
        <f t="shared" si="40"/>
        <v>0.24636292925162775</v>
      </c>
      <c r="AC878">
        <f t="shared" si="41"/>
        <v>0</v>
      </c>
      <c r="AD878">
        <v>2024</v>
      </c>
      <c r="AE878">
        <v>5</v>
      </c>
      <c r="AF878" t="s">
        <v>76</v>
      </c>
      <c r="AG878" t="s">
        <v>77</v>
      </c>
    </row>
    <row r="879" spans="1:33">
      <c r="A879" t="s">
        <v>1030</v>
      </c>
      <c r="B879">
        <v>45679</v>
      </c>
      <c r="D879" t="s">
        <v>23</v>
      </c>
      <c r="E879">
        <v>200</v>
      </c>
      <c r="F879">
        <v>1319.88</v>
      </c>
      <c r="G879">
        <v>1.39</v>
      </c>
      <c r="H879">
        <v>0</v>
      </c>
      <c r="I879" t="s">
        <v>1727</v>
      </c>
      <c r="J879">
        <v>972.46</v>
      </c>
      <c r="K879">
        <v>0</v>
      </c>
      <c r="L879">
        <v>0</v>
      </c>
      <c r="M879">
        <v>0</v>
      </c>
      <c r="N879">
        <v>0</v>
      </c>
      <c r="O879">
        <v>0</v>
      </c>
      <c r="P879">
        <v>0</v>
      </c>
      <c r="Q879">
        <v>0</v>
      </c>
      <c r="R879" t="s">
        <v>134</v>
      </c>
      <c r="S879">
        <v>0</v>
      </c>
      <c r="T879">
        <v>0</v>
      </c>
      <c r="U879" t="s">
        <v>117</v>
      </c>
      <c r="V879" t="s">
        <v>14</v>
      </c>
      <c r="W879" t="s">
        <v>74</v>
      </c>
      <c r="X879" t="s">
        <v>97</v>
      </c>
      <c r="Y879" t="s">
        <v>24</v>
      </c>
      <c r="Z879">
        <v>1.63</v>
      </c>
      <c r="AA879">
        <f t="shared" si="39"/>
        <v>0</v>
      </c>
      <c r="AB879" t="e">
        <f t="shared" si="40"/>
        <v>#DIV/0!</v>
      </c>
      <c r="AC879">
        <f t="shared" si="41"/>
        <v>0</v>
      </c>
      <c r="AD879">
        <v>2025</v>
      </c>
      <c r="AE879">
        <v>1</v>
      </c>
      <c r="AF879" t="s">
        <v>102</v>
      </c>
      <c r="AG879" t="s">
        <v>118</v>
      </c>
    </row>
    <row r="880" spans="1:33">
      <c r="A880" t="s">
        <v>1031</v>
      </c>
      <c r="B880">
        <v>45886</v>
      </c>
      <c r="C880">
        <v>45899</v>
      </c>
      <c r="D880" t="s">
        <v>21</v>
      </c>
      <c r="E880">
        <v>500</v>
      </c>
      <c r="F880">
        <v>912.46</v>
      </c>
      <c r="G880">
        <v>2.98</v>
      </c>
      <c r="H880">
        <v>442634.35</v>
      </c>
      <c r="I880" t="s">
        <v>1727</v>
      </c>
      <c r="J880">
        <v>717.25</v>
      </c>
      <c r="K880">
        <v>358625</v>
      </c>
      <c r="L880">
        <v>3539.75</v>
      </c>
      <c r="M880">
        <v>2613.37</v>
      </c>
      <c r="N880">
        <v>6609.66</v>
      </c>
      <c r="O880">
        <v>371387.78</v>
      </c>
      <c r="P880">
        <v>84009.35</v>
      </c>
      <c r="Q880">
        <v>71246.570000000007</v>
      </c>
      <c r="R880" t="s">
        <v>65</v>
      </c>
      <c r="S880">
        <v>442634.35</v>
      </c>
      <c r="T880">
        <v>0</v>
      </c>
      <c r="U880" t="s">
        <v>73</v>
      </c>
      <c r="V880" t="s">
        <v>8</v>
      </c>
      <c r="W880" t="s">
        <v>80</v>
      </c>
      <c r="X880" t="s">
        <v>108</v>
      </c>
      <c r="Y880" t="s">
        <v>22</v>
      </c>
      <c r="Z880">
        <v>0.27</v>
      </c>
      <c r="AA880">
        <f t="shared" si="39"/>
        <v>71246.570000000007</v>
      </c>
      <c r="AB880">
        <f t="shared" si="40"/>
        <v>0.16096032763837695</v>
      </c>
      <c r="AC880">
        <f t="shared" si="41"/>
        <v>0</v>
      </c>
      <c r="AD880">
        <v>2025</v>
      </c>
      <c r="AE880">
        <v>8</v>
      </c>
      <c r="AF880" t="s">
        <v>82</v>
      </c>
      <c r="AG880" t="s">
        <v>87</v>
      </c>
    </row>
    <row r="881" spans="1:33">
      <c r="A881" t="s">
        <v>1032</v>
      </c>
      <c r="B881">
        <v>45298</v>
      </c>
      <c r="C881">
        <v>45303</v>
      </c>
      <c r="D881" t="s">
        <v>23</v>
      </c>
      <c r="E881">
        <v>200</v>
      </c>
      <c r="F881">
        <v>1296.69</v>
      </c>
      <c r="G881">
        <v>2.4300000000000002</v>
      </c>
      <c r="H881">
        <v>253036.09</v>
      </c>
      <c r="I881" t="s">
        <v>1726</v>
      </c>
      <c r="J881">
        <v>1071.76</v>
      </c>
      <c r="K881">
        <v>214352</v>
      </c>
      <c r="L881">
        <v>2888.53</v>
      </c>
      <c r="M881">
        <v>850.92</v>
      </c>
      <c r="N881">
        <v>6200.44</v>
      </c>
      <c r="O881">
        <v>224291.89</v>
      </c>
      <c r="P881">
        <v>38684.089999999997</v>
      </c>
      <c r="Q881">
        <v>28744.2</v>
      </c>
      <c r="R881" t="s">
        <v>65</v>
      </c>
      <c r="S881">
        <v>253036.09</v>
      </c>
      <c r="T881">
        <v>0</v>
      </c>
      <c r="U881" t="s">
        <v>73</v>
      </c>
      <c r="V881" t="s">
        <v>6</v>
      </c>
      <c r="W881" t="s">
        <v>141</v>
      </c>
      <c r="X881" t="s">
        <v>108</v>
      </c>
      <c r="Y881" t="s">
        <v>22</v>
      </c>
      <c r="Z881">
        <v>1.64</v>
      </c>
      <c r="AA881">
        <f t="shared" si="39"/>
        <v>28744.2</v>
      </c>
      <c r="AB881">
        <f t="shared" si="40"/>
        <v>0.11359723429175657</v>
      </c>
      <c r="AC881">
        <f t="shared" si="41"/>
        <v>0</v>
      </c>
      <c r="AD881">
        <v>2024</v>
      </c>
      <c r="AE881">
        <v>1</v>
      </c>
      <c r="AF881" t="s">
        <v>102</v>
      </c>
      <c r="AG881" t="s">
        <v>103</v>
      </c>
    </row>
    <row r="882" spans="1:33">
      <c r="A882" t="s">
        <v>1033</v>
      </c>
      <c r="B882">
        <v>45946</v>
      </c>
      <c r="C882">
        <v>45953</v>
      </c>
      <c r="D882" t="s">
        <v>21</v>
      </c>
      <c r="E882">
        <v>300</v>
      </c>
      <c r="F882">
        <v>905.49</v>
      </c>
      <c r="G882">
        <v>2.21</v>
      </c>
      <c r="H882">
        <v>265643.59999999998</v>
      </c>
      <c r="I882" t="s">
        <v>1726</v>
      </c>
      <c r="J882">
        <v>729.66</v>
      </c>
      <c r="K882">
        <v>218898</v>
      </c>
      <c r="L882">
        <v>5627.19</v>
      </c>
      <c r="M882">
        <v>1698.62</v>
      </c>
      <c r="N882">
        <v>4683.43</v>
      </c>
      <c r="O882">
        <v>230907.24</v>
      </c>
      <c r="P882">
        <v>46745.599999999999</v>
      </c>
      <c r="Q882">
        <v>34736.36</v>
      </c>
      <c r="R882" t="s">
        <v>65</v>
      </c>
      <c r="S882">
        <v>265643.59999999998</v>
      </c>
      <c r="T882">
        <v>0</v>
      </c>
      <c r="U882" t="s">
        <v>66</v>
      </c>
      <c r="V882" t="s">
        <v>12</v>
      </c>
      <c r="W882" t="s">
        <v>141</v>
      </c>
      <c r="X882" t="s">
        <v>285</v>
      </c>
      <c r="Y882" t="s">
        <v>28</v>
      </c>
      <c r="Z882">
        <v>1.44</v>
      </c>
      <c r="AA882">
        <f t="shared" si="39"/>
        <v>34736.36</v>
      </c>
      <c r="AB882">
        <f t="shared" si="40"/>
        <v>0.13076302233518897</v>
      </c>
      <c r="AC882">
        <f t="shared" si="41"/>
        <v>0</v>
      </c>
      <c r="AD882">
        <v>2025</v>
      </c>
      <c r="AE882">
        <v>10</v>
      </c>
      <c r="AF882" t="s">
        <v>138</v>
      </c>
      <c r="AG882" t="s">
        <v>160</v>
      </c>
    </row>
    <row r="883" spans="1:33">
      <c r="A883" t="s">
        <v>1034</v>
      </c>
      <c r="B883">
        <v>45550</v>
      </c>
      <c r="C883">
        <v>45554</v>
      </c>
      <c r="D883" t="s">
        <v>21</v>
      </c>
      <c r="E883">
        <v>750</v>
      </c>
      <c r="F883">
        <v>844.55</v>
      </c>
      <c r="G883">
        <v>4.0999999999999996</v>
      </c>
      <c r="H883">
        <v>607442.59</v>
      </c>
      <c r="I883" t="s">
        <v>1728</v>
      </c>
      <c r="J883">
        <v>711.6</v>
      </c>
      <c r="K883">
        <v>533700</v>
      </c>
      <c r="L883">
        <v>6641.9</v>
      </c>
      <c r="M883">
        <v>3753.97</v>
      </c>
      <c r="N883">
        <v>3009.63</v>
      </c>
      <c r="O883">
        <v>547105.5</v>
      </c>
      <c r="P883">
        <v>73742.59</v>
      </c>
      <c r="Q883">
        <v>60337.09</v>
      </c>
      <c r="R883" t="s">
        <v>65</v>
      </c>
      <c r="S883">
        <v>607442.59</v>
      </c>
      <c r="T883">
        <v>0</v>
      </c>
      <c r="U883" t="s">
        <v>73</v>
      </c>
      <c r="V883" t="s">
        <v>16</v>
      </c>
      <c r="W883" t="s">
        <v>67</v>
      </c>
      <c r="X883" t="s">
        <v>108</v>
      </c>
      <c r="Y883" t="s">
        <v>22</v>
      </c>
      <c r="Z883">
        <v>0.09</v>
      </c>
      <c r="AA883">
        <f t="shared" si="39"/>
        <v>60337.09</v>
      </c>
      <c r="AB883">
        <f t="shared" si="40"/>
        <v>9.9329699618197667E-2</v>
      </c>
      <c r="AC883">
        <f t="shared" si="41"/>
        <v>0</v>
      </c>
      <c r="AD883">
        <v>2024</v>
      </c>
      <c r="AE883">
        <v>9</v>
      </c>
      <c r="AF883" t="s">
        <v>131</v>
      </c>
      <c r="AG883" t="s">
        <v>188</v>
      </c>
    </row>
    <row r="884" spans="1:33">
      <c r="A884" t="s">
        <v>1035</v>
      </c>
      <c r="B884">
        <v>45354</v>
      </c>
      <c r="C884">
        <v>45361</v>
      </c>
      <c r="D884" t="s">
        <v>25</v>
      </c>
      <c r="E884">
        <v>200</v>
      </c>
      <c r="F884">
        <v>971.56</v>
      </c>
      <c r="G884">
        <v>1.56</v>
      </c>
      <c r="H884">
        <v>191280.73</v>
      </c>
      <c r="I884" t="s">
        <v>1726</v>
      </c>
      <c r="J884">
        <v>762.08</v>
      </c>
      <c r="K884">
        <v>152416</v>
      </c>
      <c r="L884">
        <v>2366.4899999999998</v>
      </c>
      <c r="M884">
        <v>974.99</v>
      </c>
      <c r="N884">
        <v>11136.22</v>
      </c>
      <c r="O884">
        <v>166893.70000000001</v>
      </c>
      <c r="P884">
        <v>38864.730000000003</v>
      </c>
      <c r="Q884">
        <v>24387.03</v>
      </c>
      <c r="R884" t="s">
        <v>65</v>
      </c>
      <c r="S884">
        <v>191280.73</v>
      </c>
      <c r="T884">
        <v>0</v>
      </c>
      <c r="U884" t="s">
        <v>66</v>
      </c>
      <c r="V884" t="s">
        <v>6</v>
      </c>
      <c r="W884" t="s">
        <v>74</v>
      </c>
      <c r="X884" t="s">
        <v>108</v>
      </c>
      <c r="Y884" t="s">
        <v>22</v>
      </c>
      <c r="Z884">
        <v>1.31</v>
      </c>
      <c r="AA884">
        <f t="shared" si="39"/>
        <v>24387.03</v>
      </c>
      <c r="AB884">
        <f t="shared" si="40"/>
        <v>0.12749339674728341</v>
      </c>
      <c r="AC884">
        <f t="shared" si="41"/>
        <v>0</v>
      </c>
      <c r="AD884">
        <v>2024</v>
      </c>
      <c r="AE884">
        <v>3</v>
      </c>
      <c r="AF884" t="s">
        <v>105</v>
      </c>
      <c r="AG884" t="s">
        <v>120</v>
      </c>
    </row>
    <row r="885" spans="1:33">
      <c r="A885" t="s">
        <v>1036</v>
      </c>
      <c r="B885">
        <v>45816</v>
      </c>
      <c r="C885">
        <v>45819</v>
      </c>
      <c r="D885" t="s">
        <v>21</v>
      </c>
      <c r="E885">
        <v>1000</v>
      </c>
      <c r="F885">
        <v>834.71</v>
      </c>
      <c r="G885">
        <v>4.76</v>
      </c>
      <c r="H885">
        <v>794977.8</v>
      </c>
      <c r="I885" t="s">
        <v>1728</v>
      </c>
      <c r="J885">
        <v>698.03</v>
      </c>
      <c r="K885">
        <v>698030</v>
      </c>
      <c r="L885">
        <v>9192.06</v>
      </c>
      <c r="M885">
        <v>2188.66</v>
      </c>
      <c r="N885">
        <v>4789.93</v>
      </c>
      <c r="O885">
        <v>714200.65</v>
      </c>
      <c r="P885">
        <v>96947.8</v>
      </c>
      <c r="Q885">
        <v>80777.149999999994</v>
      </c>
      <c r="R885" t="s">
        <v>65</v>
      </c>
      <c r="S885">
        <v>794977.8</v>
      </c>
      <c r="T885">
        <v>0</v>
      </c>
      <c r="U885" t="s">
        <v>66</v>
      </c>
      <c r="V885" t="s">
        <v>6</v>
      </c>
      <c r="W885" t="s">
        <v>74</v>
      </c>
      <c r="X885" t="s">
        <v>81</v>
      </c>
      <c r="Y885" t="s">
        <v>24</v>
      </c>
      <c r="Z885">
        <v>2.2599999999999998</v>
      </c>
      <c r="AA885">
        <f t="shared" si="39"/>
        <v>80777.149999999994</v>
      </c>
      <c r="AB885">
        <f t="shared" si="40"/>
        <v>0.10160931537962442</v>
      </c>
      <c r="AC885">
        <f t="shared" si="41"/>
        <v>0</v>
      </c>
      <c r="AD885">
        <v>2025</v>
      </c>
      <c r="AE885">
        <v>6</v>
      </c>
      <c r="AF885" t="s">
        <v>111</v>
      </c>
      <c r="AG885" t="s">
        <v>112</v>
      </c>
    </row>
    <row r="886" spans="1:33">
      <c r="A886" t="s">
        <v>1037</v>
      </c>
      <c r="B886">
        <v>45984</v>
      </c>
      <c r="C886">
        <v>45997</v>
      </c>
      <c r="D886" t="s">
        <v>23</v>
      </c>
      <c r="E886">
        <v>200</v>
      </c>
      <c r="F886">
        <v>1296.69</v>
      </c>
      <c r="G886">
        <v>1.74</v>
      </c>
      <c r="H886">
        <v>254825.52</v>
      </c>
      <c r="I886" t="s">
        <v>1728</v>
      </c>
      <c r="J886">
        <v>1000.27</v>
      </c>
      <c r="K886">
        <v>200054</v>
      </c>
      <c r="L886">
        <v>2420.31</v>
      </c>
      <c r="M886">
        <v>904.22</v>
      </c>
      <c r="N886">
        <v>1178.1099999999999</v>
      </c>
      <c r="O886">
        <v>204556.64</v>
      </c>
      <c r="P886">
        <v>54771.519999999997</v>
      </c>
      <c r="Q886">
        <v>50268.88</v>
      </c>
      <c r="R886" t="s">
        <v>65</v>
      </c>
      <c r="S886">
        <v>254825.52</v>
      </c>
      <c r="T886">
        <v>0</v>
      </c>
      <c r="U886" t="s">
        <v>66</v>
      </c>
      <c r="V886" t="s">
        <v>6</v>
      </c>
      <c r="W886" t="s">
        <v>80</v>
      </c>
      <c r="X886" t="s">
        <v>101</v>
      </c>
      <c r="Y886" t="s">
        <v>22</v>
      </c>
      <c r="Z886">
        <v>1.58</v>
      </c>
      <c r="AA886">
        <f t="shared" si="39"/>
        <v>50268.88</v>
      </c>
      <c r="AB886">
        <f t="shared" si="40"/>
        <v>0.19726784036386935</v>
      </c>
      <c r="AC886">
        <f t="shared" si="41"/>
        <v>0</v>
      </c>
      <c r="AD886">
        <v>2025</v>
      </c>
      <c r="AE886">
        <v>11</v>
      </c>
      <c r="AF886" t="s">
        <v>128</v>
      </c>
      <c r="AG886" t="s">
        <v>135</v>
      </c>
    </row>
    <row r="887" spans="1:33">
      <c r="A887" t="s">
        <v>1038</v>
      </c>
      <c r="B887">
        <v>45363</v>
      </c>
      <c r="C887">
        <v>45371</v>
      </c>
      <c r="D887" t="s">
        <v>25</v>
      </c>
      <c r="E887">
        <v>200</v>
      </c>
      <c r="F887">
        <v>965.21</v>
      </c>
      <c r="G887">
        <v>1.74</v>
      </c>
      <c r="H887">
        <v>189683.07</v>
      </c>
      <c r="I887" t="s">
        <v>1727</v>
      </c>
      <c r="J887">
        <v>775.12</v>
      </c>
      <c r="K887">
        <v>155024</v>
      </c>
      <c r="L887">
        <v>2037.14</v>
      </c>
      <c r="M887">
        <v>313.94</v>
      </c>
      <c r="N887">
        <v>8441.02</v>
      </c>
      <c r="O887">
        <v>165816.1</v>
      </c>
      <c r="P887">
        <v>34659.07</v>
      </c>
      <c r="Q887">
        <v>23866.97</v>
      </c>
      <c r="R887" t="s">
        <v>65</v>
      </c>
      <c r="S887">
        <v>189683.07</v>
      </c>
      <c r="T887">
        <v>0</v>
      </c>
      <c r="U887" t="s">
        <v>66</v>
      </c>
      <c r="V887" t="s">
        <v>6</v>
      </c>
      <c r="W887" t="s">
        <v>67</v>
      </c>
      <c r="X887" t="s">
        <v>110</v>
      </c>
      <c r="Y887" t="s">
        <v>28</v>
      </c>
      <c r="Z887">
        <v>0.28999999999999998</v>
      </c>
      <c r="AA887">
        <f t="shared" si="39"/>
        <v>23866.97</v>
      </c>
      <c r="AB887">
        <f t="shared" si="40"/>
        <v>0.12582551516063084</v>
      </c>
      <c r="AC887">
        <f t="shared" si="41"/>
        <v>0</v>
      </c>
      <c r="AD887">
        <v>2024</v>
      </c>
      <c r="AE887">
        <v>3</v>
      </c>
      <c r="AF887" t="s">
        <v>105</v>
      </c>
      <c r="AG887" t="s">
        <v>120</v>
      </c>
    </row>
    <row r="888" spans="1:33">
      <c r="A888" t="s">
        <v>1039</v>
      </c>
      <c r="B888">
        <v>45463</v>
      </c>
      <c r="C888">
        <v>45476</v>
      </c>
      <c r="D888" t="s">
        <v>21</v>
      </c>
      <c r="E888">
        <v>100</v>
      </c>
      <c r="F888">
        <v>829.67</v>
      </c>
      <c r="G888">
        <v>1.41</v>
      </c>
      <c r="H888">
        <v>81797.17</v>
      </c>
      <c r="I888" t="s">
        <v>1727</v>
      </c>
      <c r="J888">
        <v>681.87</v>
      </c>
      <c r="K888">
        <v>68187</v>
      </c>
      <c r="L888">
        <v>1372.14</v>
      </c>
      <c r="M888">
        <v>153.57</v>
      </c>
      <c r="N888">
        <v>7064.17</v>
      </c>
      <c r="O888">
        <v>76776.88</v>
      </c>
      <c r="P888">
        <v>13610.17</v>
      </c>
      <c r="Q888">
        <v>5020.29</v>
      </c>
      <c r="R888" t="s">
        <v>85</v>
      </c>
      <c r="S888">
        <v>45177.06</v>
      </c>
      <c r="T888">
        <v>36620.11</v>
      </c>
      <c r="U888" t="s">
        <v>66</v>
      </c>
      <c r="V888" t="s">
        <v>16</v>
      </c>
      <c r="W888" t="s">
        <v>80</v>
      </c>
      <c r="X888" t="s">
        <v>86</v>
      </c>
      <c r="Y888" t="s">
        <v>30</v>
      </c>
      <c r="Z888">
        <v>1.35</v>
      </c>
      <c r="AA888">
        <f t="shared" si="39"/>
        <v>5020.29</v>
      </c>
      <c r="AB888">
        <f t="shared" si="40"/>
        <v>6.1374861746439392E-2</v>
      </c>
      <c r="AC888">
        <f t="shared" si="41"/>
        <v>0</v>
      </c>
      <c r="AD888">
        <v>2024</v>
      </c>
      <c r="AE888">
        <v>6</v>
      </c>
      <c r="AF888" t="s">
        <v>111</v>
      </c>
      <c r="AG888" t="s">
        <v>148</v>
      </c>
    </row>
    <row r="889" spans="1:33">
      <c r="A889" t="s">
        <v>1040</v>
      </c>
      <c r="B889">
        <v>45829</v>
      </c>
      <c r="D889" t="s">
        <v>21</v>
      </c>
      <c r="E889">
        <v>1000</v>
      </c>
      <c r="F889">
        <v>865.48</v>
      </c>
      <c r="G889">
        <v>0.44</v>
      </c>
      <c r="H889">
        <v>0</v>
      </c>
      <c r="I889" t="s">
        <v>1726</v>
      </c>
      <c r="J889">
        <v>681.19</v>
      </c>
      <c r="K889">
        <v>0</v>
      </c>
      <c r="L889">
        <v>0</v>
      </c>
      <c r="M889">
        <v>0</v>
      </c>
      <c r="N889">
        <v>0</v>
      </c>
      <c r="O889">
        <v>0</v>
      </c>
      <c r="P889">
        <v>0</v>
      </c>
      <c r="Q889">
        <v>0</v>
      </c>
      <c r="R889" t="s">
        <v>65</v>
      </c>
      <c r="S889">
        <v>0</v>
      </c>
      <c r="T889">
        <v>0</v>
      </c>
      <c r="U889" t="s">
        <v>117</v>
      </c>
      <c r="V889" t="s">
        <v>8</v>
      </c>
      <c r="W889" t="s">
        <v>74</v>
      </c>
      <c r="X889" t="s">
        <v>123</v>
      </c>
      <c r="Y889" t="s">
        <v>22</v>
      </c>
      <c r="Z889">
        <v>0.4</v>
      </c>
      <c r="AA889">
        <f t="shared" si="39"/>
        <v>0</v>
      </c>
      <c r="AB889" t="e">
        <f t="shared" si="40"/>
        <v>#DIV/0!</v>
      </c>
      <c r="AC889">
        <f t="shared" si="41"/>
        <v>0</v>
      </c>
      <c r="AD889">
        <v>2025</v>
      </c>
      <c r="AE889">
        <v>6</v>
      </c>
      <c r="AF889" t="s">
        <v>111</v>
      </c>
      <c r="AG889" t="s">
        <v>112</v>
      </c>
    </row>
    <row r="890" spans="1:33">
      <c r="A890" t="s">
        <v>1041</v>
      </c>
      <c r="B890">
        <v>45530</v>
      </c>
      <c r="C890">
        <v>45535</v>
      </c>
      <c r="D890" t="s">
        <v>21</v>
      </c>
      <c r="E890">
        <v>500</v>
      </c>
      <c r="F890">
        <v>866.14</v>
      </c>
      <c r="G890">
        <v>4.1399999999999997</v>
      </c>
      <c r="H890">
        <v>415140.9</v>
      </c>
      <c r="I890" t="s">
        <v>1726</v>
      </c>
      <c r="J890">
        <v>690.54</v>
      </c>
      <c r="K890">
        <v>345270</v>
      </c>
      <c r="L890">
        <v>9007.92</v>
      </c>
      <c r="M890">
        <v>2027.56</v>
      </c>
      <c r="N890">
        <v>10014.25</v>
      </c>
      <c r="O890">
        <v>366319.73</v>
      </c>
      <c r="P890">
        <v>69870.899999999994</v>
      </c>
      <c r="Q890">
        <v>48821.17</v>
      </c>
      <c r="R890" t="s">
        <v>65</v>
      </c>
      <c r="S890">
        <v>415140.9</v>
      </c>
      <c r="T890">
        <v>0</v>
      </c>
      <c r="U890" t="s">
        <v>66</v>
      </c>
      <c r="V890" t="s">
        <v>8</v>
      </c>
      <c r="W890" t="s">
        <v>74</v>
      </c>
      <c r="X890" t="s">
        <v>81</v>
      </c>
      <c r="Y890" t="s">
        <v>24</v>
      </c>
      <c r="Z890">
        <v>2.25</v>
      </c>
      <c r="AA890">
        <f t="shared" si="39"/>
        <v>48821.17</v>
      </c>
      <c r="AB890">
        <f t="shared" si="40"/>
        <v>0.11760144567784094</v>
      </c>
      <c r="AC890">
        <f t="shared" si="41"/>
        <v>0</v>
      </c>
      <c r="AD890">
        <v>2024</v>
      </c>
      <c r="AE890">
        <v>8</v>
      </c>
      <c r="AF890" t="s">
        <v>82</v>
      </c>
      <c r="AG890" t="s">
        <v>83</v>
      </c>
    </row>
    <row r="891" spans="1:33">
      <c r="A891" t="s">
        <v>1042</v>
      </c>
      <c r="B891">
        <v>45797</v>
      </c>
      <c r="C891">
        <v>45811</v>
      </c>
      <c r="D891" t="s">
        <v>21</v>
      </c>
      <c r="E891">
        <v>1000</v>
      </c>
      <c r="F891">
        <v>909.34</v>
      </c>
      <c r="G891">
        <v>2.19</v>
      </c>
      <c r="H891">
        <v>889425.45</v>
      </c>
      <c r="I891" t="s">
        <v>1728</v>
      </c>
      <c r="J891">
        <v>745.32</v>
      </c>
      <c r="K891">
        <v>745320</v>
      </c>
      <c r="L891">
        <v>7681.6</v>
      </c>
      <c r="M891">
        <v>3347.33</v>
      </c>
      <c r="N891">
        <v>7799.63</v>
      </c>
      <c r="O891">
        <v>764148.56</v>
      </c>
      <c r="P891">
        <v>144105.45000000001</v>
      </c>
      <c r="Q891">
        <v>125276.89</v>
      </c>
      <c r="R891" t="s">
        <v>65</v>
      </c>
      <c r="S891">
        <v>889425.45</v>
      </c>
      <c r="T891">
        <v>0</v>
      </c>
      <c r="U891" t="s">
        <v>66</v>
      </c>
      <c r="V891" t="s">
        <v>6</v>
      </c>
      <c r="W891" t="s">
        <v>141</v>
      </c>
      <c r="X891" t="s">
        <v>275</v>
      </c>
      <c r="Y891" t="s">
        <v>31</v>
      </c>
      <c r="Z891">
        <v>1.21</v>
      </c>
      <c r="AA891">
        <f t="shared" si="39"/>
        <v>125276.89</v>
      </c>
      <c r="AB891">
        <f t="shared" si="40"/>
        <v>0.14085147889572983</v>
      </c>
      <c r="AC891">
        <f t="shared" si="41"/>
        <v>0</v>
      </c>
      <c r="AD891">
        <v>2025</v>
      </c>
      <c r="AE891">
        <v>5</v>
      </c>
      <c r="AF891" t="s">
        <v>76</v>
      </c>
      <c r="AG891" t="s">
        <v>94</v>
      </c>
    </row>
    <row r="892" spans="1:33">
      <c r="A892" t="s">
        <v>1043</v>
      </c>
      <c r="B892">
        <v>45824</v>
      </c>
      <c r="C892">
        <v>45832</v>
      </c>
      <c r="D892" t="s">
        <v>25</v>
      </c>
      <c r="E892">
        <v>750</v>
      </c>
      <c r="F892">
        <v>1010.5</v>
      </c>
      <c r="G892">
        <v>3.69</v>
      </c>
      <c r="H892">
        <v>729909.41</v>
      </c>
      <c r="I892" t="s">
        <v>1726</v>
      </c>
      <c r="J892">
        <v>793.56</v>
      </c>
      <c r="K892">
        <v>595170</v>
      </c>
      <c r="L892">
        <v>12785.08</v>
      </c>
      <c r="M892">
        <v>3826.94</v>
      </c>
      <c r="N892">
        <v>2938.94</v>
      </c>
      <c r="O892">
        <v>614720.96</v>
      </c>
      <c r="P892">
        <v>134739.41</v>
      </c>
      <c r="Q892">
        <v>115188.45</v>
      </c>
      <c r="R892" t="s">
        <v>65</v>
      </c>
      <c r="S892">
        <v>729909.41</v>
      </c>
      <c r="T892">
        <v>0</v>
      </c>
      <c r="U892" t="s">
        <v>73</v>
      </c>
      <c r="V892" t="s">
        <v>8</v>
      </c>
      <c r="W892" t="s">
        <v>67</v>
      </c>
      <c r="X892" t="s">
        <v>185</v>
      </c>
      <c r="Y892" t="s">
        <v>31</v>
      </c>
      <c r="Z892">
        <v>0.61</v>
      </c>
      <c r="AA892">
        <f t="shared" si="39"/>
        <v>115188.45</v>
      </c>
      <c r="AB892">
        <f t="shared" si="40"/>
        <v>0.15781198107858344</v>
      </c>
      <c r="AC892">
        <f t="shared" si="41"/>
        <v>0</v>
      </c>
      <c r="AD892">
        <v>2025</v>
      </c>
      <c r="AE892">
        <v>6</v>
      </c>
      <c r="AF892" t="s">
        <v>111</v>
      </c>
      <c r="AG892" t="s">
        <v>112</v>
      </c>
    </row>
    <row r="893" spans="1:33">
      <c r="A893" t="s">
        <v>1044</v>
      </c>
      <c r="B893">
        <v>45714</v>
      </c>
      <c r="C893">
        <v>45723</v>
      </c>
      <c r="D893" t="s">
        <v>25</v>
      </c>
      <c r="E893">
        <v>250</v>
      </c>
      <c r="F893">
        <v>964.8</v>
      </c>
      <c r="G893">
        <v>1.55</v>
      </c>
      <c r="H893">
        <v>237461.4</v>
      </c>
      <c r="I893" t="s">
        <v>1727</v>
      </c>
      <c r="J893">
        <v>783.36</v>
      </c>
      <c r="K893">
        <v>195840</v>
      </c>
      <c r="L893">
        <v>4951.28</v>
      </c>
      <c r="M893">
        <v>1011.37</v>
      </c>
      <c r="N893">
        <v>279.56</v>
      </c>
      <c r="O893">
        <v>202082.21</v>
      </c>
      <c r="P893">
        <v>41621.4</v>
      </c>
      <c r="Q893">
        <v>35379.19</v>
      </c>
      <c r="R893" t="s">
        <v>85</v>
      </c>
      <c r="S893">
        <v>71405.539999999994</v>
      </c>
      <c r="T893">
        <v>166055.85999999999</v>
      </c>
      <c r="U893" t="s">
        <v>73</v>
      </c>
      <c r="V893" t="s">
        <v>14</v>
      </c>
      <c r="W893" t="s">
        <v>67</v>
      </c>
      <c r="X893" t="s">
        <v>108</v>
      </c>
      <c r="Y893" t="s">
        <v>22</v>
      </c>
      <c r="Z893">
        <v>1.94</v>
      </c>
      <c r="AA893">
        <f t="shared" si="39"/>
        <v>35379.19</v>
      </c>
      <c r="AB893">
        <f t="shared" si="40"/>
        <v>0.14898922519617927</v>
      </c>
      <c r="AC893">
        <f t="shared" si="41"/>
        <v>0</v>
      </c>
      <c r="AD893">
        <v>2025</v>
      </c>
      <c r="AE893">
        <v>2</v>
      </c>
      <c r="AF893" t="s">
        <v>172</v>
      </c>
      <c r="AG893" t="s">
        <v>244</v>
      </c>
    </row>
    <row r="894" spans="1:33">
      <c r="A894" t="s">
        <v>1045</v>
      </c>
      <c r="B894">
        <v>45765</v>
      </c>
      <c r="D894" t="s">
        <v>21</v>
      </c>
      <c r="E894">
        <v>200</v>
      </c>
      <c r="F894">
        <v>882.74</v>
      </c>
      <c r="G894">
        <v>1.76</v>
      </c>
      <c r="H894">
        <v>173440.76</v>
      </c>
      <c r="I894" t="s">
        <v>1727</v>
      </c>
      <c r="J894">
        <v>724.99</v>
      </c>
      <c r="K894">
        <v>144998</v>
      </c>
      <c r="L894">
        <v>1743.49</v>
      </c>
      <c r="M894">
        <v>1080.31</v>
      </c>
      <c r="N894">
        <v>8937.67</v>
      </c>
      <c r="O894">
        <v>156759.47</v>
      </c>
      <c r="P894">
        <v>28442.76</v>
      </c>
      <c r="Q894">
        <v>16681.29</v>
      </c>
      <c r="R894" t="s">
        <v>65</v>
      </c>
      <c r="S894">
        <v>173440.76</v>
      </c>
      <c r="T894">
        <v>0</v>
      </c>
      <c r="U894" t="s">
        <v>91</v>
      </c>
      <c r="V894" t="s">
        <v>8</v>
      </c>
      <c r="W894" t="s">
        <v>67</v>
      </c>
      <c r="X894" t="s">
        <v>167</v>
      </c>
      <c r="Y894" t="s">
        <v>31</v>
      </c>
      <c r="Z894">
        <v>1.32</v>
      </c>
      <c r="AA894">
        <f t="shared" si="39"/>
        <v>16681.29</v>
      </c>
      <c r="AB894">
        <f t="shared" si="40"/>
        <v>9.6178602999663979E-2</v>
      </c>
      <c r="AC894">
        <f t="shared" si="41"/>
        <v>0</v>
      </c>
      <c r="AD894">
        <v>2025</v>
      </c>
      <c r="AE894">
        <v>4</v>
      </c>
      <c r="AF894" t="s">
        <v>154</v>
      </c>
      <c r="AG894" t="s">
        <v>155</v>
      </c>
    </row>
    <row r="895" spans="1:33">
      <c r="A895" t="s">
        <v>1046</v>
      </c>
      <c r="B895">
        <v>45470</v>
      </c>
      <c r="C895">
        <v>45471</v>
      </c>
      <c r="D895" t="s">
        <v>23</v>
      </c>
      <c r="E895">
        <v>150</v>
      </c>
      <c r="F895">
        <v>1291.07</v>
      </c>
      <c r="G895">
        <v>0.77</v>
      </c>
      <c r="H895">
        <v>192169.31</v>
      </c>
      <c r="I895" t="s">
        <v>1729</v>
      </c>
      <c r="J895">
        <v>1097.1300000000001</v>
      </c>
      <c r="K895">
        <v>164569.5</v>
      </c>
      <c r="L895">
        <v>1164.82</v>
      </c>
      <c r="M895">
        <v>673.21</v>
      </c>
      <c r="N895">
        <v>4339.74</v>
      </c>
      <c r="O895">
        <v>170747.27</v>
      </c>
      <c r="P895">
        <v>27599.81</v>
      </c>
      <c r="Q895">
        <v>21422.04</v>
      </c>
      <c r="R895" t="s">
        <v>65</v>
      </c>
      <c r="S895">
        <v>192169.31</v>
      </c>
      <c r="T895">
        <v>0</v>
      </c>
      <c r="U895" t="s">
        <v>66</v>
      </c>
      <c r="V895" t="s">
        <v>14</v>
      </c>
      <c r="W895" t="s">
        <v>74</v>
      </c>
      <c r="X895" t="s">
        <v>123</v>
      </c>
      <c r="Y895" t="s">
        <v>22</v>
      </c>
      <c r="Z895">
        <v>2.11</v>
      </c>
      <c r="AA895">
        <f t="shared" si="39"/>
        <v>21422.04</v>
      </c>
      <c r="AB895">
        <f t="shared" si="40"/>
        <v>0.11147482394561338</v>
      </c>
      <c r="AC895">
        <f t="shared" si="41"/>
        <v>0</v>
      </c>
      <c r="AD895">
        <v>2024</v>
      </c>
      <c r="AE895">
        <v>6</v>
      </c>
      <c r="AF895" t="s">
        <v>111</v>
      </c>
      <c r="AG895" t="s">
        <v>148</v>
      </c>
    </row>
    <row r="896" spans="1:33">
      <c r="A896" t="s">
        <v>1047</v>
      </c>
      <c r="B896">
        <v>45779</v>
      </c>
      <c r="C896">
        <v>45779</v>
      </c>
      <c r="D896" t="s">
        <v>23</v>
      </c>
      <c r="E896">
        <v>200</v>
      </c>
      <c r="F896">
        <v>1357.02</v>
      </c>
      <c r="G896">
        <v>1.32</v>
      </c>
      <c r="H896">
        <v>267821.46999999997</v>
      </c>
      <c r="I896" t="s">
        <v>1727</v>
      </c>
      <c r="J896">
        <v>1016.19</v>
      </c>
      <c r="K896">
        <v>203238</v>
      </c>
      <c r="L896">
        <v>4334.8</v>
      </c>
      <c r="M896">
        <v>1095.75</v>
      </c>
      <c r="N896">
        <v>8667.35</v>
      </c>
      <c r="O896">
        <v>217335.9</v>
      </c>
      <c r="P896">
        <v>64583.47</v>
      </c>
      <c r="Q896">
        <v>50485.57</v>
      </c>
      <c r="R896" t="s">
        <v>65</v>
      </c>
      <c r="S896">
        <v>267821.46999999997</v>
      </c>
      <c r="T896">
        <v>0</v>
      </c>
      <c r="U896" t="s">
        <v>66</v>
      </c>
      <c r="V896" t="s">
        <v>6</v>
      </c>
      <c r="W896" t="s">
        <v>74</v>
      </c>
      <c r="X896" t="s">
        <v>145</v>
      </c>
      <c r="Y896" t="s">
        <v>30</v>
      </c>
      <c r="Z896">
        <v>1.52</v>
      </c>
      <c r="AA896">
        <f t="shared" si="39"/>
        <v>50485.57</v>
      </c>
      <c r="AB896">
        <f t="shared" si="40"/>
        <v>0.1885045661201098</v>
      </c>
      <c r="AC896">
        <f t="shared" si="41"/>
        <v>0</v>
      </c>
      <c r="AD896">
        <v>2025</v>
      </c>
      <c r="AE896">
        <v>5</v>
      </c>
      <c r="AF896" t="s">
        <v>76</v>
      </c>
      <c r="AG896" t="s">
        <v>94</v>
      </c>
    </row>
    <row r="897" spans="1:33">
      <c r="A897" t="s">
        <v>1048</v>
      </c>
      <c r="B897">
        <v>45935</v>
      </c>
      <c r="C897">
        <v>45945</v>
      </c>
      <c r="D897" t="s">
        <v>25</v>
      </c>
      <c r="E897">
        <v>50</v>
      </c>
      <c r="F897">
        <v>968.24</v>
      </c>
      <c r="G897">
        <v>1.67</v>
      </c>
      <c r="H897">
        <v>47603.519999999997</v>
      </c>
      <c r="I897" t="s">
        <v>1727</v>
      </c>
      <c r="J897">
        <v>791.37</v>
      </c>
      <c r="K897">
        <v>39568.5</v>
      </c>
      <c r="L897">
        <v>937</v>
      </c>
      <c r="M897">
        <v>147.44</v>
      </c>
      <c r="N897">
        <v>7733.6</v>
      </c>
      <c r="O897">
        <v>48386.54</v>
      </c>
      <c r="P897">
        <v>8035.02</v>
      </c>
      <c r="Q897">
        <v>-783.02</v>
      </c>
      <c r="R897" t="s">
        <v>65</v>
      </c>
      <c r="S897">
        <v>47603.519999999997</v>
      </c>
      <c r="T897">
        <v>0</v>
      </c>
      <c r="U897" t="s">
        <v>73</v>
      </c>
      <c r="V897" t="s">
        <v>10</v>
      </c>
      <c r="W897" t="s">
        <v>67</v>
      </c>
      <c r="X897" t="s">
        <v>115</v>
      </c>
      <c r="Y897" t="s">
        <v>22</v>
      </c>
      <c r="Z897">
        <v>1.9</v>
      </c>
      <c r="AA897">
        <f t="shared" si="39"/>
        <v>-783.02</v>
      </c>
      <c r="AB897">
        <f t="shared" si="40"/>
        <v>-1.6448783619362601E-2</v>
      </c>
      <c r="AC897">
        <f t="shared" si="41"/>
        <v>0</v>
      </c>
      <c r="AD897">
        <v>2025</v>
      </c>
      <c r="AE897">
        <v>10</v>
      </c>
      <c r="AF897" t="s">
        <v>138</v>
      </c>
      <c r="AG897" t="s">
        <v>160</v>
      </c>
    </row>
    <row r="898" spans="1:33">
      <c r="A898" t="s">
        <v>1049</v>
      </c>
      <c r="B898">
        <v>45688</v>
      </c>
      <c r="C898">
        <v>45688</v>
      </c>
      <c r="D898" t="s">
        <v>21</v>
      </c>
      <c r="E898">
        <v>300</v>
      </c>
      <c r="F898">
        <v>897.43</v>
      </c>
      <c r="G898">
        <v>1.66</v>
      </c>
      <c r="H898">
        <v>264759.8</v>
      </c>
      <c r="I898" t="s">
        <v>1729</v>
      </c>
      <c r="J898">
        <v>681.99</v>
      </c>
      <c r="K898">
        <v>204597</v>
      </c>
      <c r="L898">
        <v>4103.38</v>
      </c>
      <c r="M898">
        <v>683.79</v>
      </c>
      <c r="N898">
        <v>11981.9</v>
      </c>
      <c r="O898">
        <v>221366.07</v>
      </c>
      <c r="P898">
        <v>60162.8</v>
      </c>
      <c r="Q898">
        <v>43393.73</v>
      </c>
      <c r="R898" t="s">
        <v>65</v>
      </c>
      <c r="S898">
        <v>264759.8</v>
      </c>
      <c r="T898">
        <v>0</v>
      </c>
      <c r="U898" t="s">
        <v>66</v>
      </c>
      <c r="V898" t="s">
        <v>10</v>
      </c>
      <c r="W898" t="s">
        <v>92</v>
      </c>
      <c r="X898" t="s">
        <v>142</v>
      </c>
      <c r="Y898" t="s">
        <v>28</v>
      </c>
      <c r="Z898">
        <v>1.67</v>
      </c>
      <c r="AA898">
        <f t="shared" ref="AA898:AA961" si="42">ROUND(H898-O898,2)</f>
        <v>43393.73</v>
      </c>
      <c r="AB898">
        <f t="shared" ref="AB898:AB961" si="43">AA898/H898</f>
        <v>0.16389848458867246</v>
      </c>
      <c r="AC898">
        <f t="shared" ref="AC898:AC961" si="44">ROUND(AA898-Q898,2)</f>
        <v>0</v>
      </c>
      <c r="AD898">
        <v>2025</v>
      </c>
      <c r="AE898">
        <v>1</v>
      </c>
      <c r="AF898" t="s">
        <v>102</v>
      </c>
      <c r="AG898" t="s">
        <v>118</v>
      </c>
    </row>
    <row r="899" spans="1:33">
      <c r="A899" t="s">
        <v>1050</v>
      </c>
      <c r="B899">
        <v>45853</v>
      </c>
      <c r="C899">
        <v>45855</v>
      </c>
      <c r="D899" t="s">
        <v>23</v>
      </c>
      <c r="E899">
        <v>200</v>
      </c>
      <c r="F899">
        <v>1241.82</v>
      </c>
      <c r="G899">
        <v>1.26</v>
      </c>
      <c r="H899">
        <v>245234.61</v>
      </c>
      <c r="I899" t="s">
        <v>1729</v>
      </c>
      <c r="J899">
        <v>1022.78</v>
      </c>
      <c r="K899">
        <v>204556</v>
      </c>
      <c r="L899">
        <v>2886.17</v>
      </c>
      <c r="M899">
        <v>1024.2</v>
      </c>
      <c r="N899">
        <v>1795.52</v>
      </c>
      <c r="O899">
        <v>210261.89</v>
      </c>
      <c r="P899">
        <v>40678.61</v>
      </c>
      <c r="Q899">
        <v>34972.720000000001</v>
      </c>
      <c r="R899" t="s">
        <v>65</v>
      </c>
      <c r="S899">
        <v>245234.61</v>
      </c>
      <c r="T899">
        <v>0</v>
      </c>
      <c r="U899" t="s">
        <v>73</v>
      </c>
      <c r="V899" t="s">
        <v>8</v>
      </c>
      <c r="W899" t="s">
        <v>141</v>
      </c>
      <c r="X899" t="s">
        <v>89</v>
      </c>
      <c r="Y899" t="s">
        <v>28</v>
      </c>
      <c r="Z899">
        <v>0.19</v>
      </c>
      <c r="AA899">
        <f t="shared" si="42"/>
        <v>34972.720000000001</v>
      </c>
      <c r="AB899">
        <f t="shared" si="43"/>
        <v>0.14260923447958673</v>
      </c>
      <c r="AC899">
        <f t="shared" si="44"/>
        <v>0</v>
      </c>
      <c r="AD899">
        <v>2025</v>
      </c>
      <c r="AE899">
        <v>7</v>
      </c>
      <c r="AF899" t="s">
        <v>69</v>
      </c>
      <c r="AG899" t="s">
        <v>151</v>
      </c>
    </row>
    <row r="900" spans="1:33">
      <c r="A900" t="s">
        <v>1051</v>
      </c>
      <c r="B900">
        <v>45853</v>
      </c>
      <c r="C900">
        <v>45861</v>
      </c>
      <c r="D900" t="s">
        <v>25</v>
      </c>
      <c r="E900">
        <v>500</v>
      </c>
      <c r="F900">
        <v>924.17</v>
      </c>
      <c r="G900">
        <v>0.92</v>
      </c>
      <c r="H900">
        <v>457833.82</v>
      </c>
      <c r="I900" t="s">
        <v>1727</v>
      </c>
      <c r="J900">
        <v>796.65</v>
      </c>
      <c r="K900">
        <v>398325</v>
      </c>
      <c r="L900">
        <v>7093.19</v>
      </c>
      <c r="M900">
        <v>1601.1</v>
      </c>
      <c r="N900">
        <v>2282.23</v>
      </c>
      <c r="O900">
        <v>409301.52</v>
      </c>
      <c r="P900">
        <v>59508.82</v>
      </c>
      <c r="Q900">
        <v>48532.3</v>
      </c>
      <c r="R900" t="s">
        <v>65</v>
      </c>
      <c r="S900">
        <v>457833.82</v>
      </c>
      <c r="T900">
        <v>0</v>
      </c>
      <c r="U900" t="s">
        <v>66</v>
      </c>
      <c r="V900" t="s">
        <v>10</v>
      </c>
      <c r="W900" t="s">
        <v>80</v>
      </c>
      <c r="X900" t="s">
        <v>108</v>
      </c>
      <c r="Y900" t="s">
        <v>22</v>
      </c>
      <c r="Z900">
        <v>1.29</v>
      </c>
      <c r="AA900">
        <f t="shared" si="42"/>
        <v>48532.3</v>
      </c>
      <c r="AB900">
        <f t="shared" si="43"/>
        <v>0.10600418291510226</v>
      </c>
      <c r="AC900">
        <f t="shared" si="44"/>
        <v>0</v>
      </c>
      <c r="AD900">
        <v>2025</v>
      </c>
      <c r="AE900">
        <v>7</v>
      </c>
      <c r="AF900" t="s">
        <v>69</v>
      </c>
      <c r="AG900" t="s">
        <v>151</v>
      </c>
    </row>
    <row r="901" spans="1:33">
      <c r="A901" t="s">
        <v>1052</v>
      </c>
      <c r="B901">
        <v>45547</v>
      </c>
      <c r="C901">
        <v>45547</v>
      </c>
      <c r="D901" t="s">
        <v>21</v>
      </c>
      <c r="E901">
        <v>1000</v>
      </c>
      <c r="F901">
        <v>899.45</v>
      </c>
      <c r="G901">
        <v>1.19</v>
      </c>
      <c r="H901">
        <v>888746.54</v>
      </c>
      <c r="I901" t="s">
        <v>1729</v>
      </c>
      <c r="J901">
        <v>670</v>
      </c>
      <c r="K901">
        <v>670000</v>
      </c>
      <c r="L901">
        <v>8069.13</v>
      </c>
      <c r="M901">
        <v>1710.24</v>
      </c>
      <c r="N901">
        <v>1657.28</v>
      </c>
      <c r="O901">
        <v>681436.65</v>
      </c>
      <c r="P901">
        <v>218746.54</v>
      </c>
      <c r="Q901">
        <v>207309.89</v>
      </c>
      <c r="R901" t="s">
        <v>65</v>
      </c>
      <c r="S901">
        <v>888746.54</v>
      </c>
      <c r="T901">
        <v>0</v>
      </c>
      <c r="U901" t="s">
        <v>66</v>
      </c>
      <c r="V901" t="s">
        <v>6</v>
      </c>
      <c r="W901" t="s">
        <v>80</v>
      </c>
      <c r="X901" t="s">
        <v>108</v>
      </c>
      <c r="Y901" t="s">
        <v>22</v>
      </c>
      <c r="Z901">
        <v>0.86</v>
      </c>
      <c r="AA901">
        <f t="shared" si="42"/>
        <v>207309.89</v>
      </c>
      <c r="AB901">
        <f t="shared" si="43"/>
        <v>0.23326098124668931</v>
      </c>
      <c r="AC901">
        <f t="shared" si="44"/>
        <v>0</v>
      </c>
      <c r="AD901">
        <v>2024</v>
      </c>
      <c r="AE901">
        <v>9</v>
      </c>
      <c r="AF901" t="s">
        <v>131</v>
      </c>
      <c r="AG901" t="s">
        <v>188</v>
      </c>
    </row>
    <row r="902" spans="1:33">
      <c r="A902" t="s">
        <v>1053</v>
      </c>
      <c r="B902">
        <v>45449</v>
      </c>
      <c r="C902">
        <v>45462</v>
      </c>
      <c r="D902" t="s">
        <v>25</v>
      </c>
      <c r="E902">
        <v>150</v>
      </c>
      <c r="F902">
        <v>935.6</v>
      </c>
      <c r="G902">
        <v>0.89</v>
      </c>
      <c r="H902">
        <v>139090.97</v>
      </c>
      <c r="I902" t="s">
        <v>1728</v>
      </c>
      <c r="J902">
        <v>822.12</v>
      </c>
      <c r="K902">
        <v>123318</v>
      </c>
      <c r="L902">
        <v>2799.9</v>
      </c>
      <c r="M902">
        <v>477.95</v>
      </c>
      <c r="N902">
        <v>11854.63</v>
      </c>
      <c r="O902">
        <v>138450.48000000001</v>
      </c>
      <c r="P902">
        <v>15772.97</v>
      </c>
      <c r="Q902">
        <v>640.49</v>
      </c>
      <c r="R902" t="s">
        <v>65</v>
      </c>
      <c r="S902">
        <v>139090.97</v>
      </c>
      <c r="T902">
        <v>0</v>
      </c>
      <c r="U902" t="s">
        <v>66</v>
      </c>
      <c r="V902" t="s">
        <v>10</v>
      </c>
      <c r="W902" t="s">
        <v>141</v>
      </c>
      <c r="X902" t="s">
        <v>101</v>
      </c>
      <c r="Y902" t="s">
        <v>22</v>
      </c>
      <c r="Z902">
        <v>2.4700000000000002</v>
      </c>
      <c r="AA902">
        <f t="shared" si="42"/>
        <v>640.49</v>
      </c>
      <c r="AB902">
        <f t="shared" si="43"/>
        <v>4.6048280488661482E-3</v>
      </c>
      <c r="AC902">
        <f t="shared" si="44"/>
        <v>0</v>
      </c>
      <c r="AD902">
        <v>2024</v>
      </c>
      <c r="AE902">
        <v>6</v>
      </c>
      <c r="AF902" t="s">
        <v>111</v>
      </c>
      <c r="AG902" t="s">
        <v>148</v>
      </c>
    </row>
    <row r="903" spans="1:33">
      <c r="A903" t="s">
        <v>1054</v>
      </c>
      <c r="B903">
        <v>45913</v>
      </c>
      <c r="C903">
        <v>45924</v>
      </c>
      <c r="D903" t="s">
        <v>23</v>
      </c>
      <c r="E903">
        <v>50</v>
      </c>
      <c r="F903">
        <v>1326.03</v>
      </c>
      <c r="G903">
        <v>1.48</v>
      </c>
      <c r="H903">
        <v>65320.24</v>
      </c>
      <c r="I903" t="s">
        <v>1729</v>
      </c>
      <c r="J903">
        <v>1054.95</v>
      </c>
      <c r="K903">
        <v>52747.5</v>
      </c>
      <c r="L903">
        <v>830.01</v>
      </c>
      <c r="M903">
        <v>110.21</v>
      </c>
      <c r="N903">
        <v>9296.83</v>
      </c>
      <c r="O903">
        <v>62984.55</v>
      </c>
      <c r="P903">
        <v>12572.74</v>
      </c>
      <c r="Q903">
        <v>2335.69</v>
      </c>
      <c r="R903" t="s">
        <v>65</v>
      </c>
      <c r="S903">
        <v>65320.24</v>
      </c>
      <c r="T903">
        <v>0</v>
      </c>
      <c r="U903" t="s">
        <v>66</v>
      </c>
      <c r="V903" t="s">
        <v>6</v>
      </c>
      <c r="W903" t="s">
        <v>92</v>
      </c>
      <c r="X903" t="s">
        <v>205</v>
      </c>
      <c r="Y903" t="s">
        <v>24</v>
      </c>
      <c r="Z903">
        <v>1.45</v>
      </c>
      <c r="AA903">
        <f t="shared" si="42"/>
        <v>2335.69</v>
      </c>
      <c r="AB903">
        <f t="shared" si="43"/>
        <v>3.5757523242413075E-2</v>
      </c>
      <c r="AC903">
        <f t="shared" si="44"/>
        <v>0</v>
      </c>
      <c r="AD903">
        <v>2025</v>
      </c>
      <c r="AE903">
        <v>9</v>
      </c>
      <c r="AF903" t="s">
        <v>131</v>
      </c>
      <c r="AG903" t="s">
        <v>132</v>
      </c>
    </row>
    <row r="904" spans="1:33">
      <c r="A904" t="s">
        <v>1055</v>
      </c>
      <c r="B904">
        <v>45738</v>
      </c>
      <c r="D904" t="s">
        <v>21</v>
      </c>
      <c r="E904">
        <v>50</v>
      </c>
      <c r="F904">
        <v>942.84</v>
      </c>
      <c r="G904">
        <v>0.85</v>
      </c>
      <c r="H904">
        <v>0</v>
      </c>
      <c r="I904" t="s">
        <v>1729</v>
      </c>
      <c r="J904">
        <v>652.47</v>
      </c>
      <c r="K904">
        <v>0</v>
      </c>
      <c r="L904">
        <v>0</v>
      </c>
      <c r="M904">
        <v>0</v>
      </c>
      <c r="N904">
        <v>0</v>
      </c>
      <c r="O904">
        <v>0</v>
      </c>
      <c r="P904">
        <v>0</v>
      </c>
      <c r="Q904">
        <v>0</v>
      </c>
      <c r="R904" t="s">
        <v>65</v>
      </c>
      <c r="S904">
        <v>0</v>
      </c>
      <c r="T904">
        <v>0</v>
      </c>
      <c r="U904" t="s">
        <v>117</v>
      </c>
      <c r="V904" t="s">
        <v>6</v>
      </c>
      <c r="W904" t="s">
        <v>74</v>
      </c>
      <c r="X904" t="s">
        <v>125</v>
      </c>
      <c r="Y904" t="s">
        <v>24</v>
      </c>
      <c r="Z904">
        <v>0.55000000000000004</v>
      </c>
      <c r="AA904">
        <f t="shared" si="42"/>
        <v>0</v>
      </c>
      <c r="AB904" t="e">
        <f t="shared" si="43"/>
        <v>#DIV/0!</v>
      </c>
      <c r="AC904">
        <f t="shared" si="44"/>
        <v>0</v>
      </c>
      <c r="AD904">
        <v>2025</v>
      </c>
      <c r="AE904">
        <v>3</v>
      </c>
      <c r="AF904" t="s">
        <v>105</v>
      </c>
      <c r="AG904" t="s">
        <v>106</v>
      </c>
    </row>
    <row r="905" spans="1:33">
      <c r="A905" t="s">
        <v>1056</v>
      </c>
      <c r="B905">
        <v>45863</v>
      </c>
      <c r="C905">
        <v>45870</v>
      </c>
      <c r="D905" t="s">
        <v>23</v>
      </c>
      <c r="E905">
        <v>200</v>
      </c>
      <c r="F905">
        <v>1239.8900000000001</v>
      </c>
      <c r="G905">
        <v>0.98</v>
      </c>
      <c r="H905">
        <v>245547.82</v>
      </c>
      <c r="I905" t="s">
        <v>1729</v>
      </c>
      <c r="J905">
        <v>1034.51</v>
      </c>
      <c r="K905">
        <v>206902</v>
      </c>
      <c r="L905">
        <v>1888.91</v>
      </c>
      <c r="M905">
        <v>310.45999999999998</v>
      </c>
      <c r="N905">
        <v>652.23</v>
      </c>
      <c r="O905">
        <v>209753.60000000001</v>
      </c>
      <c r="P905">
        <v>38645.82</v>
      </c>
      <c r="Q905">
        <v>35794.22</v>
      </c>
      <c r="R905" t="s">
        <v>65</v>
      </c>
      <c r="S905">
        <v>245547.82</v>
      </c>
      <c r="T905">
        <v>0</v>
      </c>
      <c r="U905" t="s">
        <v>66</v>
      </c>
      <c r="V905" t="s">
        <v>12</v>
      </c>
      <c r="W905" t="s">
        <v>92</v>
      </c>
      <c r="X905" t="s">
        <v>127</v>
      </c>
      <c r="Y905" t="s">
        <v>22</v>
      </c>
      <c r="Z905">
        <v>1.63</v>
      </c>
      <c r="AA905">
        <f t="shared" si="42"/>
        <v>35794.22</v>
      </c>
      <c r="AB905">
        <f t="shared" si="43"/>
        <v>0.14577290891851535</v>
      </c>
      <c r="AC905">
        <f t="shared" si="44"/>
        <v>0</v>
      </c>
      <c r="AD905">
        <v>2025</v>
      </c>
      <c r="AE905">
        <v>7</v>
      </c>
      <c r="AF905" t="s">
        <v>69</v>
      </c>
      <c r="AG905" t="s">
        <v>151</v>
      </c>
    </row>
    <row r="906" spans="1:33">
      <c r="A906" t="s">
        <v>1057</v>
      </c>
      <c r="B906">
        <v>45396</v>
      </c>
      <c r="C906">
        <v>45408</v>
      </c>
      <c r="D906" t="s">
        <v>21</v>
      </c>
      <c r="E906">
        <v>200</v>
      </c>
      <c r="F906">
        <v>906.39</v>
      </c>
      <c r="G906">
        <v>2.21</v>
      </c>
      <c r="H906">
        <v>177271.76</v>
      </c>
      <c r="I906" t="s">
        <v>1729</v>
      </c>
      <c r="J906">
        <v>707.31</v>
      </c>
      <c r="K906">
        <v>141462</v>
      </c>
      <c r="L906">
        <v>2172.2600000000002</v>
      </c>
      <c r="M906">
        <v>837.75</v>
      </c>
      <c r="N906">
        <v>7917.58</v>
      </c>
      <c r="O906">
        <v>152389.59</v>
      </c>
      <c r="P906">
        <v>35809.760000000002</v>
      </c>
      <c r="Q906">
        <v>24882.17</v>
      </c>
      <c r="R906" t="s">
        <v>65</v>
      </c>
      <c r="S906">
        <v>177271.76</v>
      </c>
      <c r="T906">
        <v>0</v>
      </c>
      <c r="U906" t="s">
        <v>73</v>
      </c>
      <c r="V906" t="s">
        <v>6</v>
      </c>
      <c r="W906" t="s">
        <v>80</v>
      </c>
      <c r="X906" t="s">
        <v>150</v>
      </c>
      <c r="Y906" t="s">
        <v>30</v>
      </c>
      <c r="Z906">
        <v>1.97</v>
      </c>
      <c r="AA906">
        <f t="shared" si="42"/>
        <v>24882.17</v>
      </c>
      <c r="AB906">
        <f t="shared" si="43"/>
        <v>0.14036172484551401</v>
      </c>
      <c r="AC906">
        <f t="shared" si="44"/>
        <v>0</v>
      </c>
      <c r="AD906">
        <v>2024</v>
      </c>
      <c r="AE906">
        <v>4</v>
      </c>
      <c r="AF906" t="s">
        <v>154</v>
      </c>
      <c r="AG906" t="s">
        <v>157</v>
      </c>
    </row>
    <row r="907" spans="1:33">
      <c r="A907" t="s">
        <v>1058</v>
      </c>
      <c r="B907">
        <v>45819</v>
      </c>
      <c r="C907">
        <v>45828</v>
      </c>
      <c r="D907" t="s">
        <v>21</v>
      </c>
      <c r="E907">
        <v>1200</v>
      </c>
      <c r="F907">
        <v>843.96</v>
      </c>
      <c r="G907">
        <v>3.27</v>
      </c>
      <c r="H907">
        <v>979635.01</v>
      </c>
      <c r="I907" t="s">
        <v>1728</v>
      </c>
      <c r="J907">
        <v>724.1</v>
      </c>
      <c r="K907">
        <v>868920</v>
      </c>
      <c r="L907">
        <v>21570.84</v>
      </c>
      <c r="M907">
        <v>3342.14</v>
      </c>
      <c r="N907">
        <v>6634.17</v>
      </c>
      <c r="O907">
        <v>900467.15</v>
      </c>
      <c r="P907">
        <v>110715.01</v>
      </c>
      <c r="Q907">
        <v>79167.86</v>
      </c>
      <c r="R907" t="s">
        <v>65</v>
      </c>
      <c r="S907">
        <v>979635.01</v>
      </c>
      <c r="T907">
        <v>0</v>
      </c>
      <c r="U907" t="s">
        <v>66</v>
      </c>
      <c r="V907" t="s">
        <v>12</v>
      </c>
      <c r="W907" t="s">
        <v>67</v>
      </c>
      <c r="X907" t="s">
        <v>176</v>
      </c>
      <c r="Y907" t="s">
        <v>22</v>
      </c>
      <c r="Z907">
        <v>1.43</v>
      </c>
      <c r="AA907">
        <f t="shared" si="42"/>
        <v>79167.86</v>
      </c>
      <c r="AB907">
        <f t="shared" si="43"/>
        <v>8.0813628741177798E-2</v>
      </c>
      <c r="AC907">
        <f t="shared" si="44"/>
        <v>0</v>
      </c>
      <c r="AD907">
        <v>2025</v>
      </c>
      <c r="AE907">
        <v>6</v>
      </c>
      <c r="AF907" t="s">
        <v>111</v>
      </c>
      <c r="AG907" t="s">
        <v>112</v>
      </c>
    </row>
    <row r="908" spans="1:33">
      <c r="A908" t="s">
        <v>1059</v>
      </c>
      <c r="B908">
        <v>45628</v>
      </c>
      <c r="C908">
        <v>45641</v>
      </c>
      <c r="D908" t="s">
        <v>21</v>
      </c>
      <c r="E908">
        <v>200</v>
      </c>
      <c r="F908">
        <v>909</v>
      </c>
      <c r="G908">
        <v>1.06</v>
      </c>
      <c r="H908">
        <v>179872.92</v>
      </c>
      <c r="I908" t="s">
        <v>1729</v>
      </c>
      <c r="J908">
        <v>721.52</v>
      </c>
      <c r="K908">
        <v>144304</v>
      </c>
      <c r="L908">
        <v>4735.45</v>
      </c>
      <c r="M908">
        <v>743.36</v>
      </c>
      <c r="N908">
        <v>6677.77</v>
      </c>
      <c r="O908">
        <v>156460.57999999999</v>
      </c>
      <c r="P908">
        <v>35568.92</v>
      </c>
      <c r="Q908">
        <v>23412.34</v>
      </c>
      <c r="R908" t="s">
        <v>65</v>
      </c>
      <c r="S908">
        <v>179872.92</v>
      </c>
      <c r="T908">
        <v>0</v>
      </c>
      <c r="U908" t="s">
        <v>66</v>
      </c>
      <c r="V908" t="s">
        <v>6</v>
      </c>
      <c r="W908" t="s">
        <v>67</v>
      </c>
      <c r="X908" t="s">
        <v>108</v>
      </c>
      <c r="Y908" t="s">
        <v>22</v>
      </c>
      <c r="Z908">
        <v>2.14</v>
      </c>
      <c r="AA908">
        <f t="shared" si="42"/>
        <v>23412.34</v>
      </c>
      <c r="AB908">
        <f t="shared" si="43"/>
        <v>0.13016044883243125</v>
      </c>
      <c r="AC908">
        <f t="shared" si="44"/>
        <v>0</v>
      </c>
      <c r="AD908">
        <v>2024</v>
      </c>
      <c r="AE908">
        <v>12</v>
      </c>
      <c r="AF908" t="s">
        <v>98</v>
      </c>
      <c r="AG908" t="s">
        <v>99</v>
      </c>
    </row>
    <row r="909" spans="1:33">
      <c r="A909" t="s">
        <v>1060</v>
      </c>
      <c r="B909">
        <v>45718</v>
      </c>
      <c r="C909">
        <v>45721</v>
      </c>
      <c r="D909" t="s">
        <v>21</v>
      </c>
      <c r="E909">
        <v>1000</v>
      </c>
      <c r="F909">
        <v>892.16</v>
      </c>
      <c r="G909">
        <v>2.15</v>
      </c>
      <c r="H909">
        <v>872978.56</v>
      </c>
      <c r="I909" t="s">
        <v>1727</v>
      </c>
      <c r="J909">
        <v>697.53</v>
      </c>
      <c r="K909">
        <v>697530</v>
      </c>
      <c r="L909">
        <v>11898.71</v>
      </c>
      <c r="M909">
        <v>5954.75</v>
      </c>
      <c r="N909">
        <v>1964.85</v>
      </c>
      <c r="O909">
        <v>717348.31</v>
      </c>
      <c r="P909">
        <v>175448.56</v>
      </c>
      <c r="Q909">
        <v>155630.25</v>
      </c>
      <c r="R909" t="s">
        <v>65</v>
      </c>
      <c r="S909">
        <v>872978.56</v>
      </c>
      <c r="T909">
        <v>0</v>
      </c>
      <c r="U909" t="s">
        <v>73</v>
      </c>
      <c r="V909" t="s">
        <v>10</v>
      </c>
      <c r="W909" t="s">
        <v>92</v>
      </c>
      <c r="X909" t="s">
        <v>371</v>
      </c>
      <c r="Y909" t="s">
        <v>26</v>
      </c>
      <c r="Z909">
        <v>1.48</v>
      </c>
      <c r="AA909">
        <f t="shared" si="42"/>
        <v>155630.25</v>
      </c>
      <c r="AB909">
        <f t="shared" si="43"/>
        <v>0.17827499681091824</v>
      </c>
      <c r="AC909">
        <f t="shared" si="44"/>
        <v>0</v>
      </c>
      <c r="AD909">
        <v>2025</v>
      </c>
      <c r="AE909">
        <v>3</v>
      </c>
      <c r="AF909" t="s">
        <v>105</v>
      </c>
      <c r="AG909" t="s">
        <v>106</v>
      </c>
    </row>
    <row r="910" spans="1:33">
      <c r="A910" t="s">
        <v>1061</v>
      </c>
      <c r="B910">
        <v>45306</v>
      </c>
      <c r="D910" t="s">
        <v>23</v>
      </c>
      <c r="E910">
        <v>50</v>
      </c>
      <c r="F910">
        <v>1366.58</v>
      </c>
      <c r="G910">
        <v>7.0000000000000007E-2</v>
      </c>
      <c r="H910">
        <v>0</v>
      </c>
      <c r="I910" t="s">
        <v>1728</v>
      </c>
      <c r="J910">
        <v>1094.02</v>
      </c>
      <c r="K910">
        <v>0</v>
      </c>
      <c r="L910">
        <v>0</v>
      </c>
      <c r="M910">
        <v>0</v>
      </c>
      <c r="N910">
        <v>0</v>
      </c>
      <c r="O910">
        <v>0</v>
      </c>
      <c r="P910">
        <v>0</v>
      </c>
      <c r="Q910">
        <v>0</v>
      </c>
      <c r="R910" t="s">
        <v>85</v>
      </c>
      <c r="S910">
        <v>0</v>
      </c>
      <c r="T910">
        <v>0</v>
      </c>
      <c r="U910" t="s">
        <v>117</v>
      </c>
      <c r="V910" t="s">
        <v>6</v>
      </c>
      <c r="W910" t="s">
        <v>141</v>
      </c>
      <c r="X910" t="s">
        <v>108</v>
      </c>
      <c r="Y910" t="s">
        <v>22</v>
      </c>
      <c r="Z910">
        <v>1.33</v>
      </c>
      <c r="AA910">
        <f t="shared" si="42"/>
        <v>0</v>
      </c>
      <c r="AB910" t="e">
        <f t="shared" si="43"/>
        <v>#DIV/0!</v>
      </c>
      <c r="AC910">
        <f t="shared" si="44"/>
        <v>0</v>
      </c>
      <c r="AD910">
        <v>2024</v>
      </c>
      <c r="AE910">
        <v>1</v>
      </c>
      <c r="AF910" t="s">
        <v>102</v>
      </c>
      <c r="AG910" t="s">
        <v>103</v>
      </c>
    </row>
    <row r="911" spans="1:33">
      <c r="A911" t="s">
        <v>1062</v>
      </c>
      <c r="B911">
        <v>45726</v>
      </c>
      <c r="C911">
        <v>45738</v>
      </c>
      <c r="D911" t="s">
        <v>25</v>
      </c>
      <c r="E911">
        <v>500</v>
      </c>
      <c r="F911">
        <v>1021.52</v>
      </c>
      <c r="G911">
        <v>0.83</v>
      </c>
      <c r="H911">
        <v>506520.69</v>
      </c>
      <c r="I911" t="s">
        <v>1726</v>
      </c>
      <c r="J911">
        <v>815.53</v>
      </c>
      <c r="K911">
        <v>407765</v>
      </c>
      <c r="L911">
        <v>11731.37</v>
      </c>
      <c r="M911">
        <v>1627.98</v>
      </c>
      <c r="N911">
        <v>8839</v>
      </c>
      <c r="O911">
        <v>429963.35</v>
      </c>
      <c r="P911">
        <v>98755.69</v>
      </c>
      <c r="Q911">
        <v>76557.34</v>
      </c>
      <c r="R911" t="s">
        <v>65</v>
      </c>
      <c r="S911">
        <v>506520.69</v>
      </c>
      <c r="T911">
        <v>0</v>
      </c>
      <c r="U911" t="s">
        <v>66</v>
      </c>
      <c r="V911" t="s">
        <v>10</v>
      </c>
      <c r="W911" t="s">
        <v>80</v>
      </c>
      <c r="X911" t="s">
        <v>110</v>
      </c>
      <c r="Y911" t="s">
        <v>28</v>
      </c>
      <c r="Z911">
        <v>1.98</v>
      </c>
      <c r="AA911">
        <f t="shared" si="42"/>
        <v>76557.34</v>
      </c>
      <c r="AB911">
        <f t="shared" si="43"/>
        <v>0.15114355940721788</v>
      </c>
      <c r="AC911">
        <f t="shared" si="44"/>
        <v>0</v>
      </c>
      <c r="AD911">
        <v>2025</v>
      </c>
      <c r="AE911">
        <v>3</v>
      </c>
      <c r="AF911" t="s">
        <v>105</v>
      </c>
      <c r="AG911" t="s">
        <v>106</v>
      </c>
    </row>
    <row r="912" spans="1:33">
      <c r="A912" t="s">
        <v>1063</v>
      </c>
      <c r="B912">
        <v>46014</v>
      </c>
      <c r="C912">
        <v>46015</v>
      </c>
      <c r="D912" t="s">
        <v>23</v>
      </c>
      <c r="E912">
        <v>500</v>
      </c>
      <c r="F912">
        <v>1344.63</v>
      </c>
      <c r="G912">
        <v>2.2599999999999998</v>
      </c>
      <c r="H912">
        <v>657120.68000000005</v>
      </c>
      <c r="I912" t="s">
        <v>1728</v>
      </c>
      <c r="J912">
        <v>1007.91</v>
      </c>
      <c r="K912">
        <v>503955</v>
      </c>
      <c r="L912">
        <v>11617.16</v>
      </c>
      <c r="M912">
        <v>1663.08</v>
      </c>
      <c r="N912">
        <v>7001.86</v>
      </c>
      <c r="O912">
        <v>524237.1</v>
      </c>
      <c r="P912">
        <v>153165.68</v>
      </c>
      <c r="Q912">
        <v>132883.57999999999</v>
      </c>
      <c r="R912" t="s">
        <v>65</v>
      </c>
      <c r="S912">
        <v>657120.68000000005</v>
      </c>
      <c r="T912">
        <v>0</v>
      </c>
      <c r="U912" t="s">
        <v>66</v>
      </c>
      <c r="V912" t="s">
        <v>6</v>
      </c>
      <c r="W912" t="s">
        <v>74</v>
      </c>
      <c r="X912" t="s">
        <v>142</v>
      </c>
      <c r="Y912" t="s">
        <v>28</v>
      </c>
      <c r="Z912">
        <v>1.48</v>
      </c>
      <c r="AA912">
        <f t="shared" si="42"/>
        <v>132883.57999999999</v>
      </c>
      <c r="AB912">
        <f t="shared" si="43"/>
        <v>0.20222096799631992</v>
      </c>
      <c r="AC912">
        <f t="shared" si="44"/>
        <v>0</v>
      </c>
      <c r="AD912">
        <v>2025</v>
      </c>
      <c r="AE912">
        <v>12</v>
      </c>
      <c r="AF912" t="s">
        <v>98</v>
      </c>
      <c r="AG912" t="s">
        <v>168</v>
      </c>
    </row>
    <row r="913" spans="1:33">
      <c r="A913" t="s">
        <v>1064</v>
      </c>
      <c r="B913">
        <v>45915</v>
      </c>
      <c r="C913">
        <v>45916</v>
      </c>
      <c r="D913" t="s">
        <v>21</v>
      </c>
      <c r="E913">
        <v>200</v>
      </c>
      <c r="F913">
        <v>876.13</v>
      </c>
      <c r="G913">
        <v>1.98</v>
      </c>
      <c r="H913">
        <v>171756.53</v>
      </c>
      <c r="I913" t="s">
        <v>1728</v>
      </c>
      <c r="J913">
        <v>687.43</v>
      </c>
      <c r="K913">
        <v>137486</v>
      </c>
      <c r="L913">
        <v>4156.95</v>
      </c>
      <c r="M913">
        <v>496.22</v>
      </c>
      <c r="N913">
        <v>3750.29</v>
      </c>
      <c r="O913">
        <v>145889.46</v>
      </c>
      <c r="P913">
        <v>34270.53</v>
      </c>
      <c r="Q913">
        <v>25867.07</v>
      </c>
      <c r="R913" t="s">
        <v>65</v>
      </c>
      <c r="S913">
        <v>171756.53</v>
      </c>
      <c r="T913">
        <v>0</v>
      </c>
      <c r="U913" t="s">
        <v>66</v>
      </c>
      <c r="V913" t="s">
        <v>6</v>
      </c>
      <c r="W913" t="s">
        <v>74</v>
      </c>
      <c r="X913" t="s">
        <v>159</v>
      </c>
      <c r="Y913" t="s">
        <v>30</v>
      </c>
      <c r="Z913">
        <v>2.15</v>
      </c>
      <c r="AA913">
        <f t="shared" si="42"/>
        <v>25867.07</v>
      </c>
      <c r="AB913">
        <f t="shared" si="43"/>
        <v>0.15060312408500567</v>
      </c>
      <c r="AC913">
        <f t="shared" si="44"/>
        <v>0</v>
      </c>
      <c r="AD913">
        <v>2025</v>
      </c>
      <c r="AE913">
        <v>9</v>
      </c>
      <c r="AF913" t="s">
        <v>131</v>
      </c>
      <c r="AG913" t="s">
        <v>132</v>
      </c>
    </row>
    <row r="914" spans="1:33">
      <c r="A914" t="s">
        <v>1065</v>
      </c>
      <c r="B914">
        <v>45434</v>
      </c>
      <c r="C914">
        <v>45447</v>
      </c>
      <c r="D914" t="s">
        <v>25</v>
      </c>
      <c r="E914">
        <v>1000</v>
      </c>
      <c r="F914">
        <v>1024.6400000000001</v>
      </c>
      <c r="G914">
        <v>4.32</v>
      </c>
      <c r="H914">
        <v>980375.55</v>
      </c>
      <c r="I914" t="s">
        <v>1726</v>
      </c>
      <c r="J914">
        <v>717.67</v>
      </c>
      <c r="K914">
        <v>717670</v>
      </c>
      <c r="L914">
        <v>11493.16</v>
      </c>
      <c r="M914">
        <v>3564.62</v>
      </c>
      <c r="N914">
        <v>422.4</v>
      </c>
      <c r="O914">
        <v>733150.18</v>
      </c>
      <c r="P914">
        <v>262705.55</v>
      </c>
      <c r="Q914">
        <v>247225.37</v>
      </c>
      <c r="R914" t="s">
        <v>65</v>
      </c>
      <c r="S914">
        <v>980375.55</v>
      </c>
      <c r="T914">
        <v>0</v>
      </c>
      <c r="U914" t="s">
        <v>66</v>
      </c>
      <c r="V914" t="s">
        <v>8</v>
      </c>
      <c r="W914" t="s">
        <v>67</v>
      </c>
      <c r="X914" t="s">
        <v>93</v>
      </c>
      <c r="Y914" t="s">
        <v>26</v>
      </c>
      <c r="Z914">
        <v>1.5</v>
      </c>
      <c r="AA914">
        <f t="shared" si="42"/>
        <v>247225.37</v>
      </c>
      <c r="AB914">
        <f t="shared" si="43"/>
        <v>0.25217414897790952</v>
      </c>
      <c r="AC914">
        <f t="shared" si="44"/>
        <v>0</v>
      </c>
      <c r="AD914">
        <v>2024</v>
      </c>
      <c r="AE914">
        <v>5</v>
      </c>
      <c r="AF914" t="s">
        <v>76</v>
      </c>
      <c r="AG914" t="s">
        <v>77</v>
      </c>
    </row>
    <row r="915" spans="1:33">
      <c r="A915" t="s">
        <v>1066</v>
      </c>
      <c r="B915">
        <v>45789</v>
      </c>
      <c r="C915">
        <v>45790</v>
      </c>
      <c r="D915" t="s">
        <v>23</v>
      </c>
      <c r="E915">
        <v>50</v>
      </c>
      <c r="F915">
        <v>1291.83</v>
      </c>
      <c r="G915">
        <v>0.7</v>
      </c>
      <c r="H915">
        <v>64139.360000000001</v>
      </c>
      <c r="I915" t="s">
        <v>1727</v>
      </c>
      <c r="J915">
        <v>1041.73</v>
      </c>
      <c r="K915">
        <v>52086.5</v>
      </c>
      <c r="L915">
        <v>869.74</v>
      </c>
      <c r="M915">
        <v>141.97</v>
      </c>
      <c r="N915">
        <v>11196.61</v>
      </c>
      <c r="O915">
        <v>64294.82</v>
      </c>
      <c r="P915">
        <v>12052.86</v>
      </c>
      <c r="Q915">
        <v>-155.46</v>
      </c>
      <c r="R915" t="s">
        <v>65</v>
      </c>
      <c r="S915">
        <v>64139.360000000001</v>
      </c>
      <c r="T915">
        <v>0</v>
      </c>
      <c r="U915" t="s">
        <v>66</v>
      </c>
      <c r="V915" t="s">
        <v>12</v>
      </c>
      <c r="W915" t="s">
        <v>67</v>
      </c>
      <c r="X915" t="s">
        <v>208</v>
      </c>
      <c r="Y915" t="s">
        <v>26</v>
      </c>
      <c r="Z915">
        <v>1.66</v>
      </c>
      <c r="AA915">
        <f t="shared" si="42"/>
        <v>-155.46</v>
      </c>
      <c r="AB915">
        <f t="shared" si="43"/>
        <v>-2.4237847087965956E-3</v>
      </c>
      <c r="AC915">
        <f t="shared" si="44"/>
        <v>0</v>
      </c>
      <c r="AD915">
        <v>2025</v>
      </c>
      <c r="AE915">
        <v>5</v>
      </c>
      <c r="AF915" t="s">
        <v>76</v>
      </c>
      <c r="AG915" t="s">
        <v>94</v>
      </c>
    </row>
    <row r="916" spans="1:33">
      <c r="A916" t="s">
        <v>1067</v>
      </c>
      <c r="B916">
        <v>45951</v>
      </c>
      <c r="C916">
        <v>45958</v>
      </c>
      <c r="D916" t="s">
        <v>25</v>
      </c>
      <c r="E916">
        <v>1000</v>
      </c>
      <c r="F916">
        <v>945.12</v>
      </c>
      <c r="G916">
        <v>3.49</v>
      </c>
      <c r="H916">
        <v>912135.31</v>
      </c>
      <c r="I916" t="s">
        <v>1726</v>
      </c>
      <c r="J916">
        <v>808.13</v>
      </c>
      <c r="K916">
        <v>808130</v>
      </c>
      <c r="L916">
        <v>13657.4</v>
      </c>
      <c r="M916">
        <v>5824.99</v>
      </c>
      <c r="N916">
        <v>2746.56</v>
      </c>
      <c r="O916">
        <v>830358.95</v>
      </c>
      <c r="P916">
        <v>104005.31</v>
      </c>
      <c r="Q916">
        <v>81776.36</v>
      </c>
      <c r="R916" t="s">
        <v>85</v>
      </c>
      <c r="S916">
        <v>480516.53</v>
      </c>
      <c r="T916">
        <v>431618.78</v>
      </c>
      <c r="U916" t="s">
        <v>66</v>
      </c>
      <c r="V916" t="s">
        <v>8</v>
      </c>
      <c r="W916" t="s">
        <v>74</v>
      </c>
      <c r="X916" t="s">
        <v>162</v>
      </c>
      <c r="Y916" t="s">
        <v>26</v>
      </c>
      <c r="Z916">
        <v>0.15</v>
      </c>
      <c r="AA916">
        <f t="shared" si="42"/>
        <v>81776.36</v>
      </c>
      <c r="AB916">
        <f t="shared" si="43"/>
        <v>8.9653759813332956E-2</v>
      </c>
      <c r="AC916">
        <f t="shared" si="44"/>
        <v>0</v>
      </c>
      <c r="AD916">
        <v>2025</v>
      </c>
      <c r="AE916">
        <v>10</v>
      </c>
      <c r="AF916" t="s">
        <v>138</v>
      </c>
      <c r="AG916" t="s">
        <v>160</v>
      </c>
    </row>
    <row r="917" spans="1:33">
      <c r="A917" t="s">
        <v>1068</v>
      </c>
      <c r="B917">
        <v>45318</v>
      </c>
      <c r="C917">
        <v>45331</v>
      </c>
      <c r="D917" t="s">
        <v>27</v>
      </c>
      <c r="E917">
        <v>300</v>
      </c>
      <c r="F917">
        <v>715.33</v>
      </c>
      <c r="G917">
        <v>1.21</v>
      </c>
      <c r="H917">
        <v>212002.35</v>
      </c>
      <c r="I917" t="s">
        <v>1727</v>
      </c>
      <c r="J917">
        <v>545.6</v>
      </c>
      <c r="K917">
        <v>163680</v>
      </c>
      <c r="L917">
        <v>2087.61</v>
      </c>
      <c r="M917">
        <v>1384.6</v>
      </c>
      <c r="N917">
        <v>5028.71</v>
      </c>
      <c r="O917">
        <v>172180.92</v>
      </c>
      <c r="P917">
        <v>48322.35</v>
      </c>
      <c r="Q917">
        <v>39821.43</v>
      </c>
      <c r="R917" t="s">
        <v>65</v>
      </c>
      <c r="S917">
        <v>212002.35</v>
      </c>
      <c r="T917">
        <v>0</v>
      </c>
      <c r="U917" t="s">
        <v>66</v>
      </c>
      <c r="V917" t="s">
        <v>8</v>
      </c>
      <c r="W917" t="s">
        <v>92</v>
      </c>
      <c r="X917" t="s">
        <v>125</v>
      </c>
      <c r="Y917" t="s">
        <v>24</v>
      </c>
      <c r="Z917">
        <v>0.86</v>
      </c>
      <c r="AA917">
        <f t="shared" si="42"/>
        <v>39821.43</v>
      </c>
      <c r="AB917">
        <f t="shared" si="43"/>
        <v>0.18783485183065188</v>
      </c>
      <c r="AC917">
        <f t="shared" si="44"/>
        <v>0</v>
      </c>
      <c r="AD917">
        <v>2024</v>
      </c>
      <c r="AE917">
        <v>1</v>
      </c>
      <c r="AF917" t="s">
        <v>102</v>
      </c>
      <c r="AG917" t="s">
        <v>103</v>
      </c>
    </row>
    <row r="918" spans="1:33">
      <c r="A918" t="s">
        <v>1069</v>
      </c>
      <c r="B918">
        <v>45648</v>
      </c>
      <c r="C918">
        <v>45650</v>
      </c>
      <c r="D918" t="s">
        <v>21</v>
      </c>
      <c r="E918">
        <v>50</v>
      </c>
      <c r="F918">
        <v>946.07</v>
      </c>
      <c r="G918">
        <v>0.34</v>
      </c>
      <c r="H918">
        <v>47142.67</v>
      </c>
      <c r="I918" t="s">
        <v>1728</v>
      </c>
      <c r="J918">
        <v>673.11</v>
      </c>
      <c r="K918">
        <v>33655.5</v>
      </c>
      <c r="L918">
        <v>264.04000000000002</v>
      </c>
      <c r="M918">
        <v>212.49</v>
      </c>
      <c r="N918">
        <v>9625.99</v>
      </c>
      <c r="O918">
        <v>43758.02</v>
      </c>
      <c r="P918">
        <v>13487.17</v>
      </c>
      <c r="Q918">
        <v>3384.65</v>
      </c>
      <c r="R918" t="s">
        <v>65</v>
      </c>
      <c r="S918">
        <v>47142.67</v>
      </c>
      <c r="T918">
        <v>0</v>
      </c>
      <c r="U918" t="s">
        <v>66</v>
      </c>
      <c r="V918" t="s">
        <v>6</v>
      </c>
      <c r="W918" t="s">
        <v>74</v>
      </c>
      <c r="X918" t="s">
        <v>275</v>
      </c>
      <c r="Y918" t="s">
        <v>31</v>
      </c>
      <c r="Z918">
        <v>1.71</v>
      </c>
      <c r="AA918">
        <f t="shared" si="42"/>
        <v>3384.65</v>
      </c>
      <c r="AB918">
        <f t="shared" si="43"/>
        <v>7.1795891068537274E-2</v>
      </c>
      <c r="AC918">
        <f t="shared" si="44"/>
        <v>0</v>
      </c>
      <c r="AD918">
        <v>2024</v>
      </c>
      <c r="AE918">
        <v>12</v>
      </c>
      <c r="AF918" t="s">
        <v>98</v>
      </c>
      <c r="AG918" t="s">
        <v>99</v>
      </c>
    </row>
    <row r="919" spans="1:33">
      <c r="A919" t="s">
        <v>1070</v>
      </c>
      <c r="B919">
        <v>45637</v>
      </c>
      <c r="C919">
        <v>45647</v>
      </c>
      <c r="D919" t="s">
        <v>23</v>
      </c>
      <c r="E919">
        <v>50</v>
      </c>
      <c r="F919">
        <v>1344.86</v>
      </c>
      <c r="G919">
        <v>1.42</v>
      </c>
      <c r="H919">
        <v>66288.149999999994</v>
      </c>
      <c r="I919" t="s">
        <v>1728</v>
      </c>
      <c r="J919">
        <v>1119.8800000000001</v>
      </c>
      <c r="K919">
        <v>55994</v>
      </c>
      <c r="L919">
        <v>1194.8499999999999</v>
      </c>
      <c r="M919">
        <v>237.95</v>
      </c>
      <c r="N919">
        <v>7304.88</v>
      </c>
      <c r="O919">
        <v>64731.68</v>
      </c>
      <c r="P919">
        <v>10294.15</v>
      </c>
      <c r="Q919">
        <v>1556.47</v>
      </c>
      <c r="R919" t="s">
        <v>65</v>
      </c>
      <c r="S919">
        <v>66288.149999999994</v>
      </c>
      <c r="T919">
        <v>0</v>
      </c>
      <c r="U919" t="s">
        <v>66</v>
      </c>
      <c r="V919" t="s">
        <v>6</v>
      </c>
      <c r="W919" t="s">
        <v>67</v>
      </c>
      <c r="X919" t="s">
        <v>375</v>
      </c>
      <c r="Y919" t="s">
        <v>30</v>
      </c>
      <c r="Z919">
        <v>0.86</v>
      </c>
      <c r="AA919">
        <f t="shared" si="42"/>
        <v>1556.47</v>
      </c>
      <c r="AB919">
        <f t="shared" si="43"/>
        <v>2.3480365646046844E-2</v>
      </c>
      <c r="AC919">
        <f t="shared" si="44"/>
        <v>0</v>
      </c>
      <c r="AD919">
        <v>2024</v>
      </c>
      <c r="AE919">
        <v>12</v>
      </c>
      <c r="AF919" t="s">
        <v>98</v>
      </c>
      <c r="AG919" t="s">
        <v>99</v>
      </c>
    </row>
    <row r="920" spans="1:33">
      <c r="A920" t="s">
        <v>1071</v>
      </c>
      <c r="B920">
        <v>45397</v>
      </c>
      <c r="C920">
        <v>45401</v>
      </c>
      <c r="D920" t="s">
        <v>27</v>
      </c>
      <c r="E920">
        <v>500</v>
      </c>
      <c r="F920">
        <v>687.52</v>
      </c>
      <c r="G920">
        <v>0.8</v>
      </c>
      <c r="H920">
        <v>341009.91999999998</v>
      </c>
      <c r="I920" t="s">
        <v>1727</v>
      </c>
      <c r="J920">
        <v>599.89</v>
      </c>
      <c r="K920">
        <v>299945</v>
      </c>
      <c r="L920">
        <v>11883</v>
      </c>
      <c r="M920">
        <v>1575.64</v>
      </c>
      <c r="N920">
        <v>3300.12</v>
      </c>
      <c r="O920">
        <v>316703.76</v>
      </c>
      <c r="P920">
        <v>41064.92</v>
      </c>
      <c r="Q920">
        <v>24306.16</v>
      </c>
      <c r="R920" t="s">
        <v>65</v>
      </c>
      <c r="S920">
        <v>341009.91999999998</v>
      </c>
      <c r="T920">
        <v>0</v>
      </c>
      <c r="U920" t="s">
        <v>66</v>
      </c>
      <c r="V920" t="s">
        <v>8</v>
      </c>
      <c r="W920" t="s">
        <v>74</v>
      </c>
      <c r="X920" t="s">
        <v>195</v>
      </c>
      <c r="Y920" t="s">
        <v>26</v>
      </c>
      <c r="Z920">
        <v>1.56</v>
      </c>
      <c r="AA920">
        <f t="shared" si="42"/>
        <v>24306.16</v>
      </c>
      <c r="AB920">
        <f t="shared" si="43"/>
        <v>7.1276988071197464E-2</v>
      </c>
      <c r="AC920">
        <f t="shared" si="44"/>
        <v>0</v>
      </c>
      <c r="AD920">
        <v>2024</v>
      </c>
      <c r="AE920">
        <v>4</v>
      </c>
      <c r="AF920" t="s">
        <v>154</v>
      </c>
      <c r="AG920" t="s">
        <v>157</v>
      </c>
    </row>
    <row r="921" spans="1:33">
      <c r="A921" t="s">
        <v>1072</v>
      </c>
      <c r="B921">
        <v>45660</v>
      </c>
      <c r="C921">
        <v>45664</v>
      </c>
      <c r="D921" t="s">
        <v>21</v>
      </c>
      <c r="E921">
        <v>250</v>
      </c>
      <c r="F921">
        <v>916.78</v>
      </c>
      <c r="G921">
        <v>1.23</v>
      </c>
      <c r="H921">
        <v>226375.9</v>
      </c>
      <c r="I921" t="s">
        <v>1726</v>
      </c>
      <c r="J921">
        <v>749.23</v>
      </c>
      <c r="K921">
        <v>187307.5</v>
      </c>
      <c r="L921">
        <v>2201.5100000000002</v>
      </c>
      <c r="M921">
        <v>862.63</v>
      </c>
      <c r="N921">
        <v>2784.89</v>
      </c>
      <c r="O921">
        <v>193156.53</v>
      </c>
      <c r="P921">
        <v>39068.400000000001</v>
      </c>
      <c r="Q921">
        <v>33219.370000000003</v>
      </c>
      <c r="R921" t="s">
        <v>134</v>
      </c>
      <c r="S921">
        <v>0</v>
      </c>
      <c r="T921">
        <v>226375.9</v>
      </c>
      <c r="U921" t="s">
        <v>66</v>
      </c>
      <c r="V921" t="s">
        <v>14</v>
      </c>
      <c r="W921" t="s">
        <v>74</v>
      </c>
      <c r="X921" t="s">
        <v>142</v>
      </c>
      <c r="Y921" t="s">
        <v>28</v>
      </c>
      <c r="Z921">
        <v>2.33</v>
      </c>
      <c r="AA921">
        <f t="shared" si="42"/>
        <v>33219.370000000003</v>
      </c>
      <c r="AB921">
        <f t="shared" si="43"/>
        <v>0.14674428682558524</v>
      </c>
      <c r="AC921">
        <f t="shared" si="44"/>
        <v>0</v>
      </c>
      <c r="AD921">
        <v>2025</v>
      </c>
      <c r="AE921">
        <v>1</v>
      </c>
      <c r="AF921" t="s">
        <v>102</v>
      </c>
      <c r="AG921" t="s">
        <v>118</v>
      </c>
    </row>
    <row r="922" spans="1:33">
      <c r="A922" t="s">
        <v>1073</v>
      </c>
      <c r="B922">
        <v>45925</v>
      </c>
      <c r="C922">
        <v>45925</v>
      </c>
      <c r="D922" t="s">
        <v>23</v>
      </c>
      <c r="E922">
        <v>750</v>
      </c>
      <c r="F922">
        <v>1340.05</v>
      </c>
      <c r="G922">
        <v>4.1900000000000004</v>
      </c>
      <c r="H922">
        <v>962926.43</v>
      </c>
      <c r="I922" t="s">
        <v>1726</v>
      </c>
      <c r="J922">
        <v>1050.05</v>
      </c>
      <c r="K922">
        <v>787537.5</v>
      </c>
      <c r="L922">
        <v>8217.76</v>
      </c>
      <c r="M922">
        <v>3177.39</v>
      </c>
      <c r="N922">
        <v>11757.88</v>
      </c>
      <c r="O922">
        <v>810690.53</v>
      </c>
      <c r="P922">
        <v>175388.93</v>
      </c>
      <c r="Q922">
        <v>152235.9</v>
      </c>
      <c r="R922" t="s">
        <v>65</v>
      </c>
      <c r="S922">
        <v>962926.43</v>
      </c>
      <c r="T922">
        <v>0</v>
      </c>
      <c r="U922" t="s">
        <v>66</v>
      </c>
      <c r="V922" t="s">
        <v>10</v>
      </c>
      <c r="W922" t="s">
        <v>67</v>
      </c>
      <c r="X922" t="s">
        <v>327</v>
      </c>
      <c r="Y922" t="s">
        <v>26</v>
      </c>
      <c r="Z922">
        <v>2.27</v>
      </c>
      <c r="AA922">
        <f t="shared" si="42"/>
        <v>152235.9</v>
      </c>
      <c r="AB922">
        <f t="shared" si="43"/>
        <v>0.15809712482395979</v>
      </c>
      <c r="AC922">
        <f t="shared" si="44"/>
        <v>0</v>
      </c>
      <c r="AD922">
        <v>2025</v>
      </c>
      <c r="AE922">
        <v>9</v>
      </c>
      <c r="AF922" t="s">
        <v>131</v>
      </c>
      <c r="AG922" t="s">
        <v>132</v>
      </c>
    </row>
    <row r="923" spans="1:33">
      <c r="A923" t="s">
        <v>1074</v>
      </c>
      <c r="B923">
        <v>45578</v>
      </c>
      <c r="C923">
        <v>45584</v>
      </c>
      <c r="D923" t="s">
        <v>27</v>
      </c>
      <c r="E923">
        <v>250</v>
      </c>
      <c r="F923">
        <v>785.9</v>
      </c>
      <c r="G923">
        <v>1.01</v>
      </c>
      <c r="H923">
        <v>194490.6</v>
      </c>
      <c r="I923" t="s">
        <v>1726</v>
      </c>
      <c r="J923">
        <v>552.51</v>
      </c>
      <c r="K923">
        <v>138127.5</v>
      </c>
      <c r="L923">
        <v>5191.1899999999996</v>
      </c>
      <c r="M923">
        <v>1124.8900000000001</v>
      </c>
      <c r="N923">
        <v>2033.84</v>
      </c>
      <c r="O923">
        <v>146477.42000000001</v>
      </c>
      <c r="P923">
        <v>56363.1</v>
      </c>
      <c r="Q923">
        <v>48013.18</v>
      </c>
      <c r="R923" t="s">
        <v>65</v>
      </c>
      <c r="S923">
        <v>194490.6</v>
      </c>
      <c r="T923">
        <v>0</v>
      </c>
      <c r="U923" t="s">
        <v>66</v>
      </c>
      <c r="V923" t="s">
        <v>6</v>
      </c>
      <c r="W923" t="s">
        <v>92</v>
      </c>
      <c r="X923" t="s">
        <v>145</v>
      </c>
      <c r="Y923" t="s">
        <v>30</v>
      </c>
      <c r="Z923">
        <v>1.93</v>
      </c>
      <c r="AA923">
        <f t="shared" si="42"/>
        <v>48013.18</v>
      </c>
      <c r="AB923">
        <f t="shared" si="43"/>
        <v>0.24686632670165035</v>
      </c>
      <c r="AC923">
        <f t="shared" si="44"/>
        <v>0</v>
      </c>
      <c r="AD923">
        <v>2024</v>
      </c>
      <c r="AE923">
        <v>10</v>
      </c>
      <c r="AF923" t="s">
        <v>138</v>
      </c>
      <c r="AG923" t="s">
        <v>139</v>
      </c>
    </row>
    <row r="924" spans="1:33">
      <c r="A924" t="s">
        <v>1075</v>
      </c>
      <c r="B924">
        <v>45902</v>
      </c>
      <c r="C924">
        <v>45904</v>
      </c>
      <c r="D924" t="s">
        <v>23</v>
      </c>
      <c r="E924">
        <v>100</v>
      </c>
      <c r="F924">
        <v>1256.83</v>
      </c>
      <c r="G924">
        <v>2.44</v>
      </c>
      <c r="H924">
        <v>122616.33</v>
      </c>
      <c r="I924" t="s">
        <v>1728</v>
      </c>
      <c r="J924">
        <v>992.61</v>
      </c>
      <c r="K924">
        <v>99261</v>
      </c>
      <c r="L924">
        <v>1593.12</v>
      </c>
      <c r="M924">
        <v>367.4</v>
      </c>
      <c r="N924">
        <v>3055.94</v>
      </c>
      <c r="O924">
        <v>104277.46</v>
      </c>
      <c r="P924">
        <v>23355.33</v>
      </c>
      <c r="Q924">
        <v>18338.87</v>
      </c>
      <c r="R924" t="s">
        <v>65</v>
      </c>
      <c r="S924">
        <v>122616.33</v>
      </c>
      <c r="T924">
        <v>0</v>
      </c>
      <c r="U924" t="s">
        <v>73</v>
      </c>
      <c r="V924" t="s">
        <v>14</v>
      </c>
      <c r="W924" t="s">
        <v>80</v>
      </c>
      <c r="X924" t="s">
        <v>371</v>
      </c>
      <c r="Y924" t="s">
        <v>26</v>
      </c>
      <c r="Z924">
        <v>1.25</v>
      </c>
      <c r="AA924">
        <f t="shared" si="42"/>
        <v>18338.87</v>
      </c>
      <c r="AB924">
        <f t="shared" si="43"/>
        <v>0.14956303128628951</v>
      </c>
      <c r="AC924">
        <f t="shared" si="44"/>
        <v>0</v>
      </c>
      <c r="AD924">
        <v>2025</v>
      </c>
      <c r="AE924">
        <v>9</v>
      </c>
      <c r="AF924" t="s">
        <v>131</v>
      </c>
      <c r="AG924" t="s">
        <v>132</v>
      </c>
    </row>
    <row r="925" spans="1:33">
      <c r="A925" t="s">
        <v>1076</v>
      </c>
      <c r="B925">
        <v>45333</v>
      </c>
      <c r="C925">
        <v>45338</v>
      </c>
      <c r="D925" t="s">
        <v>25</v>
      </c>
      <c r="E925">
        <v>250</v>
      </c>
      <c r="F925">
        <v>997.81</v>
      </c>
      <c r="G925">
        <v>0.39</v>
      </c>
      <c r="H925">
        <v>248479.64</v>
      </c>
      <c r="I925" t="s">
        <v>1726</v>
      </c>
      <c r="J925">
        <v>738.22</v>
      </c>
      <c r="K925">
        <v>184555</v>
      </c>
      <c r="L925">
        <v>5151.7700000000004</v>
      </c>
      <c r="M925">
        <v>818.66</v>
      </c>
      <c r="N925">
        <v>7831.08</v>
      </c>
      <c r="O925">
        <v>198356.51</v>
      </c>
      <c r="P925">
        <v>63924.639999999999</v>
      </c>
      <c r="Q925">
        <v>50123.13</v>
      </c>
      <c r="R925" t="s">
        <v>65</v>
      </c>
      <c r="S925">
        <v>248479.64</v>
      </c>
      <c r="T925">
        <v>0</v>
      </c>
      <c r="U925" t="s">
        <v>66</v>
      </c>
      <c r="V925" t="s">
        <v>6</v>
      </c>
      <c r="W925" t="s">
        <v>74</v>
      </c>
      <c r="X925" t="s">
        <v>115</v>
      </c>
      <c r="Y925" t="s">
        <v>22</v>
      </c>
      <c r="Z925">
        <v>2.16</v>
      </c>
      <c r="AA925">
        <f t="shared" si="42"/>
        <v>50123.13</v>
      </c>
      <c r="AB925">
        <f t="shared" si="43"/>
        <v>0.20171926359841794</v>
      </c>
      <c r="AC925">
        <f t="shared" si="44"/>
        <v>0</v>
      </c>
      <c r="AD925">
        <v>2024</v>
      </c>
      <c r="AE925">
        <v>2</v>
      </c>
      <c r="AF925" t="s">
        <v>172</v>
      </c>
      <c r="AG925" t="s">
        <v>173</v>
      </c>
    </row>
    <row r="926" spans="1:33">
      <c r="A926" t="s">
        <v>1077</v>
      </c>
      <c r="B926">
        <v>45423</v>
      </c>
      <c r="D926" t="s">
        <v>21</v>
      </c>
      <c r="E926">
        <v>250</v>
      </c>
      <c r="F926">
        <v>835.2</v>
      </c>
      <c r="G926">
        <v>1.1599999999999999</v>
      </c>
      <c r="H926">
        <v>206377.92</v>
      </c>
      <c r="I926" t="s">
        <v>1726</v>
      </c>
      <c r="J926">
        <v>719.2</v>
      </c>
      <c r="K926">
        <v>179800</v>
      </c>
      <c r="L926">
        <v>3914.24</v>
      </c>
      <c r="M926">
        <v>457.07</v>
      </c>
      <c r="N926">
        <v>10472.700000000001</v>
      </c>
      <c r="O926">
        <v>194644.01</v>
      </c>
      <c r="P926">
        <v>26577.919999999998</v>
      </c>
      <c r="Q926">
        <v>11733.91</v>
      </c>
      <c r="R926" t="s">
        <v>65</v>
      </c>
      <c r="S926">
        <v>206377.92</v>
      </c>
      <c r="T926">
        <v>0</v>
      </c>
      <c r="U926" t="s">
        <v>91</v>
      </c>
      <c r="V926" t="s">
        <v>14</v>
      </c>
      <c r="W926" t="s">
        <v>74</v>
      </c>
      <c r="X926" t="s">
        <v>127</v>
      </c>
      <c r="Y926" t="s">
        <v>22</v>
      </c>
      <c r="Z926">
        <v>0.99</v>
      </c>
      <c r="AA926">
        <f t="shared" si="42"/>
        <v>11733.91</v>
      </c>
      <c r="AB926">
        <f t="shared" si="43"/>
        <v>5.6856421462140906E-2</v>
      </c>
      <c r="AC926">
        <f t="shared" si="44"/>
        <v>0</v>
      </c>
      <c r="AD926">
        <v>2024</v>
      </c>
      <c r="AE926">
        <v>5</v>
      </c>
      <c r="AF926" t="s">
        <v>76</v>
      </c>
      <c r="AG926" t="s">
        <v>77</v>
      </c>
    </row>
    <row r="927" spans="1:33">
      <c r="A927" t="s">
        <v>1078</v>
      </c>
      <c r="B927">
        <v>45408</v>
      </c>
      <c r="C927">
        <v>45408</v>
      </c>
      <c r="D927" t="s">
        <v>27</v>
      </c>
      <c r="E927">
        <v>500</v>
      </c>
      <c r="F927">
        <v>707.58</v>
      </c>
      <c r="G927">
        <v>1.44</v>
      </c>
      <c r="H927">
        <v>348695.42</v>
      </c>
      <c r="I927" t="s">
        <v>1729</v>
      </c>
      <c r="J927">
        <v>593.11</v>
      </c>
      <c r="K927">
        <v>296555</v>
      </c>
      <c r="L927">
        <v>9323.06</v>
      </c>
      <c r="M927">
        <v>2399.33</v>
      </c>
      <c r="N927">
        <v>11866.44</v>
      </c>
      <c r="O927">
        <v>320143.83</v>
      </c>
      <c r="P927">
        <v>52140.42</v>
      </c>
      <c r="Q927">
        <v>28551.59</v>
      </c>
      <c r="R927" t="s">
        <v>65</v>
      </c>
      <c r="S927">
        <v>348695.42</v>
      </c>
      <c r="T927">
        <v>0</v>
      </c>
      <c r="U927" t="s">
        <v>66</v>
      </c>
      <c r="V927" t="s">
        <v>6</v>
      </c>
      <c r="W927" t="s">
        <v>141</v>
      </c>
      <c r="X927" t="s">
        <v>108</v>
      </c>
      <c r="Y927" t="s">
        <v>22</v>
      </c>
      <c r="Z927">
        <v>1.69</v>
      </c>
      <c r="AA927">
        <f t="shared" si="42"/>
        <v>28551.59</v>
      </c>
      <c r="AB927">
        <f t="shared" si="43"/>
        <v>8.1881172973249844E-2</v>
      </c>
      <c r="AC927">
        <f t="shared" si="44"/>
        <v>0</v>
      </c>
      <c r="AD927">
        <v>2024</v>
      </c>
      <c r="AE927">
        <v>4</v>
      </c>
      <c r="AF927" t="s">
        <v>154</v>
      </c>
      <c r="AG927" t="s">
        <v>157</v>
      </c>
    </row>
    <row r="928" spans="1:33">
      <c r="A928" t="s">
        <v>1079</v>
      </c>
      <c r="B928">
        <v>45615</v>
      </c>
      <c r="C928">
        <v>45622</v>
      </c>
      <c r="D928" t="s">
        <v>27</v>
      </c>
      <c r="E928">
        <v>50</v>
      </c>
      <c r="F928">
        <v>701.97</v>
      </c>
      <c r="G928">
        <v>0.49</v>
      </c>
      <c r="H928">
        <v>34926.519999999997</v>
      </c>
      <c r="I928" t="s">
        <v>1727</v>
      </c>
      <c r="J928">
        <v>572.1</v>
      </c>
      <c r="K928">
        <v>28605</v>
      </c>
      <c r="L928">
        <v>1015.27</v>
      </c>
      <c r="M928">
        <v>159.06</v>
      </c>
      <c r="N928">
        <v>6186.99</v>
      </c>
      <c r="O928">
        <v>35966.32</v>
      </c>
      <c r="P928">
        <v>6321.52</v>
      </c>
      <c r="Q928">
        <v>-1039.8</v>
      </c>
      <c r="R928" t="s">
        <v>85</v>
      </c>
      <c r="S928">
        <v>12859.06</v>
      </c>
      <c r="T928">
        <v>22067.46</v>
      </c>
      <c r="U928" t="s">
        <v>66</v>
      </c>
      <c r="V928" t="s">
        <v>10</v>
      </c>
      <c r="W928" t="s">
        <v>80</v>
      </c>
      <c r="X928" t="s">
        <v>145</v>
      </c>
      <c r="Y928" t="s">
        <v>30</v>
      </c>
      <c r="Z928">
        <v>0.36</v>
      </c>
      <c r="AA928">
        <f t="shared" si="42"/>
        <v>-1039.8</v>
      </c>
      <c r="AB928">
        <f t="shared" si="43"/>
        <v>-2.9771073671238935E-2</v>
      </c>
      <c r="AC928">
        <f t="shared" si="44"/>
        <v>0</v>
      </c>
      <c r="AD928">
        <v>2024</v>
      </c>
      <c r="AE928">
        <v>11</v>
      </c>
      <c r="AF928" t="s">
        <v>128</v>
      </c>
      <c r="AG928" t="s">
        <v>129</v>
      </c>
    </row>
    <row r="929" spans="1:33">
      <c r="A929" t="s">
        <v>1080</v>
      </c>
      <c r="B929">
        <v>45653</v>
      </c>
      <c r="C929">
        <v>45665</v>
      </c>
      <c r="D929" t="s">
        <v>21</v>
      </c>
      <c r="E929">
        <v>1000</v>
      </c>
      <c r="F929">
        <v>935.07</v>
      </c>
      <c r="G929">
        <v>2.86</v>
      </c>
      <c r="H929">
        <v>908327</v>
      </c>
      <c r="I929" t="s">
        <v>1726</v>
      </c>
      <c r="J929">
        <v>673.03</v>
      </c>
      <c r="K929">
        <v>673030</v>
      </c>
      <c r="L929">
        <v>6713.67</v>
      </c>
      <c r="M929">
        <v>3723.89</v>
      </c>
      <c r="N929">
        <v>1093.8800000000001</v>
      </c>
      <c r="O929">
        <v>684561.44</v>
      </c>
      <c r="P929">
        <v>235297</v>
      </c>
      <c r="Q929">
        <v>223765.56</v>
      </c>
      <c r="R929" t="s">
        <v>134</v>
      </c>
      <c r="S929">
        <v>0</v>
      </c>
      <c r="T929">
        <v>908327</v>
      </c>
      <c r="U929" t="s">
        <v>73</v>
      </c>
      <c r="V929" t="s">
        <v>8</v>
      </c>
      <c r="W929" t="s">
        <v>80</v>
      </c>
      <c r="X929" t="s">
        <v>164</v>
      </c>
      <c r="Y929" t="s">
        <v>24</v>
      </c>
      <c r="Z929">
        <v>1.74</v>
      </c>
      <c r="AA929">
        <f t="shared" si="42"/>
        <v>223765.56</v>
      </c>
      <c r="AB929">
        <f t="shared" si="43"/>
        <v>0.24634912316819824</v>
      </c>
      <c r="AC929">
        <f t="shared" si="44"/>
        <v>0</v>
      </c>
      <c r="AD929">
        <v>2024</v>
      </c>
      <c r="AE929">
        <v>12</v>
      </c>
      <c r="AF929" t="s">
        <v>98</v>
      </c>
      <c r="AG929" t="s">
        <v>99</v>
      </c>
    </row>
    <row r="930" spans="1:33">
      <c r="A930" t="s">
        <v>1081</v>
      </c>
      <c r="B930">
        <v>45565</v>
      </c>
      <c r="C930">
        <v>45566</v>
      </c>
      <c r="D930" t="s">
        <v>21</v>
      </c>
      <c r="E930">
        <v>300</v>
      </c>
      <c r="F930">
        <v>914.96</v>
      </c>
      <c r="G930">
        <v>2.4700000000000002</v>
      </c>
      <c r="H930">
        <v>267708.15000000002</v>
      </c>
      <c r="I930" t="s">
        <v>1728</v>
      </c>
      <c r="J930">
        <v>727.47</v>
      </c>
      <c r="K930">
        <v>218241</v>
      </c>
      <c r="L930">
        <v>3369.17</v>
      </c>
      <c r="M930">
        <v>1778.1</v>
      </c>
      <c r="N930">
        <v>1518.75</v>
      </c>
      <c r="O930">
        <v>224907.02</v>
      </c>
      <c r="P930">
        <v>49467.15</v>
      </c>
      <c r="Q930">
        <v>42801.13</v>
      </c>
      <c r="R930" t="s">
        <v>65</v>
      </c>
      <c r="S930">
        <v>267708.15000000002</v>
      </c>
      <c r="T930">
        <v>0</v>
      </c>
      <c r="U930" t="s">
        <v>73</v>
      </c>
      <c r="V930" t="s">
        <v>6</v>
      </c>
      <c r="W930" t="s">
        <v>74</v>
      </c>
      <c r="X930" t="s">
        <v>123</v>
      </c>
      <c r="Y930" t="s">
        <v>22</v>
      </c>
      <c r="Z930">
        <v>1.82</v>
      </c>
      <c r="AA930">
        <f t="shared" si="42"/>
        <v>42801.13</v>
      </c>
      <c r="AB930">
        <f t="shared" si="43"/>
        <v>0.15987981688267613</v>
      </c>
      <c r="AC930">
        <f t="shared" si="44"/>
        <v>0</v>
      </c>
      <c r="AD930">
        <v>2024</v>
      </c>
      <c r="AE930">
        <v>9</v>
      </c>
      <c r="AF930" t="s">
        <v>131</v>
      </c>
      <c r="AG930" t="s">
        <v>188</v>
      </c>
    </row>
    <row r="931" spans="1:33">
      <c r="A931" t="s">
        <v>1082</v>
      </c>
      <c r="B931">
        <v>45606</v>
      </c>
      <c r="C931">
        <v>45612</v>
      </c>
      <c r="D931" t="s">
        <v>21</v>
      </c>
      <c r="E931">
        <v>500</v>
      </c>
      <c r="F931">
        <v>966.72</v>
      </c>
      <c r="G931">
        <v>1.1200000000000001</v>
      </c>
      <c r="H931">
        <v>477946.37</v>
      </c>
      <c r="I931" t="s">
        <v>1727</v>
      </c>
      <c r="J931">
        <v>740.07</v>
      </c>
      <c r="K931">
        <v>370035</v>
      </c>
      <c r="L931">
        <v>6510.13</v>
      </c>
      <c r="M931">
        <v>2523.34</v>
      </c>
      <c r="N931">
        <v>6214.91</v>
      </c>
      <c r="O931">
        <v>385283.38</v>
      </c>
      <c r="P931">
        <v>107911.37</v>
      </c>
      <c r="Q931">
        <v>92662.99</v>
      </c>
      <c r="R931" t="s">
        <v>65</v>
      </c>
      <c r="S931">
        <v>477946.37</v>
      </c>
      <c r="T931">
        <v>0</v>
      </c>
      <c r="U931" t="s">
        <v>66</v>
      </c>
      <c r="V931" t="s">
        <v>12</v>
      </c>
      <c r="W931" t="s">
        <v>92</v>
      </c>
      <c r="X931" t="s">
        <v>182</v>
      </c>
      <c r="Y931" t="s">
        <v>26</v>
      </c>
      <c r="Z931">
        <v>2.0099999999999998</v>
      </c>
      <c r="AA931">
        <f t="shared" si="42"/>
        <v>92662.99</v>
      </c>
      <c r="AB931">
        <f t="shared" si="43"/>
        <v>0.19387738000813776</v>
      </c>
      <c r="AC931">
        <f t="shared" si="44"/>
        <v>0</v>
      </c>
      <c r="AD931">
        <v>2024</v>
      </c>
      <c r="AE931">
        <v>11</v>
      </c>
      <c r="AF931" t="s">
        <v>128</v>
      </c>
      <c r="AG931" t="s">
        <v>129</v>
      </c>
    </row>
    <row r="932" spans="1:33">
      <c r="A932" t="s">
        <v>1083</v>
      </c>
      <c r="B932">
        <v>45329</v>
      </c>
      <c r="C932">
        <v>45338</v>
      </c>
      <c r="D932" t="s">
        <v>23</v>
      </c>
      <c r="E932">
        <v>200</v>
      </c>
      <c r="F932">
        <v>1300.6199999999999</v>
      </c>
      <c r="G932">
        <v>0.01</v>
      </c>
      <c r="H932">
        <v>260097.99</v>
      </c>
      <c r="I932" t="s">
        <v>1727</v>
      </c>
      <c r="J932">
        <v>979.76</v>
      </c>
      <c r="K932">
        <v>195952</v>
      </c>
      <c r="L932">
        <v>2813.99</v>
      </c>
      <c r="M932">
        <v>509.09</v>
      </c>
      <c r="N932">
        <v>10016.030000000001</v>
      </c>
      <c r="O932">
        <v>209291.11</v>
      </c>
      <c r="P932">
        <v>64145.99</v>
      </c>
      <c r="Q932">
        <v>50806.879999999997</v>
      </c>
      <c r="R932" t="s">
        <v>65</v>
      </c>
      <c r="S932">
        <v>260097.99</v>
      </c>
      <c r="T932">
        <v>0</v>
      </c>
      <c r="U932" t="s">
        <v>66</v>
      </c>
      <c r="V932" t="s">
        <v>14</v>
      </c>
      <c r="W932" t="s">
        <v>141</v>
      </c>
      <c r="X932" t="s">
        <v>93</v>
      </c>
      <c r="Y932" t="s">
        <v>26</v>
      </c>
      <c r="Z932">
        <v>1</v>
      </c>
      <c r="AA932">
        <f t="shared" si="42"/>
        <v>50806.879999999997</v>
      </c>
      <c r="AB932">
        <f t="shared" si="43"/>
        <v>0.19533745724063459</v>
      </c>
      <c r="AC932">
        <f t="shared" si="44"/>
        <v>0</v>
      </c>
      <c r="AD932">
        <v>2024</v>
      </c>
      <c r="AE932">
        <v>2</v>
      </c>
      <c r="AF932" t="s">
        <v>172</v>
      </c>
      <c r="AG932" t="s">
        <v>173</v>
      </c>
    </row>
    <row r="933" spans="1:33">
      <c r="A933" t="s">
        <v>1084</v>
      </c>
      <c r="B933">
        <v>45416</v>
      </c>
      <c r="C933">
        <v>45416</v>
      </c>
      <c r="D933" t="s">
        <v>27</v>
      </c>
      <c r="E933">
        <v>300</v>
      </c>
      <c r="F933">
        <v>743.13</v>
      </c>
      <c r="G933">
        <v>2.2400000000000002</v>
      </c>
      <c r="H933">
        <v>217945.17</v>
      </c>
      <c r="I933" t="s">
        <v>1729</v>
      </c>
      <c r="J933">
        <v>583.41</v>
      </c>
      <c r="K933">
        <v>175023</v>
      </c>
      <c r="L933">
        <v>3651.05</v>
      </c>
      <c r="M933">
        <v>545.11</v>
      </c>
      <c r="N933">
        <v>11882.65</v>
      </c>
      <c r="O933">
        <v>191101.81</v>
      </c>
      <c r="P933">
        <v>42922.17</v>
      </c>
      <c r="Q933">
        <v>26843.360000000001</v>
      </c>
      <c r="R933" t="s">
        <v>65</v>
      </c>
      <c r="S933">
        <v>217945.17</v>
      </c>
      <c r="T933">
        <v>0</v>
      </c>
      <c r="U933" t="s">
        <v>66</v>
      </c>
      <c r="V933" t="s">
        <v>10</v>
      </c>
      <c r="W933" t="s">
        <v>67</v>
      </c>
      <c r="X933" t="s">
        <v>208</v>
      </c>
      <c r="Y933" t="s">
        <v>26</v>
      </c>
      <c r="Z933">
        <v>2.04</v>
      </c>
      <c r="AA933">
        <f t="shared" si="42"/>
        <v>26843.360000000001</v>
      </c>
      <c r="AB933">
        <f t="shared" si="43"/>
        <v>0.12316565675669711</v>
      </c>
      <c r="AC933">
        <f t="shared" si="44"/>
        <v>0</v>
      </c>
      <c r="AD933">
        <v>2024</v>
      </c>
      <c r="AE933">
        <v>5</v>
      </c>
      <c r="AF933" t="s">
        <v>76</v>
      </c>
      <c r="AG933" t="s">
        <v>77</v>
      </c>
    </row>
    <row r="934" spans="1:33">
      <c r="A934" t="s">
        <v>1085</v>
      </c>
      <c r="B934">
        <v>45883</v>
      </c>
      <c r="C934">
        <v>45886</v>
      </c>
      <c r="D934" t="s">
        <v>21</v>
      </c>
      <c r="E934">
        <v>50</v>
      </c>
      <c r="F934">
        <v>923.36</v>
      </c>
      <c r="G934">
        <v>2.25</v>
      </c>
      <c r="H934">
        <v>45129.22</v>
      </c>
      <c r="I934" t="s">
        <v>1728</v>
      </c>
      <c r="J934">
        <v>684.85</v>
      </c>
      <c r="K934">
        <v>34242.5</v>
      </c>
      <c r="L934">
        <v>265.66000000000003</v>
      </c>
      <c r="M934">
        <v>102.06</v>
      </c>
      <c r="N934">
        <v>4259.55</v>
      </c>
      <c r="O934">
        <v>38869.769999999997</v>
      </c>
      <c r="P934">
        <v>10886.72</v>
      </c>
      <c r="Q934">
        <v>6259.45</v>
      </c>
      <c r="R934" t="s">
        <v>65</v>
      </c>
      <c r="S934">
        <v>45129.22</v>
      </c>
      <c r="T934">
        <v>0</v>
      </c>
      <c r="U934" t="s">
        <v>73</v>
      </c>
      <c r="V934" t="s">
        <v>14</v>
      </c>
      <c r="W934" t="s">
        <v>80</v>
      </c>
      <c r="X934" t="s">
        <v>239</v>
      </c>
      <c r="Y934" t="s">
        <v>28</v>
      </c>
      <c r="Z934">
        <v>2.3199999999999998</v>
      </c>
      <c r="AA934">
        <f t="shared" si="42"/>
        <v>6259.45</v>
      </c>
      <c r="AB934">
        <f t="shared" si="43"/>
        <v>0.13870060240349821</v>
      </c>
      <c r="AC934">
        <f t="shared" si="44"/>
        <v>0</v>
      </c>
      <c r="AD934">
        <v>2025</v>
      </c>
      <c r="AE934">
        <v>8</v>
      </c>
      <c r="AF934" t="s">
        <v>82</v>
      </c>
      <c r="AG934" t="s">
        <v>87</v>
      </c>
    </row>
    <row r="935" spans="1:33">
      <c r="A935" t="s">
        <v>1086</v>
      </c>
      <c r="B935">
        <v>45427</v>
      </c>
      <c r="C935">
        <v>45436</v>
      </c>
      <c r="D935" t="s">
        <v>27</v>
      </c>
      <c r="E935">
        <v>300</v>
      </c>
      <c r="F935">
        <v>764.66</v>
      </c>
      <c r="G935">
        <v>0.69</v>
      </c>
      <c r="H935">
        <v>227815.15</v>
      </c>
      <c r="I935" t="s">
        <v>1726</v>
      </c>
      <c r="J935">
        <v>584.09</v>
      </c>
      <c r="K935">
        <v>175227</v>
      </c>
      <c r="L935">
        <v>3740.55</v>
      </c>
      <c r="M935">
        <v>1404.97</v>
      </c>
      <c r="N935">
        <v>7929.48</v>
      </c>
      <c r="O935">
        <v>188302</v>
      </c>
      <c r="P935">
        <v>52588.15</v>
      </c>
      <c r="Q935">
        <v>39513.15</v>
      </c>
      <c r="R935" t="s">
        <v>65</v>
      </c>
      <c r="S935">
        <v>227815.15</v>
      </c>
      <c r="T935">
        <v>0</v>
      </c>
      <c r="U935" t="s">
        <v>66</v>
      </c>
      <c r="V935" t="s">
        <v>12</v>
      </c>
      <c r="W935" t="s">
        <v>74</v>
      </c>
      <c r="X935" t="s">
        <v>101</v>
      </c>
      <c r="Y935" t="s">
        <v>22</v>
      </c>
      <c r="Z935">
        <v>0.87</v>
      </c>
      <c r="AA935">
        <f t="shared" si="42"/>
        <v>39513.15</v>
      </c>
      <c r="AB935">
        <f t="shared" si="43"/>
        <v>0.17344390836166954</v>
      </c>
      <c r="AC935">
        <f t="shared" si="44"/>
        <v>0</v>
      </c>
      <c r="AD935">
        <v>2024</v>
      </c>
      <c r="AE935">
        <v>5</v>
      </c>
      <c r="AF935" t="s">
        <v>76</v>
      </c>
      <c r="AG935" t="s">
        <v>77</v>
      </c>
    </row>
    <row r="936" spans="1:33">
      <c r="A936" t="s">
        <v>1087</v>
      </c>
      <c r="B936">
        <v>45317</v>
      </c>
      <c r="C936">
        <v>45327</v>
      </c>
      <c r="D936" t="s">
        <v>27</v>
      </c>
      <c r="E936">
        <v>500</v>
      </c>
      <c r="F936">
        <v>718.36</v>
      </c>
      <c r="G936">
        <v>0.65</v>
      </c>
      <c r="H936">
        <v>356845.33</v>
      </c>
      <c r="I936" t="s">
        <v>1727</v>
      </c>
      <c r="J936">
        <v>538.79</v>
      </c>
      <c r="K936">
        <v>269395</v>
      </c>
      <c r="L936">
        <v>5984.56</v>
      </c>
      <c r="M936">
        <v>2892.24</v>
      </c>
      <c r="N936">
        <v>4012.12</v>
      </c>
      <c r="O936">
        <v>282283.92</v>
      </c>
      <c r="P936">
        <v>87450.33</v>
      </c>
      <c r="Q936">
        <v>74561.41</v>
      </c>
      <c r="R936" t="s">
        <v>65</v>
      </c>
      <c r="S936">
        <v>356845.33</v>
      </c>
      <c r="T936">
        <v>0</v>
      </c>
      <c r="U936" t="s">
        <v>66</v>
      </c>
      <c r="V936" t="s">
        <v>6</v>
      </c>
      <c r="W936" t="s">
        <v>74</v>
      </c>
      <c r="X936" t="s">
        <v>127</v>
      </c>
      <c r="Y936" t="s">
        <v>22</v>
      </c>
      <c r="Z936">
        <v>1.49</v>
      </c>
      <c r="AA936">
        <f t="shared" si="42"/>
        <v>74561.41</v>
      </c>
      <c r="AB936">
        <f t="shared" si="43"/>
        <v>0.20894601591115119</v>
      </c>
      <c r="AC936">
        <f t="shared" si="44"/>
        <v>0</v>
      </c>
      <c r="AD936">
        <v>2024</v>
      </c>
      <c r="AE936">
        <v>1</v>
      </c>
      <c r="AF936" t="s">
        <v>102</v>
      </c>
      <c r="AG936" t="s">
        <v>103</v>
      </c>
    </row>
    <row r="937" spans="1:33">
      <c r="A937" t="s">
        <v>1088</v>
      </c>
      <c r="B937">
        <v>45556</v>
      </c>
      <c r="C937">
        <v>45565</v>
      </c>
      <c r="D937" t="s">
        <v>21</v>
      </c>
      <c r="E937">
        <v>200</v>
      </c>
      <c r="F937">
        <v>871.61</v>
      </c>
      <c r="G937">
        <v>2.37</v>
      </c>
      <c r="H937">
        <v>170190.57</v>
      </c>
      <c r="I937" t="s">
        <v>1727</v>
      </c>
      <c r="J937">
        <v>732.77</v>
      </c>
      <c r="K937">
        <v>146554</v>
      </c>
      <c r="L937">
        <v>4573.5</v>
      </c>
      <c r="M937">
        <v>307.3</v>
      </c>
      <c r="N937">
        <v>7548.17</v>
      </c>
      <c r="O937">
        <v>158982.97</v>
      </c>
      <c r="P937">
        <v>23636.57</v>
      </c>
      <c r="Q937">
        <v>11207.6</v>
      </c>
      <c r="R937" t="s">
        <v>65</v>
      </c>
      <c r="S937">
        <v>170190.57</v>
      </c>
      <c r="T937">
        <v>0</v>
      </c>
      <c r="U937" t="s">
        <v>66</v>
      </c>
      <c r="V937" t="s">
        <v>12</v>
      </c>
      <c r="W937" t="s">
        <v>141</v>
      </c>
      <c r="X937" t="s">
        <v>182</v>
      </c>
      <c r="Y937" t="s">
        <v>26</v>
      </c>
      <c r="Z937">
        <v>0.9</v>
      </c>
      <c r="AA937">
        <f t="shared" si="42"/>
        <v>11207.6</v>
      </c>
      <c r="AB937">
        <f t="shared" si="43"/>
        <v>6.585323734446627E-2</v>
      </c>
      <c r="AC937">
        <f t="shared" si="44"/>
        <v>0</v>
      </c>
      <c r="AD937">
        <v>2024</v>
      </c>
      <c r="AE937">
        <v>9</v>
      </c>
      <c r="AF937" t="s">
        <v>131</v>
      </c>
      <c r="AG937" t="s">
        <v>188</v>
      </c>
    </row>
    <row r="938" spans="1:33">
      <c r="A938" t="s">
        <v>1089</v>
      </c>
      <c r="B938">
        <v>45952</v>
      </c>
      <c r="C938">
        <v>45961</v>
      </c>
      <c r="D938" t="s">
        <v>23</v>
      </c>
      <c r="E938">
        <v>50</v>
      </c>
      <c r="F938">
        <v>1306.47</v>
      </c>
      <c r="G938">
        <v>0.21</v>
      </c>
      <c r="H938">
        <v>65186.32</v>
      </c>
      <c r="I938" t="s">
        <v>1726</v>
      </c>
      <c r="J938">
        <v>981.11</v>
      </c>
      <c r="K938">
        <v>49055.5</v>
      </c>
      <c r="L938">
        <v>283.73</v>
      </c>
      <c r="M938">
        <v>281.44</v>
      </c>
      <c r="N938">
        <v>4092.01</v>
      </c>
      <c r="O938">
        <v>53712.68</v>
      </c>
      <c r="P938">
        <v>16130.82</v>
      </c>
      <c r="Q938">
        <v>11473.64</v>
      </c>
      <c r="R938" t="s">
        <v>65</v>
      </c>
      <c r="S938">
        <v>65186.32</v>
      </c>
      <c r="T938">
        <v>0</v>
      </c>
      <c r="U938" t="s">
        <v>73</v>
      </c>
      <c r="V938" t="s">
        <v>16</v>
      </c>
      <c r="W938" t="s">
        <v>74</v>
      </c>
      <c r="X938" t="s">
        <v>147</v>
      </c>
      <c r="Y938" t="s">
        <v>28</v>
      </c>
      <c r="Z938">
        <v>1.1499999999999999</v>
      </c>
      <c r="AA938">
        <f t="shared" si="42"/>
        <v>11473.64</v>
      </c>
      <c r="AB938">
        <f t="shared" si="43"/>
        <v>0.17601300395543112</v>
      </c>
      <c r="AC938">
        <f t="shared" si="44"/>
        <v>0</v>
      </c>
      <c r="AD938">
        <v>2025</v>
      </c>
      <c r="AE938">
        <v>10</v>
      </c>
      <c r="AF938" t="s">
        <v>138</v>
      </c>
      <c r="AG938" t="s">
        <v>160</v>
      </c>
    </row>
    <row r="939" spans="1:33">
      <c r="A939" t="s">
        <v>1090</v>
      </c>
      <c r="B939">
        <v>45664</v>
      </c>
      <c r="C939">
        <v>45673</v>
      </c>
      <c r="D939" t="s">
        <v>23</v>
      </c>
      <c r="E939">
        <v>300</v>
      </c>
      <c r="F939">
        <v>1251.45</v>
      </c>
      <c r="G939">
        <v>0.65</v>
      </c>
      <c r="H939">
        <v>372994.67</v>
      </c>
      <c r="I939" t="s">
        <v>1726</v>
      </c>
      <c r="J939">
        <v>1035.8</v>
      </c>
      <c r="K939">
        <v>310740</v>
      </c>
      <c r="L939">
        <v>4147.6499999999996</v>
      </c>
      <c r="M939">
        <v>1416.33</v>
      </c>
      <c r="N939">
        <v>10071.370000000001</v>
      </c>
      <c r="O939">
        <v>326375.34999999998</v>
      </c>
      <c r="P939">
        <v>62254.67</v>
      </c>
      <c r="Q939">
        <v>46619.32</v>
      </c>
      <c r="R939" t="s">
        <v>65</v>
      </c>
      <c r="S939">
        <v>372994.67</v>
      </c>
      <c r="T939">
        <v>0</v>
      </c>
      <c r="U939" t="s">
        <v>66</v>
      </c>
      <c r="V939" t="s">
        <v>14</v>
      </c>
      <c r="W939" t="s">
        <v>80</v>
      </c>
      <c r="X939" t="s">
        <v>101</v>
      </c>
      <c r="Y939" t="s">
        <v>22</v>
      </c>
      <c r="Z939">
        <v>0.5</v>
      </c>
      <c r="AA939">
        <f t="shared" si="42"/>
        <v>46619.32</v>
      </c>
      <c r="AB939">
        <f t="shared" si="43"/>
        <v>0.12498655811891361</v>
      </c>
      <c r="AC939">
        <f t="shared" si="44"/>
        <v>0</v>
      </c>
      <c r="AD939">
        <v>2025</v>
      </c>
      <c r="AE939">
        <v>1</v>
      </c>
      <c r="AF939" t="s">
        <v>102</v>
      </c>
      <c r="AG939" t="s">
        <v>118</v>
      </c>
    </row>
    <row r="940" spans="1:33">
      <c r="A940" t="s">
        <v>1091</v>
      </c>
      <c r="B940">
        <v>45593</v>
      </c>
      <c r="C940">
        <v>45604</v>
      </c>
      <c r="D940" t="s">
        <v>21</v>
      </c>
      <c r="E940">
        <v>1000</v>
      </c>
      <c r="F940">
        <v>876.75</v>
      </c>
      <c r="G940">
        <v>1.3</v>
      </c>
      <c r="H940">
        <v>865352.25</v>
      </c>
      <c r="I940" t="s">
        <v>1727</v>
      </c>
      <c r="J940">
        <v>689.07</v>
      </c>
      <c r="K940">
        <v>689070</v>
      </c>
      <c r="L940">
        <v>21670.91</v>
      </c>
      <c r="M940">
        <v>3539.07</v>
      </c>
      <c r="N940">
        <v>2128.9</v>
      </c>
      <c r="O940">
        <v>716408.88</v>
      </c>
      <c r="P940">
        <v>176282.25</v>
      </c>
      <c r="Q940">
        <v>148943.37</v>
      </c>
      <c r="R940" t="s">
        <v>85</v>
      </c>
      <c r="S940">
        <v>622687.63</v>
      </c>
      <c r="T940">
        <v>242664.62</v>
      </c>
      <c r="U940" t="s">
        <v>66</v>
      </c>
      <c r="V940" t="s">
        <v>6</v>
      </c>
      <c r="W940" t="s">
        <v>92</v>
      </c>
      <c r="X940" t="s">
        <v>93</v>
      </c>
      <c r="Y940" t="s">
        <v>26</v>
      </c>
      <c r="Z940">
        <v>2.1800000000000002</v>
      </c>
      <c r="AA940">
        <f t="shared" si="42"/>
        <v>148943.37</v>
      </c>
      <c r="AB940">
        <f t="shared" si="43"/>
        <v>0.17211877590888566</v>
      </c>
      <c r="AC940">
        <f t="shared" si="44"/>
        <v>0</v>
      </c>
      <c r="AD940">
        <v>2024</v>
      </c>
      <c r="AE940">
        <v>10</v>
      </c>
      <c r="AF940" t="s">
        <v>138</v>
      </c>
      <c r="AG940" t="s">
        <v>139</v>
      </c>
    </row>
    <row r="941" spans="1:33">
      <c r="A941" t="s">
        <v>1092</v>
      </c>
      <c r="B941">
        <v>45451</v>
      </c>
      <c r="C941">
        <v>45455</v>
      </c>
      <c r="D941" t="s">
        <v>25</v>
      </c>
      <c r="E941">
        <v>250</v>
      </c>
      <c r="F941">
        <v>930.27</v>
      </c>
      <c r="G941">
        <v>0.72</v>
      </c>
      <c r="H941">
        <v>230893.01</v>
      </c>
      <c r="I941" t="s">
        <v>1729</v>
      </c>
      <c r="J941">
        <v>766.88</v>
      </c>
      <c r="K941">
        <v>191720</v>
      </c>
      <c r="L941">
        <v>3646.91</v>
      </c>
      <c r="M941">
        <v>844.55</v>
      </c>
      <c r="N941">
        <v>1624.73</v>
      </c>
      <c r="O941">
        <v>197836.19</v>
      </c>
      <c r="P941">
        <v>39173.01</v>
      </c>
      <c r="Q941">
        <v>33056.82</v>
      </c>
      <c r="R941" t="s">
        <v>65</v>
      </c>
      <c r="S941">
        <v>230893.01</v>
      </c>
      <c r="T941">
        <v>0</v>
      </c>
      <c r="U941" t="s">
        <v>66</v>
      </c>
      <c r="V941" t="s">
        <v>12</v>
      </c>
      <c r="W941" t="s">
        <v>67</v>
      </c>
      <c r="X941" t="s">
        <v>375</v>
      </c>
      <c r="Y941" t="s">
        <v>30</v>
      </c>
      <c r="Z941">
        <v>2.14</v>
      </c>
      <c r="AA941">
        <f t="shared" si="42"/>
        <v>33056.82</v>
      </c>
      <c r="AB941">
        <f t="shared" si="43"/>
        <v>0.14316942725983778</v>
      </c>
      <c r="AC941">
        <f t="shared" si="44"/>
        <v>0</v>
      </c>
      <c r="AD941">
        <v>2024</v>
      </c>
      <c r="AE941">
        <v>6</v>
      </c>
      <c r="AF941" t="s">
        <v>111</v>
      </c>
      <c r="AG941" t="s">
        <v>148</v>
      </c>
    </row>
    <row r="942" spans="1:33">
      <c r="A942" t="s">
        <v>1093</v>
      </c>
      <c r="B942">
        <v>45861</v>
      </c>
      <c r="C942">
        <v>45874</v>
      </c>
      <c r="D942" t="s">
        <v>21</v>
      </c>
      <c r="E942">
        <v>200</v>
      </c>
      <c r="F942">
        <v>873.97</v>
      </c>
      <c r="G942">
        <v>1.39</v>
      </c>
      <c r="H942">
        <v>172364.36</v>
      </c>
      <c r="I942" t="s">
        <v>1726</v>
      </c>
      <c r="J942">
        <v>742.81</v>
      </c>
      <c r="K942">
        <v>148562</v>
      </c>
      <c r="L942">
        <v>3324.2</v>
      </c>
      <c r="M942">
        <v>422.61</v>
      </c>
      <c r="N942">
        <v>5949.07</v>
      </c>
      <c r="O942">
        <v>158257.88</v>
      </c>
      <c r="P942">
        <v>23802.36</v>
      </c>
      <c r="Q942">
        <v>14106.48</v>
      </c>
      <c r="R942" t="s">
        <v>65</v>
      </c>
      <c r="S942">
        <v>172364.36</v>
      </c>
      <c r="T942">
        <v>0</v>
      </c>
      <c r="U942" t="s">
        <v>66</v>
      </c>
      <c r="V942" t="s">
        <v>8</v>
      </c>
      <c r="W942" t="s">
        <v>80</v>
      </c>
      <c r="X942" t="s">
        <v>162</v>
      </c>
      <c r="Y942" t="s">
        <v>26</v>
      </c>
      <c r="Z942">
        <v>2.38</v>
      </c>
      <c r="AA942">
        <f t="shared" si="42"/>
        <v>14106.48</v>
      </c>
      <c r="AB942">
        <f t="shared" si="43"/>
        <v>8.1841048810786646E-2</v>
      </c>
      <c r="AC942">
        <f t="shared" si="44"/>
        <v>0</v>
      </c>
      <c r="AD942">
        <v>2025</v>
      </c>
      <c r="AE942">
        <v>7</v>
      </c>
      <c r="AF942" t="s">
        <v>69</v>
      </c>
      <c r="AG942" t="s">
        <v>151</v>
      </c>
    </row>
    <row r="943" spans="1:33">
      <c r="A943" t="s">
        <v>1094</v>
      </c>
      <c r="B943">
        <v>45928</v>
      </c>
      <c r="C943">
        <v>45930</v>
      </c>
      <c r="D943" t="s">
        <v>25</v>
      </c>
      <c r="E943">
        <v>300</v>
      </c>
      <c r="F943">
        <v>1053</v>
      </c>
      <c r="G943">
        <v>0.87</v>
      </c>
      <c r="H943">
        <v>313151.67</v>
      </c>
      <c r="I943" t="s">
        <v>1727</v>
      </c>
      <c r="J943">
        <v>800.45</v>
      </c>
      <c r="K943">
        <v>240135</v>
      </c>
      <c r="L943">
        <v>3080.27</v>
      </c>
      <c r="M943">
        <v>787.15</v>
      </c>
      <c r="N943">
        <v>7432.92</v>
      </c>
      <c r="O943">
        <v>251435.34</v>
      </c>
      <c r="P943">
        <v>73016.67</v>
      </c>
      <c r="Q943">
        <v>61716.33</v>
      </c>
      <c r="R943" t="s">
        <v>85</v>
      </c>
      <c r="S943">
        <v>222782.24</v>
      </c>
      <c r="T943">
        <v>90369.43</v>
      </c>
      <c r="U943" t="s">
        <v>73</v>
      </c>
      <c r="V943" t="s">
        <v>6</v>
      </c>
      <c r="W943" t="s">
        <v>74</v>
      </c>
      <c r="X943" t="s">
        <v>108</v>
      </c>
      <c r="Y943" t="s">
        <v>22</v>
      </c>
      <c r="Z943">
        <v>1.03</v>
      </c>
      <c r="AA943">
        <f t="shared" si="42"/>
        <v>61716.33</v>
      </c>
      <c r="AB943">
        <f t="shared" si="43"/>
        <v>0.19708127374827669</v>
      </c>
      <c r="AC943">
        <f t="shared" si="44"/>
        <v>0</v>
      </c>
      <c r="AD943">
        <v>2025</v>
      </c>
      <c r="AE943">
        <v>9</v>
      </c>
      <c r="AF943" t="s">
        <v>131</v>
      </c>
      <c r="AG943" t="s">
        <v>132</v>
      </c>
    </row>
    <row r="944" spans="1:33">
      <c r="A944" t="s">
        <v>1095</v>
      </c>
      <c r="B944">
        <v>45893</v>
      </c>
      <c r="C944">
        <v>45893</v>
      </c>
      <c r="D944" t="s">
        <v>27</v>
      </c>
      <c r="E944">
        <v>300</v>
      </c>
      <c r="F944">
        <v>707.61</v>
      </c>
      <c r="G944">
        <v>1.05</v>
      </c>
      <c r="H944">
        <v>210054.03</v>
      </c>
      <c r="I944" t="s">
        <v>1726</v>
      </c>
      <c r="J944">
        <v>600.83000000000004</v>
      </c>
      <c r="K944">
        <v>180249</v>
      </c>
      <c r="L944">
        <v>3945.1</v>
      </c>
      <c r="M944">
        <v>574.73</v>
      </c>
      <c r="N944">
        <v>11727.76</v>
      </c>
      <c r="O944">
        <v>196496.59</v>
      </c>
      <c r="P944">
        <v>29805.03</v>
      </c>
      <c r="Q944">
        <v>13557.44</v>
      </c>
      <c r="R944" t="s">
        <v>65</v>
      </c>
      <c r="S944">
        <v>210054.03</v>
      </c>
      <c r="T944">
        <v>0</v>
      </c>
      <c r="U944" t="s">
        <v>66</v>
      </c>
      <c r="V944" t="s">
        <v>10</v>
      </c>
      <c r="W944" t="s">
        <v>74</v>
      </c>
      <c r="X944" t="s">
        <v>97</v>
      </c>
      <c r="Y944" t="s">
        <v>24</v>
      </c>
      <c r="Z944">
        <v>1.2</v>
      </c>
      <c r="AA944">
        <f t="shared" si="42"/>
        <v>13557.44</v>
      </c>
      <c r="AB944">
        <f t="shared" si="43"/>
        <v>6.4542632198011152E-2</v>
      </c>
      <c r="AC944">
        <f t="shared" si="44"/>
        <v>0</v>
      </c>
      <c r="AD944">
        <v>2025</v>
      </c>
      <c r="AE944">
        <v>8</v>
      </c>
      <c r="AF944" t="s">
        <v>82</v>
      </c>
      <c r="AG944" t="s">
        <v>87</v>
      </c>
    </row>
    <row r="945" spans="1:33">
      <c r="A945" t="s">
        <v>1096</v>
      </c>
      <c r="B945">
        <v>45730</v>
      </c>
      <c r="C945">
        <v>45730</v>
      </c>
      <c r="D945" t="s">
        <v>21</v>
      </c>
      <c r="E945">
        <v>1000</v>
      </c>
      <c r="F945">
        <v>884.57</v>
      </c>
      <c r="G945">
        <v>4.72</v>
      </c>
      <c r="H945">
        <v>842818.3</v>
      </c>
      <c r="I945" t="s">
        <v>1729</v>
      </c>
      <c r="J945">
        <v>683.97</v>
      </c>
      <c r="K945">
        <v>683970</v>
      </c>
      <c r="L945">
        <v>18853.03</v>
      </c>
      <c r="M945">
        <v>2053.0300000000002</v>
      </c>
      <c r="N945">
        <v>6739.23</v>
      </c>
      <c r="O945">
        <v>711615.29</v>
      </c>
      <c r="P945">
        <v>158848.29999999999</v>
      </c>
      <c r="Q945">
        <v>131203.01</v>
      </c>
      <c r="R945" t="s">
        <v>85</v>
      </c>
      <c r="S945">
        <v>527507.75</v>
      </c>
      <c r="T945">
        <v>315310.55</v>
      </c>
      <c r="U945" t="s">
        <v>66</v>
      </c>
      <c r="V945" t="s">
        <v>10</v>
      </c>
      <c r="W945" t="s">
        <v>67</v>
      </c>
      <c r="X945" t="s">
        <v>125</v>
      </c>
      <c r="Y945" t="s">
        <v>24</v>
      </c>
      <c r="Z945">
        <v>0.25</v>
      </c>
      <c r="AA945">
        <f t="shared" si="42"/>
        <v>131203.01</v>
      </c>
      <c r="AB945">
        <f t="shared" si="43"/>
        <v>0.155671762229178</v>
      </c>
      <c r="AC945">
        <f t="shared" si="44"/>
        <v>0</v>
      </c>
      <c r="AD945">
        <v>2025</v>
      </c>
      <c r="AE945">
        <v>3</v>
      </c>
      <c r="AF945" t="s">
        <v>105</v>
      </c>
      <c r="AG945" t="s">
        <v>106</v>
      </c>
    </row>
    <row r="946" spans="1:33">
      <c r="A946" t="s">
        <v>1097</v>
      </c>
      <c r="B946">
        <v>45394</v>
      </c>
      <c r="C946">
        <v>45394</v>
      </c>
      <c r="D946" t="s">
        <v>23</v>
      </c>
      <c r="E946">
        <v>200</v>
      </c>
      <c r="F946">
        <v>1385.68</v>
      </c>
      <c r="G946">
        <v>1.1100000000000001</v>
      </c>
      <c r="H946">
        <v>274059.78999999998</v>
      </c>
      <c r="I946" t="s">
        <v>1728</v>
      </c>
      <c r="J946">
        <v>1000.9</v>
      </c>
      <c r="K946">
        <v>200180</v>
      </c>
      <c r="L946">
        <v>2304.81</v>
      </c>
      <c r="M946">
        <v>827.15</v>
      </c>
      <c r="N946">
        <v>4369.03</v>
      </c>
      <c r="O946">
        <v>207680.99</v>
      </c>
      <c r="P946">
        <v>73879.789999999994</v>
      </c>
      <c r="Q946">
        <v>66378.8</v>
      </c>
      <c r="R946" t="s">
        <v>85</v>
      </c>
      <c r="S946">
        <v>205966.27</v>
      </c>
      <c r="T946">
        <v>68093.52</v>
      </c>
      <c r="U946" t="s">
        <v>66</v>
      </c>
      <c r="V946" t="s">
        <v>14</v>
      </c>
      <c r="W946" t="s">
        <v>74</v>
      </c>
      <c r="X946" t="s">
        <v>176</v>
      </c>
      <c r="Y946" t="s">
        <v>22</v>
      </c>
      <c r="Z946">
        <v>7.0000000000000007E-2</v>
      </c>
      <c r="AA946">
        <f t="shared" si="42"/>
        <v>66378.8</v>
      </c>
      <c r="AB946">
        <f t="shared" si="43"/>
        <v>0.24220554208262368</v>
      </c>
      <c r="AC946">
        <f t="shared" si="44"/>
        <v>0</v>
      </c>
      <c r="AD946">
        <v>2024</v>
      </c>
      <c r="AE946">
        <v>4</v>
      </c>
      <c r="AF946" t="s">
        <v>154</v>
      </c>
      <c r="AG946" t="s">
        <v>157</v>
      </c>
    </row>
    <row r="947" spans="1:33">
      <c r="A947" t="s">
        <v>1098</v>
      </c>
      <c r="B947">
        <v>45803</v>
      </c>
      <c r="C947">
        <v>45816</v>
      </c>
      <c r="D947" t="s">
        <v>21</v>
      </c>
      <c r="E947">
        <v>1000</v>
      </c>
      <c r="F947">
        <v>892.57</v>
      </c>
      <c r="G947">
        <v>3.36</v>
      </c>
      <c r="H947">
        <v>862579.65</v>
      </c>
      <c r="I947" t="s">
        <v>1727</v>
      </c>
      <c r="J947">
        <v>704.79</v>
      </c>
      <c r="K947">
        <v>704790</v>
      </c>
      <c r="L947">
        <v>18935.490000000002</v>
      </c>
      <c r="M947">
        <v>2284.63</v>
      </c>
      <c r="N947">
        <v>10753.52</v>
      </c>
      <c r="O947">
        <v>736763.64</v>
      </c>
      <c r="P947">
        <v>157789.65</v>
      </c>
      <c r="Q947">
        <v>125816.01</v>
      </c>
      <c r="R947" t="s">
        <v>65</v>
      </c>
      <c r="S947">
        <v>862579.65</v>
      </c>
      <c r="T947">
        <v>0</v>
      </c>
      <c r="U947" t="s">
        <v>66</v>
      </c>
      <c r="V947" t="s">
        <v>8</v>
      </c>
      <c r="W947" t="s">
        <v>67</v>
      </c>
      <c r="X947" t="s">
        <v>167</v>
      </c>
      <c r="Y947" t="s">
        <v>31</v>
      </c>
      <c r="Z947">
        <v>1</v>
      </c>
      <c r="AA947">
        <f t="shared" si="42"/>
        <v>125816.01</v>
      </c>
      <c r="AB947">
        <f t="shared" si="43"/>
        <v>0.14586016491346623</v>
      </c>
      <c r="AC947">
        <f t="shared" si="44"/>
        <v>0</v>
      </c>
      <c r="AD947">
        <v>2025</v>
      </c>
      <c r="AE947">
        <v>5</v>
      </c>
      <c r="AF947" t="s">
        <v>76</v>
      </c>
      <c r="AG947" t="s">
        <v>94</v>
      </c>
    </row>
    <row r="948" spans="1:33">
      <c r="A948" t="s">
        <v>1099</v>
      </c>
      <c r="B948">
        <v>45452</v>
      </c>
      <c r="C948">
        <v>45458</v>
      </c>
      <c r="D948" t="s">
        <v>21</v>
      </c>
      <c r="E948">
        <v>100</v>
      </c>
      <c r="F948">
        <v>865.26</v>
      </c>
      <c r="G948">
        <v>1.08</v>
      </c>
      <c r="H948">
        <v>85591.52</v>
      </c>
      <c r="I948" t="s">
        <v>1728</v>
      </c>
      <c r="J948">
        <v>738.77</v>
      </c>
      <c r="K948">
        <v>73877</v>
      </c>
      <c r="L948">
        <v>1002.35</v>
      </c>
      <c r="M948">
        <v>392.69</v>
      </c>
      <c r="N948">
        <v>6286.86</v>
      </c>
      <c r="O948">
        <v>81558.899999999994</v>
      </c>
      <c r="P948">
        <v>11714.52</v>
      </c>
      <c r="Q948">
        <v>4032.62</v>
      </c>
      <c r="R948" t="s">
        <v>65</v>
      </c>
      <c r="S948">
        <v>85591.52</v>
      </c>
      <c r="T948">
        <v>0</v>
      </c>
      <c r="U948" t="s">
        <v>66</v>
      </c>
      <c r="V948" t="s">
        <v>10</v>
      </c>
      <c r="W948" t="s">
        <v>67</v>
      </c>
      <c r="X948" t="s">
        <v>101</v>
      </c>
      <c r="Y948" t="s">
        <v>22</v>
      </c>
      <c r="Z948">
        <v>1.1399999999999999</v>
      </c>
      <c r="AA948">
        <f t="shared" si="42"/>
        <v>4032.62</v>
      </c>
      <c r="AB948">
        <f t="shared" si="43"/>
        <v>4.7114714167945604E-2</v>
      </c>
      <c r="AC948">
        <f t="shared" si="44"/>
        <v>0</v>
      </c>
      <c r="AD948">
        <v>2024</v>
      </c>
      <c r="AE948">
        <v>6</v>
      </c>
      <c r="AF948" t="s">
        <v>111</v>
      </c>
      <c r="AG948" t="s">
        <v>148</v>
      </c>
    </row>
    <row r="949" spans="1:33">
      <c r="A949" t="s">
        <v>1100</v>
      </c>
      <c r="B949">
        <v>45307</v>
      </c>
      <c r="C949">
        <v>45308</v>
      </c>
      <c r="D949" t="s">
        <v>21</v>
      </c>
      <c r="E949">
        <v>300</v>
      </c>
      <c r="F949">
        <v>907.47</v>
      </c>
      <c r="G949">
        <v>0.5</v>
      </c>
      <c r="H949">
        <v>270879.8</v>
      </c>
      <c r="I949" t="s">
        <v>1726</v>
      </c>
      <c r="J949">
        <v>656.32</v>
      </c>
      <c r="K949">
        <v>196896</v>
      </c>
      <c r="L949">
        <v>3113.38</v>
      </c>
      <c r="M949">
        <v>669.76</v>
      </c>
      <c r="N949">
        <v>1471.41</v>
      </c>
      <c r="O949">
        <v>202150.55</v>
      </c>
      <c r="P949">
        <v>73983.8</v>
      </c>
      <c r="Q949">
        <v>68729.25</v>
      </c>
      <c r="R949" t="s">
        <v>85</v>
      </c>
      <c r="S949">
        <v>85279.66</v>
      </c>
      <c r="T949">
        <v>185600.14</v>
      </c>
      <c r="U949" t="s">
        <v>66</v>
      </c>
      <c r="V949" t="s">
        <v>6</v>
      </c>
      <c r="W949" t="s">
        <v>67</v>
      </c>
      <c r="X949" t="s">
        <v>193</v>
      </c>
      <c r="Y949" t="s">
        <v>30</v>
      </c>
      <c r="Z949">
        <v>0.46</v>
      </c>
      <c r="AA949">
        <f t="shared" si="42"/>
        <v>68729.25</v>
      </c>
      <c r="AB949">
        <f t="shared" si="43"/>
        <v>0.25372600688571095</v>
      </c>
      <c r="AC949">
        <f t="shared" si="44"/>
        <v>0</v>
      </c>
      <c r="AD949">
        <v>2024</v>
      </c>
      <c r="AE949">
        <v>1</v>
      </c>
      <c r="AF949" t="s">
        <v>102</v>
      </c>
      <c r="AG949" t="s">
        <v>103</v>
      </c>
    </row>
    <row r="950" spans="1:33">
      <c r="A950" t="s">
        <v>1101</v>
      </c>
      <c r="B950">
        <v>45296</v>
      </c>
      <c r="C950">
        <v>45301</v>
      </c>
      <c r="D950" t="s">
        <v>21</v>
      </c>
      <c r="E950">
        <v>300</v>
      </c>
      <c r="F950">
        <v>854.96</v>
      </c>
      <c r="G950">
        <v>2.2400000000000002</v>
      </c>
      <c r="H950">
        <v>250742.67</v>
      </c>
      <c r="I950" t="s">
        <v>1727</v>
      </c>
      <c r="J950">
        <v>666.65</v>
      </c>
      <c r="K950">
        <v>199995</v>
      </c>
      <c r="L950">
        <v>3463.29</v>
      </c>
      <c r="M950">
        <v>996.49</v>
      </c>
      <c r="N950">
        <v>5468.6</v>
      </c>
      <c r="O950">
        <v>209923.38</v>
      </c>
      <c r="P950">
        <v>50747.67</v>
      </c>
      <c r="Q950">
        <v>40819.29</v>
      </c>
      <c r="R950" t="s">
        <v>65</v>
      </c>
      <c r="S950">
        <v>250742.67</v>
      </c>
      <c r="T950">
        <v>0</v>
      </c>
      <c r="U950" t="s">
        <v>66</v>
      </c>
      <c r="V950" t="s">
        <v>8</v>
      </c>
      <c r="W950" t="s">
        <v>74</v>
      </c>
      <c r="X950" t="s">
        <v>101</v>
      </c>
      <c r="Y950" t="s">
        <v>22</v>
      </c>
      <c r="Z950">
        <v>1.62</v>
      </c>
      <c r="AA950">
        <f t="shared" si="42"/>
        <v>40819.29</v>
      </c>
      <c r="AB950">
        <f t="shared" si="43"/>
        <v>0.162793552449609</v>
      </c>
      <c r="AC950">
        <f t="shared" si="44"/>
        <v>0</v>
      </c>
      <c r="AD950">
        <v>2024</v>
      </c>
      <c r="AE950">
        <v>1</v>
      </c>
      <c r="AF950" t="s">
        <v>102</v>
      </c>
      <c r="AG950" t="s">
        <v>103</v>
      </c>
    </row>
    <row r="951" spans="1:33">
      <c r="A951" t="s">
        <v>1102</v>
      </c>
      <c r="B951">
        <v>45754</v>
      </c>
      <c r="C951">
        <v>45766</v>
      </c>
      <c r="D951" t="s">
        <v>21</v>
      </c>
      <c r="E951">
        <v>250</v>
      </c>
      <c r="F951">
        <v>888.15</v>
      </c>
      <c r="G951">
        <v>0.65</v>
      </c>
      <c r="H951">
        <v>220594.26</v>
      </c>
      <c r="I951" t="s">
        <v>1726</v>
      </c>
      <c r="J951">
        <v>727.93</v>
      </c>
      <c r="K951">
        <v>181982.5</v>
      </c>
      <c r="L951">
        <v>4736.5200000000004</v>
      </c>
      <c r="M951">
        <v>685.48</v>
      </c>
      <c r="N951">
        <v>9484.7199999999993</v>
      </c>
      <c r="O951">
        <v>196889.22</v>
      </c>
      <c r="P951">
        <v>38611.760000000002</v>
      </c>
      <c r="Q951">
        <v>23705.040000000001</v>
      </c>
      <c r="R951" t="s">
        <v>65</v>
      </c>
      <c r="S951">
        <v>220594.26</v>
      </c>
      <c r="T951">
        <v>0</v>
      </c>
      <c r="U951" t="s">
        <v>73</v>
      </c>
      <c r="V951" t="s">
        <v>6</v>
      </c>
      <c r="W951" t="s">
        <v>74</v>
      </c>
      <c r="X951" t="s">
        <v>147</v>
      </c>
      <c r="Y951" t="s">
        <v>28</v>
      </c>
      <c r="Z951">
        <v>0.57999999999999996</v>
      </c>
      <c r="AA951">
        <f t="shared" si="42"/>
        <v>23705.040000000001</v>
      </c>
      <c r="AB951">
        <f t="shared" si="43"/>
        <v>0.10745991305485464</v>
      </c>
      <c r="AC951">
        <f t="shared" si="44"/>
        <v>0</v>
      </c>
      <c r="AD951">
        <v>2025</v>
      </c>
      <c r="AE951">
        <v>4</v>
      </c>
      <c r="AF951" t="s">
        <v>154</v>
      </c>
      <c r="AG951" t="s">
        <v>155</v>
      </c>
    </row>
    <row r="952" spans="1:33">
      <c r="A952" t="s">
        <v>1103</v>
      </c>
      <c r="B952">
        <v>45965</v>
      </c>
      <c r="C952">
        <v>45976</v>
      </c>
      <c r="D952" t="s">
        <v>21</v>
      </c>
      <c r="E952">
        <v>500</v>
      </c>
      <c r="F952">
        <v>898.43</v>
      </c>
      <c r="G952">
        <v>1.8</v>
      </c>
      <c r="H952">
        <v>441129.13</v>
      </c>
      <c r="I952" t="s">
        <v>1726</v>
      </c>
      <c r="J952">
        <v>739.85</v>
      </c>
      <c r="K952">
        <v>369925</v>
      </c>
      <c r="L952">
        <v>6379.87</v>
      </c>
      <c r="M952">
        <v>1923.2</v>
      </c>
      <c r="N952">
        <v>5172.07</v>
      </c>
      <c r="O952">
        <v>383400.14</v>
      </c>
      <c r="P952">
        <v>71204.13</v>
      </c>
      <c r="Q952">
        <v>57728.99</v>
      </c>
      <c r="R952" t="s">
        <v>65</v>
      </c>
      <c r="S952">
        <v>441129.13</v>
      </c>
      <c r="T952">
        <v>0</v>
      </c>
      <c r="U952" t="s">
        <v>66</v>
      </c>
      <c r="V952" t="s">
        <v>6</v>
      </c>
      <c r="W952" t="s">
        <v>92</v>
      </c>
      <c r="X952" t="s">
        <v>195</v>
      </c>
      <c r="Y952" t="s">
        <v>26</v>
      </c>
      <c r="Z952">
        <v>1.57</v>
      </c>
      <c r="AA952">
        <f t="shared" si="42"/>
        <v>57728.99</v>
      </c>
      <c r="AB952">
        <f t="shared" si="43"/>
        <v>0.13086641999815338</v>
      </c>
      <c r="AC952">
        <f t="shared" si="44"/>
        <v>0</v>
      </c>
      <c r="AD952">
        <v>2025</v>
      </c>
      <c r="AE952">
        <v>11</v>
      </c>
      <c r="AF952" t="s">
        <v>128</v>
      </c>
      <c r="AG952" t="s">
        <v>135</v>
      </c>
    </row>
    <row r="953" spans="1:33">
      <c r="A953" t="s">
        <v>1104</v>
      </c>
      <c r="B953">
        <v>45699</v>
      </c>
      <c r="C953">
        <v>45704</v>
      </c>
      <c r="D953" t="s">
        <v>23</v>
      </c>
      <c r="E953">
        <v>500</v>
      </c>
      <c r="F953">
        <v>1219.22</v>
      </c>
      <c r="G953">
        <v>4.33</v>
      </c>
      <c r="H953">
        <v>583213.89</v>
      </c>
      <c r="I953" t="s">
        <v>1728</v>
      </c>
      <c r="J953">
        <v>1075.3</v>
      </c>
      <c r="K953">
        <v>537650</v>
      </c>
      <c r="L953">
        <v>10963.97</v>
      </c>
      <c r="M953">
        <v>2853.91</v>
      </c>
      <c r="N953">
        <v>6523.14</v>
      </c>
      <c r="O953">
        <v>557991.02</v>
      </c>
      <c r="P953">
        <v>45563.89</v>
      </c>
      <c r="Q953">
        <v>25222.87</v>
      </c>
      <c r="R953" t="s">
        <v>65</v>
      </c>
      <c r="S953">
        <v>583213.89</v>
      </c>
      <c r="T953">
        <v>0</v>
      </c>
      <c r="U953" t="s">
        <v>66</v>
      </c>
      <c r="V953" t="s">
        <v>10</v>
      </c>
      <c r="W953" t="s">
        <v>74</v>
      </c>
      <c r="X953" t="s">
        <v>125</v>
      </c>
      <c r="Y953" t="s">
        <v>24</v>
      </c>
      <c r="Z953">
        <v>0.46</v>
      </c>
      <c r="AA953">
        <f t="shared" si="42"/>
        <v>25222.87</v>
      </c>
      <c r="AB953">
        <f t="shared" si="43"/>
        <v>4.324806118729442E-2</v>
      </c>
      <c r="AC953">
        <f t="shared" si="44"/>
        <v>0</v>
      </c>
      <c r="AD953">
        <v>2025</v>
      </c>
      <c r="AE953">
        <v>2</v>
      </c>
      <c r="AF953" t="s">
        <v>172</v>
      </c>
      <c r="AG953" t="s">
        <v>244</v>
      </c>
    </row>
    <row r="954" spans="1:33">
      <c r="A954" t="s">
        <v>1105</v>
      </c>
      <c r="B954">
        <v>45488</v>
      </c>
      <c r="C954">
        <v>45492</v>
      </c>
      <c r="D954" t="s">
        <v>21</v>
      </c>
      <c r="E954">
        <v>50</v>
      </c>
      <c r="F954">
        <v>844.27</v>
      </c>
      <c r="G954">
        <v>1.02</v>
      </c>
      <c r="H954">
        <v>41782.92</v>
      </c>
      <c r="I954" t="s">
        <v>1726</v>
      </c>
      <c r="J954">
        <v>745.3</v>
      </c>
      <c r="K954">
        <v>37265</v>
      </c>
      <c r="L954">
        <v>1105.71</v>
      </c>
      <c r="M954">
        <v>142.33000000000001</v>
      </c>
      <c r="N954">
        <v>1693.72</v>
      </c>
      <c r="O954">
        <v>40206.76</v>
      </c>
      <c r="P954">
        <v>4517.92</v>
      </c>
      <c r="Q954">
        <v>1576.16</v>
      </c>
      <c r="R954" t="s">
        <v>134</v>
      </c>
      <c r="S954">
        <v>0</v>
      </c>
      <c r="T954">
        <v>41782.92</v>
      </c>
      <c r="U954" t="s">
        <v>66</v>
      </c>
      <c r="V954" t="s">
        <v>8</v>
      </c>
      <c r="W954" t="s">
        <v>80</v>
      </c>
      <c r="X954" t="s">
        <v>127</v>
      </c>
      <c r="Y954" t="s">
        <v>22</v>
      </c>
      <c r="Z954">
        <v>1.54</v>
      </c>
      <c r="AA954">
        <f t="shared" si="42"/>
        <v>1576.16</v>
      </c>
      <c r="AB954">
        <f t="shared" si="43"/>
        <v>3.7722590953432653E-2</v>
      </c>
      <c r="AC954">
        <f t="shared" si="44"/>
        <v>0</v>
      </c>
      <c r="AD954">
        <v>2024</v>
      </c>
      <c r="AE954">
        <v>7</v>
      </c>
      <c r="AF954" t="s">
        <v>69</v>
      </c>
      <c r="AG954" t="s">
        <v>70</v>
      </c>
    </row>
    <row r="955" spans="1:33">
      <c r="A955" t="s">
        <v>1106</v>
      </c>
      <c r="B955">
        <v>45369</v>
      </c>
      <c r="C955">
        <v>45380</v>
      </c>
      <c r="D955" t="s">
        <v>21</v>
      </c>
      <c r="E955">
        <v>50</v>
      </c>
      <c r="F955">
        <v>877.12</v>
      </c>
      <c r="G955">
        <v>0.98</v>
      </c>
      <c r="H955">
        <v>43426.21</v>
      </c>
      <c r="I955" t="s">
        <v>1726</v>
      </c>
      <c r="J955">
        <v>742.66</v>
      </c>
      <c r="K955">
        <v>37133</v>
      </c>
      <c r="L955">
        <v>486.66</v>
      </c>
      <c r="M955">
        <v>128.46</v>
      </c>
      <c r="N955">
        <v>3296.27</v>
      </c>
      <c r="O955">
        <v>41044.39</v>
      </c>
      <c r="P955">
        <v>6293.21</v>
      </c>
      <c r="Q955">
        <v>2381.8200000000002</v>
      </c>
      <c r="R955" t="s">
        <v>65</v>
      </c>
      <c r="S955">
        <v>43426.21</v>
      </c>
      <c r="T955">
        <v>0</v>
      </c>
      <c r="U955" t="s">
        <v>66</v>
      </c>
      <c r="V955" t="s">
        <v>8</v>
      </c>
      <c r="W955" t="s">
        <v>67</v>
      </c>
      <c r="X955" t="s">
        <v>327</v>
      </c>
      <c r="Y955" t="s">
        <v>26</v>
      </c>
      <c r="Z955">
        <v>1.7</v>
      </c>
      <c r="AA955">
        <f t="shared" si="42"/>
        <v>2381.8200000000002</v>
      </c>
      <c r="AB955">
        <f t="shared" si="43"/>
        <v>5.4847521807682507E-2</v>
      </c>
      <c r="AC955">
        <f t="shared" si="44"/>
        <v>0</v>
      </c>
      <c r="AD955">
        <v>2024</v>
      </c>
      <c r="AE955">
        <v>3</v>
      </c>
      <c r="AF955" t="s">
        <v>105</v>
      </c>
      <c r="AG955" t="s">
        <v>120</v>
      </c>
    </row>
    <row r="956" spans="1:33">
      <c r="A956" t="s">
        <v>1107</v>
      </c>
      <c r="B956">
        <v>45292</v>
      </c>
      <c r="C956">
        <v>45293</v>
      </c>
      <c r="D956" t="s">
        <v>21</v>
      </c>
      <c r="E956">
        <v>300</v>
      </c>
      <c r="F956">
        <v>878.6</v>
      </c>
      <c r="G956">
        <v>1.79</v>
      </c>
      <c r="H956">
        <v>258861.92</v>
      </c>
      <c r="I956" t="s">
        <v>1727</v>
      </c>
      <c r="J956">
        <v>692.77</v>
      </c>
      <c r="K956">
        <v>207831</v>
      </c>
      <c r="L956">
        <v>3660.5</v>
      </c>
      <c r="M956">
        <v>1360.61</v>
      </c>
      <c r="N956">
        <v>5282.43</v>
      </c>
      <c r="O956">
        <v>218134.54</v>
      </c>
      <c r="P956">
        <v>51030.92</v>
      </c>
      <c r="Q956">
        <v>40727.379999999997</v>
      </c>
      <c r="R956" t="s">
        <v>85</v>
      </c>
      <c r="S956">
        <v>112739.45</v>
      </c>
      <c r="T956">
        <v>146122.47</v>
      </c>
      <c r="U956" t="s">
        <v>66</v>
      </c>
      <c r="V956" t="s">
        <v>14</v>
      </c>
      <c r="W956" t="s">
        <v>80</v>
      </c>
      <c r="X956" t="s">
        <v>193</v>
      </c>
      <c r="Y956" t="s">
        <v>30</v>
      </c>
      <c r="Z956">
        <v>0.11</v>
      </c>
      <c r="AA956">
        <f t="shared" si="42"/>
        <v>40727.379999999997</v>
      </c>
      <c r="AB956">
        <f t="shared" si="43"/>
        <v>0.15733244967046522</v>
      </c>
      <c r="AC956">
        <f t="shared" si="44"/>
        <v>0</v>
      </c>
      <c r="AD956">
        <v>2024</v>
      </c>
      <c r="AE956">
        <v>1</v>
      </c>
      <c r="AF956" t="s">
        <v>102</v>
      </c>
      <c r="AG956" t="s">
        <v>103</v>
      </c>
    </row>
    <row r="957" spans="1:33">
      <c r="A957" t="s">
        <v>1108</v>
      </c>
      <c r="B957">
        <v>45324</v>
      </c>
      <c r="C957">
        <v>45325</v>
      </c>
      <c r="D957" t="s">
        <v>23</v>
      </c>
      <c r="E957">
        <v>200</v>
      </c>
      <c r="F957">
        <v>1264.08</v>
      </c>
      <c r="G957">
        <v>0.52</v>
      </c>
      <c r="H957">
        <v>251501.36</v>
      </c>
      <c r="I957" t="s">
        <v>1726</v>
      </c>
      <c r="J957">
        <v>1085.57</v>
      </c>
      <c r="K957">
        <v>217114</v>
      </c>
      <c r="L957">
        <v>2186.7600000000002</v>
      </c>
      <c r="M957">
        <v>772.16</v>
      </c>
      <c r="N957">
        <v>4307.16</v>
      </c>
      <c r="O957">
        <v>224380.08</v>
      </c>
      <c r="P957">
        <v>34387.360000000001</v>
      </c>
      <c r="Q957">
        <v>27121.279999999999</v>
      </c>
      <c r="R957" t="s">
        <v>65</v>
      </c>
      <c r="S957">
        <v>251501.36</v>
      </c>
      <c r="T957">
        <v>0</v>
      </c>
      <c r="U957" t="s">
        <v>66</v>
      </c>
      <c r="V957" t="s">
        <v>14</v>
      </c>
      <c r="W957" t="s">
        <v>67</v>
      </c>
      <c r="X957" t="s">
        <v>97</v>
      </c>
      <c r="Y957" t="s">
        <v>24</v>
      </c>
      <c r="Z957">
        <v>0.01</v>
      </c>
      <c r="AA957">
        <f t="shared" si="42"/>
        <v>27121.279999999999</v>
      </c>
      <c r="AB957">
        <f t="shared" si="43"/>
        <v>0.10783750831407035</v>
      </c>
      <c r="AC957">
        <f t="shared" si="44"/>
        <v>0</v>
      </c>
      <c r="AD957">
        <v>2024</v>
      </c>
      <c r="AE957">
        <v>2</v>
      </c>
      <c r="AF957" t="s">
        <v>172</v>
      </c>
      <c r="AG957" t="s">
        <v>173</v>
      </c>
    </row>
    <row r="958" spans="1:33">
      <c r="A958" t="s">
        <v>1109</v>
      </c>
      <c r="B958">
        <v>45650</v>
      </c>
      <c r="C958">
        <v>45664</v>
      </c>
      <c r="D958" t="s">
        <v>21</v>
      </c>
      <c r="E958">
        <v>50</v>
      </c>
      <c r="F958">
        <v>839.41</v>
      </c>
      <c r="G958">
        <v>0.54</v>
      </c>
      <c r="H958">
        <v>41743.86</v>
      </c>
      <c r="I958" t="s">
        <v>1729</v>
      </c>
      <c r="J958">
        <v>649.87</v>
      </c>
      <c r="K958">
        <v>32493.5</v>
      </c>
      <c r="L958">
        <v>536.51</v>
      </c>
      <c r="M958">
        <v>87.46</v>
      </c>
      <c r="N958">
        <v>11591.88</v>
      </c>
      <c r="O958">
        <v>44709.35</v>
      </c>
      <c r="P958">
        <v>9250.36</v>
      </c>
      <c r="Q958">
        <v>-2965.49</v>
      </c>
      <c r="R958" t="s">
        <v>134</v>
      </c>
      <c r="S958">
        <v>0</v>
      </c>
      <c r="T958">
        <v>41743.86</v>
      </c>
      <c r="U958" t="s">
        <v>66</v>
      </c>
      <c r="V958" t="s">
        <v>10</v>
      </c>
      <c r="W958" t="s">
        <v>74</v>
      </c>
      <c r="X958" t="s">
        <v>185</v>
      </c>
      <c r="Y958" t="s">
        <v>31</v>
      </c>
      <c r="Z958">
        <v>1.47</v>
      </c>
      <c r="AA958">
        <f t="shared" si="42"/>
        <v>-2965.49</v>
      </c>
      <c r="AB958">
        <f t="shared" si="43"/>
        <v>-7.1040148179876028E-2</v>
      </c>
      <c r="AC958">
        <f t="shared" si="44"/>
        <v>0</v>
      </c>
      <c r="AD958">
        <v>2024</v>
      </c>
      <c r="AE958">
        <v>12</v>
      </c>
      <c r="AF958" t="s">
        <v>98</v>
      </c>
      <c r="AG958" t="s">
        <v>99</v>
      </c>
    </row>
    <row r="959" spans="1:33">
      <c r="A959" t="s">
        <v>1110</v>
      </c>
      <c r="B959">
        <v>45364</v>
      </c>
      <c r="C959">
        <v>45366</v>
      </c>
      <c r="D959" t="s">
        <v>21</v>
      </c>
      <c r="E959">
        <v>150</v>
      </c>
      <c r="F959">
        <v>927.06</v>
      </c>
      <c r="G959">
        <v>2.16</v>
      </c>
      <c r="H959">
        <v>136055.32999999999</v>
      </c>
      <c r="I959" t="s">
        <v>1729</v>
      </c>
      <c r="J959">
        <v>702.06</v>
      </c>
      <c r="K959">
        <v>105309</v>
      </c>
      <c r="L959">
        <v>2870.22</v>
      </c>
      <c r="M959">
        <v>549.66</v>
      </c>
      <c r="N959">
        <v>7720.58</v>
      </c>
      <c r="O959">
        <v>116449.46</v>
      </c>
      <c r="P959">
        <v>30746.33</v>
      </c>
      <c r="Q959">
        <v>19605.87</v>
      </c>
      <c r="R959" t="s">
        <v>85</v>
      </c>
      <c r="S959">
        <v>67943.86</v>
      </c>
      <c r="T959">
        <v>68111.47</v>
      </c>
      <c r="U959" t="s">
        <v>66</v>
      </c>
      <c r="V959" t="s">
        <v>14</v>
      </c>
      <c r="W959" t="s">
        <v>74</v>
      </c>
      <c r="X959" t="s">
        <v>224</v>
      </c>
      <c r="Y959" t="s">
        <v>31</v>
      </c>
      <c r="Z959">
        <v>1.1399999999999999</v>
      </c>
      <c r="AA959">
        <f t="shared" si="42"/>
        <v>19605.87</v>
      </c>
      <c r="AB959">
        <f t="shared" si="43"/>
        <v>0.14410218254588042</v>
      </c>
      <c r="AC959">
        <f t="shared" si="44"/>
        <v>0</v>
      </c>
      <c r="AD959">
        <v>2024</v>
      </c>
      <c r="AE959">
        <v>3</v>
      </c>
      <c r="AF959" t="s">
        <v>105</v>
      </c>
      <c r="AG959" t="s">
        <v>120</v>
      </c>
    </row>
    <row r="960" spans="1:33">
      <c r="A960" t="s">
        <v>1111</v>
      </c>
      <c r="B960">
        <v>45420</v>
      </c>
      <c r="C960">
        <v>45426</v>
      </c>
      <c r="D960" t="s">
        <v>21</v>
      </c>
      <c r="E960">
        <v>150</v>
      </c>
      <c r="F960">
        <v>818.48</v>
      </c>
      <c r="G960">
        <v>0.34</v>
      </c>
      <c r="H960">
        <v>122354.58</v>
      </c>
      <c r="I960" t="s">
        <v>1726</v>
      </c>
      <c r="J960">
        <v>700.07</v>
      </c>
      <c r="K960">
        <v>105010.5</v>
      </c>
      <c r="L960">
        <v>2371.85</v>
      </c>
      <c r="M960">
        <v>411.87</v>
      </c>
      <c r="N960">
        <v>8034.41</v>
      </c>
      <c r="O960">
        <v>115828.63</v>
      </c>
      <c r="P960">
        <v>17344.080000000002</v>
      </c>
      <c r="Q960">
        <v>6525.95</v>
      </c>
      <c r="R960" t="s">
        <v>65</v>
      </c>
      <c r="S960">
        <v>122354.58</v>
      </c>
      <c r="T960">
        <v>0</v>
      </c>
      <c r="U960" t="s">
        <v>66</v>
      </c>
      <c r="V960" t="s">
        <v>14</v>
      </c>
      <c r="W960" t="s">
        <v>74</v>
      </c>
      <c r="X960" t="s">
        <v>89</v>
      </c>
      <c r="Y960" t="s">
        <v>28</v>
      </c>
      <c r="Z960">
        <v>0.98</v>
      </c>
      <c r="AA960">
        <f t="shared" si="42"/>
        <v>6525.95</v>
      </c>
      <c r="AB960">
        <f t="shared" si="43"/>
        <v>5.3336376946412627E-2</v>
      </c>
      <c r="AC960">
        <f t="shared" si="44"/>
        <v>0</v>
      </c>
      <c r="AD960">
        <v>2024</v>
      </c>
      <c r="AE960">
        <v>5</v>
      </c>
      <c r="AF960" t="s">
        <v>76</v>
      </c>
      <c r="AG960" t="s">
        <v>77</v>
      </c>
    </row>
    <row r="961" spans="1:33">
      <c r="A961" t="s">
        <v>1112</v>
      </c>
      <c r="B961">
        <v>45454</v>
      </c>
      <c r="C961">
        <v>45467</v>
      </c>
      <c r="D961" t="s">
        <v>21</v>
      </c>
      <c r="E961">
        <v>1200</v>
      </c>
      <c r="F961">
        <v>845.52</v>
      </c>
      <c r="G961">
        <v>2.68</v>
      </c>
      <c r="H961">
        <v>987432.08</v>
      </c>
      <c r="I961" t="s">
        <v>1727</v>
      </c>
      <c r="J961">
        <v>709.26</v>
      </c>
      <c r="K961">
        <v>851112</v>
      </c>
      <c r="L961">
        <v>14278.26</v>
      </c>
      <c r="M961">
        <v>5385.84</v>
      </c>
      <c r="N961">
        <v>10564.16</v>
      </c>
      <c r="O961">
        <v>881340.26</v>
      </c>
      <c r="P961">
        <v>136320.07999999999</v>
      </c>
      <c r="Q961">
        <v>106091.82</v>
      </c>
      <c r="R961" t="s">
        <v>85</v>
      </c>
      <c r="S961">
        <v>597333.89</v>
      </c>
      <c r="T961">
        <v>390098.19</v>
      </c>
      <c r="U961" t="s">
        <v>66</v>
      </c>
      <c r="V961" t="s">
        <v>10</v>
      </c>
      <c r="W961" t="s">
        <v>80</v>
      </c>
      <c r="X961" t="s">
        <v>125</v>
      </c>
      <c r="Y961" t="s">
        <v>24</v>
      </c>
      <c r="Z961">
        <v>0.6</v>
      </c>
      <c r="AA961">
        <f t="shared" si="42"/>
        <v>106091.82</v>
      </c>
      <c r="AB961">
        <f t="shared" si="43"/>
        <v>0.10744214427386237</v>
      </c>
      <c r="AC961">
        <f t="shared" si="44"/>
        <v>0</v>
      </c>
      <c r="AD961">
        <v>2024</v>
      </c>
      <c r="AE961">
        <v>6</v>
      </c>
      <c r="AF961" t="s">
        <v>111</v>
      </c>
      <c r="AG961" t="s">
        <v>148</v>
      </c>
    </row>
    <row r="962" spans="1:33">
      <c r="A962" t="s">
        <v>1113</v>
      </c>
      <c r="B962">
        <v>45856</v>
      </c>
      <c r="C962">
        <v>45860</v>
      </c>
      <c r="D962" t="s">
        <v>23</v>
      </c>
      <c r="E962">
        <v>500</v>
      </c>
      <c r="F962">
        <v>1215.3699999999999</v>
      </c>
      <c r="G962">
        <v>3.13</v>
      </c>
      <c r="H962">
        <v>588664.46</v>
      </c>
      <c r="I962" t="s">
        <v>1728</v>
      </c>
      <c r="J962">
        <v>1062.21</v>
      </c>
      <c r="K962">
        <v>531105</v>
      </c>
      <c r="L962">
        <v>2592.8000000000002</v>
      </c>
      <c r="M962">
        <v>1576.96</v>
      </c>
      <c r="N962">
        <v>5211.18</v>
      </c>
      <c r="O962">
        <v>540485.93999999994</v>
      </c>
      <c r="P962">
        <v>57559.46</v>
      </c>
      <c r="Q962">
        <v>48178.52</v>
      </c>
      <c r="R962" t="s">
        <v>65</v>
      </c>
      <c r="S962">
        <v>588664.46</v>
      </c>
      <c r="T962">
        <v>0</v>
      </c>
      <c r="U962" t="s">
        <v>66</v>
      </c>
      <c r="V962" t="s">
        <v>6</v>
      </c>
      <c r="W962" t="s">
        <v>67</v>
      </c>
      <c r="X962" t="s">
        <v>147</v>
      </c>
      <c r="Y962" t="s">
        <v>28</v>
      </c>
      <c r="Z962">
        <v>2.3199999999999998</v>
      </c>
      <c r="AA962">
        <f t="shared" ref="AA962:AA1025" si="45">ROUND(H962-O962,2)</f>
        <v>48178.52</v>
      </c>
      <c r="AB962">
        <f t="shared" ref="AB962:AB1025" si="46">AA962/H962</f>
        <v>8.1843772256949235E-2</v>
      </c>
      <c r="AC962">
        <f t="shared" ref="AC962:AC1025" si="47">ROUND(AA962-Q962,2)</f>
        <v>0</v>
      </c>
      <c r="AD962">
        <v>2025</v>
      </c>
      <c r="AE962">
        <v>7</v>
      </c>
      <c r="AF962" t="s">
        <v>69</v>
      </c>
      <c r="AG962" t="s">
        <v>151</v>
      </c>
    </row>
    <row r="963" spans="1:33">
      <c r="A963" t="s">
        <v>1114</v>
      </c>
      <c r="B963">
        <v>45915</v>
      </c>
      <c r="D963" t="s">
        <v>21</v>
      </c>
      <c r="E963">
        <v>100</v>
      </c>
      <c r="F963">
        <v>843.44</v>
      </c>
      <c r="G963">
        <v>1.74</v>
      </c>
      <c r="H963">
        <v>82876.41</v>
      </c>
      <c r="I963" t="s">
        <v>1726</v>
      </c>
      <c r="J963">
        <v>652.48</v>
      </c>
      <c r="K963">
        <v>65248</v>
      </c>
      <c r="L963">
        <v>2032.99</v>
      </c>
      <c r="M963">
        <v>532.73</v>
      </c>
      <c r="N963">
        <v>1522.78</v>
      </c>
      <c r="O963">
        <v>69336.5</v>
      </c>
      <c r="P963">
        <v>17628.41</v>
      </c>
      <c r="Q963">
        <v>13539.91</v>
      </c>
      <c r="R963" t="s">
        <v>65</v>
      </c>
      <c r="S963">
        <v>82876.41</v>
      </c>
      <c r="T963">
        <v>0</v>
      </c>
      <c r="U963" t="s">
        <v>91</v>
      </c>
      <c r="V963" t="s">
        <v>14</v>
      </c>
      <c r="W963" t="s">
        <v>74</v>
      </c>
      <c r="X963" t="s">
        <v>176</v>
      </c>
      <c r="Y963" t="s">
        <v>22</v>
      </c>
      <c r="Z963">
        <v>1.02</v>
      </c>
      <c r="AA963">
        <f t="shared" si="45"/>
        <v>13539.91</v>
      </c>
      <c r="AB963">
        <f t="shared" si="46"/>
        <v>0.16337471664132169</v>
      </c>
      <c r="AC963">
        <f t="shared" si="47"/>
        <v>0</v>
      </c>
      <c r="AD963">
        <v>2025</v>
      </c>
      <c r="AE963">
        <v>9</v>
      </c>
      <c r="AF963" t="s">
        <v>131</v>
      </c>
      <c r="AG963" t="s">
        <v>132</v>
      </c>
    </row>
    <row r="964" spans="1:33">
      <c r="A964" t="s">
        <v>1115</v>
      </c>
      <c r="B964">
        <v>45705</v>
      </c>
      <c r="C964">
        <v>45708</v>
      </c>
      <c r="D964" t="s">
        <v>25</v>
      </c>
      <c r="E964">
        <v>100</v>
      </c>
      <c r="F964">
        <v>980.17</v>
      </c>
      <c r="G964">
        <v>0.93</v>
      </c>
      <c r="H964">
        <v>97105.44</v>
      </c>
      <c r="I964" t="s">
        <v>1728</v>
      </c>
      <c r="J964">
        <v>747.07</v>
      </c>
      <c r="K964">
        <v>74707</v>
      </c>
      <c r="L964">
        <v>2042.88</v>
      </c>
      <c r="M964">
        <v>418.11</v>
      </c>
      <c r="N964">
        <v>11031.07</v>
      </c>
      <c r="O964">
        <v>88199.06</v>
      </c>
      <c r="P964">
        <v>22398.44</v>
      </c>
      <c r="Q964">
        <v>8906.3799999999992</v>
      </c>
      <c r="R964" t="s">
        <v>85</v>
      </c>
      <c r="S964">
        <v>72624.350000000006</v>
      </c>
      <c r="T964">
        <v>24481.09</v>
      </c>
      <c r="U964" t="s">
        <v>66</v>
      </c>
      <c r="V964" t="s">
        <v>10</v>
      </c>
      <c r="W964" t="s">
        <v>74</v>
      </c>
      <c r="X964" t="s">
        <v>86</v>
      </c>
      <c r="Y964" t="s">
        <v>30</v>
      </c>
      <c r="Z964">
        <v>0.99</v>
      </c>
      <c r="AA964">
        <f t="shared" si="45"/>
        <v>8906.3799999999992</v>
      </c>
      <c r="AB964">
        <f t="shared" si="46"/>
        <v>9.1718651395843523E-2</v>
      </c>
      <c r="AC964">
        <f t="shared" si="47"/>
        <v>0</v>
      </c>
      <c r="AD964">
        <v>2025</v>
      </c>
      <c r="AE964">
        <v>2</v>
      </c>
      <c r="AF964" t="s">
        <v>172</v>
      </c>
      <c r="AG964" t="s">
        <v>244</v>
      </c>
    </row>
    <row r="965" spans="1:33">
      <c r="A965" t="s">
        <v>1116</v>
      </c>
      <c r="B965">
        <v>45914</v>
      </c>
      <c r="C965">
        <v>45914</v>
      </c>
      <c r="D965" t="s">
        <v>23</v>
      </c>
      <c r="E965">
        <v>100</v>
      </c>
      <c r="F965">
        <v>1335.5</v>
      </c>
      <c r="G965">
        <v>0.66</v>
      </c>
      <c r="H965">
        <v>132668.57</v>
      </c>
      <c r="I965" t="s">
        <v>1728</v>
      </c>
      <c r="J965">
        <v>1016.36</v>
      </c>
      <c r="K965">
        <v>101636</v>
      </c>
      <c r="L965">
        <v>1844.99</v>
      </c>
      <c r="M965">
        <v>300.08</v>
      </c>
      <c r="N965">
        <v>10951.76</v>
      </c>
      <c r="O965">
        <v>114732.83</v>
      </c>
      <c r="P965">
        <v>31032.57</v>
      </c>
      <c r="Q965">
        <v>17935.740000000002</v>
      </c>
      <c r="R965" t="s">
        <v>65</v>
      </c>
      <c r="S965">
        <v>132668.57</v>
      </c>
      <c r="T965">
        <v>0</v>
      </c>
      <c r="U965" t="s">
        <v>66</v>
      </c>
      <c r="V965" t="s">
        <v>14</v>
      </c>
      <c r="W965" t="s">
        <v>67</v>
      </c>
      <c r="X965" t="s">
        <v>108</v>
      </c>
      <c r="Y965" t="s">
        <v>22</v>
      </c>
      <c r="Z965">
        <v>2.37</v>
      </c>
      <c r="AA965">
        <f t="shared" si="45"/>
        <v>17935.740000000002</v>
      </c>
      <c r="AB965">
        <f t="shared" si="46"/>
        <v>0.13519208053572901</v>
      </c>
      <c r="AC965">
        <f t="shared" si="47"/>
        <v>0</v>
      </c>
      <c r="AD965">
        <v>2025</v>
      </c>
      <c r="AE965">
        <v>9</v>
      </c>
      <c r="AF965" t="s">
        <v>131</v>
      </c>
      <c r="AG965" t="s">
        <v>132</v>
      </c>
    </row>
    <row r="966" spans="1:33">
      <c r="A966" t="s">
        <v>1117</v>
      </c>
      <c r="B966">
        <v>45884</v>
      </c>
      <c r="C966">
        <v>45892</v>
      </c>
      <c r="D966" t="s">
        <v>21</v>
      </c>
      <c r="E966">
        <v>50</v>
      </c>
      <c r="F966">
        <v>892.82</v>
      </c>
      <c r="G966">
        <v>1.19</v>
      </c>
      <c r="H966">
        <v>44109.77</v>
      </c>
      <c r="I966" t="s">
        <v>1726</v>
      </c>
      <c r="J966">
        <v>718.28</v>
      </c>
      <c r="K966">
        <v>35914</v>
      </c>
      <c r="L966">
        <v>535.02</v>
      </c>
      <c r="M966">
        <v>286.49</v>
      </c>
      <c r="N966">
        <v>1527.76</v>
      </c>
      <c r="O966">
        <v>38263.269999999997</v>
      </c>
      <c r="P966">
        <v>8195.77</v>
      </c>
      <c r="Q966">
        <v>5846.5</v>
      </c>
      <c r="R966" t="s">
        <v>65</v>
      </c>
      <c r="S966">
        <v>44109.77</v>
      </c>
      <c r="T966">
        <v>0</v>
      </c>
      <c r="U966" t="s">
        <v>66</v>
      </c>
      <c r="V966" t="s">
        <v>6</v>
      </c>
      <c r="W966" t="s">
        <v>67</v>
      </c>
      <c r="X966" t="s">
        <v>75</v>
      </c>
      <c r="Y966" t="s">
        <v>28</v>
      </c>
      <c r="Z966">
        <v>1.26</v>
      </c>
      <c r="AA966">
        <f t="shared" si="45"/>
        <v>5846.5</v>
      </c>
      <c r="AB966">
        <f t="shared" si="46"/>
        <v>0.13254433201533358</v>
      </c>
      <c r="AC966">
        <f t="shared" si="47"/>
        <v>0</v>
      </c>
      <c r="AD966">
        <v>2025</v>
      </c>
      <c r="AE966">
        <v>8</v>
      </c>
      <c r="AF966" t="s">
        <v>82</v>
      </c>
      <c r="AG966" t="s">
        <v>87</v>
      </c>
    </row>
    <row r="967" spans="1:33">
      <c r="A967" t="s">
        <v>1118</v>
      </c>
      <c r="B967">
        <v>45391</v>
      </c>
      <c r="C967">
        <v>45402</v>
      </c>
      <c r="D967" t="s">
        <v>23</v>
      </c>
      <c r="E967">
        <v>750</v>
      </c>
      <c r="F967">
        <v>1371.54</v>
      </c>
      <c r="G967">
        <v>2.16</v>
      </c>
      <c r="H967">
        <v>1006436.05</v>
      </c>
      <c r="I967" t="s">
        <v>1728</v>
      </c>
      <c r="J967">
        <v>1049.5999999999999</v>
      </c>
      <c r="K967">
        <v>787200</v>
      </c>
      <c r="L967">
        <v>10973.09</v>
      </c>
      <c r="M967">
        <v>4336.9799999999996</v>
      </c>
      <c r="N967">
        <v>5621.34</v>
      </c>
      <c r="O967">
        <v>808131.41</v>
      </c>
      <c r="P967">
        <v>219236.05</v>
      </c>
      <c r="Q967">
        <v>198304.64000000001</v>
      </c>
      <c r="R967" t="s">
        <v>65</v>
      </c>
      <c r="S967">
        <v>1006436.05</v>
      </c>
      <c r="T967">
        <v>0</v>
      </c>
      <c r="U967" t="s">
        <v>66</v>
      </c>
      <c r="V967" t="s">
        <v>16</v>
      </c>
      <c r="W967" t="s">
        <v>67</v>
      </c>
      <c r="X967" t="s">
        <v>195</v>
      </c>
      <c r="Y967" t="s">
        <v>26</v>
      </c>
      <c r="Z967">
        <v>2.08</v>
      </c>
      <c r="AA967">
        <f t="shared" si="45"/>
        <v>198304.64000000001</v>
      </c>
      <c r="AB967">
        <f t="shared" si="46"/>
        <v>0.19703650321349281</v>
      </c>
      <c r="AC967">
        <f t="shared" si="47"/>
        <v>0</v>
      </c>
      <c r="AD967">
        <v>2024</v>
      </c>
      <c r="AE967">
        <v>4</v>
      </c>
      <c r="AF967" t="s">
        <v>154</v>
      </c>
      <c r="AG967" t="s">
        <v>157</v>
      </c>
    </row>
    <row r="968" spans="1:33">
      <c r="A968" t="s">
        <v>1119</v>
      </c>
      <c r="B968">
        <v>45910</v>
      </c>
      <c r="C968">
        <v>45922</v>
      </c>
      <c r="D968" t="s">
        <v>21</v>
      </c>
      <c r="E968">
        <v>150</v>
      </c>
      <c r="F968">
        <v>835.98</v>
      </c>
      <c r="G968">
        <v>0.76</v>
      </c>
      <c r="H968">
        <v>124443.98</v>
      </c>
      <c r="I968" t="s">
        <v>1728</v>
      </c>
      <c r="J968">
        <v>724.93</v>
      </c>
      <c r="K968">
        <v>108739.5</v>
      </c>
      <c r="L968">
        <v>2857.9</v>
      </c>
      <c r="M968">
        <v>539.28</v>
      </c>
      <c r="N968">
        <v>6684.79</v>
      </c>
      <c r="O968">
        <v>118821.47</v>
      </c>
      <c r="P968">
        <v>15704.48</v>
      </c>
      <c r="Q968">
        <v>5622.51</v>
      </c>
      <c r="R968" t="s">
        <v>65</v>
      </c>
      <c r="S968">
        <v>124443.98</v>
      </c>
      <c r="T968">
        <v>0</v>
      </c>
      <c r="U968" t="s">
        <v>66</v>
      </c>
      <c r="V968" t="s">
        <v>10</v>
      </c>
      <c r="W968" t="s">
        <v>67</v>
      </c>
      <c r="X968" t="s">
        <v>150</v>
      </c>
      <c r="Y968" t="s">
        <v>30</v>
      </c>
      <c r="Z968">
        <v>0.37</v>
      </c>
      <c r="AA968">
        <f t="shared" si="45"/>
        <v>5622.51</v>
      </c>
      <c r="AB968">
        <f t="shared" si="46"/>
        <v>4.5181052550713988E-2</v>
      </c>
      <c r="AC968">
        <f t="shared" si="47"/>
        <v>0</v>
      </c>
      <c r="AD968">
        <v>2025</v>
      </c>
      <c r="AE968">
        <v>9</v>
      </c>
      <c r="AF968" t="s">
        <v>131</v>
      </c>
      <c r="AG968" t="s">
        <v>132</v>
      </c>
    </row>
    <row r="969" spans="1:33">
      <c r="A969" t="s">
        <v>1120</v>
      </c>
      <c r="B969">
        <v>45357</v>
      </c>
      <c r="C969">
        <v>45366</v>
      </c>
      <c r="D969" t="s">
        <v>21</v>
      </c>
      <c r="E969">
        <v>150</v>
      </c>
      <c r="F969">
        <v>857.89</v>
      </c>
      <c r="G969">
        <v>2.0699999999999998</v>
      </c>
      <c r="H969">
        <v>126019.75</v>
      </c>
      <c r="I969" t="s">
        <v>1728</v>
      </c>
      <c r="J969">
        <v>736</v>
      </c>
      <c r="K969">
        <v>110400</v>
      </c>
      <c r="L969">
        <v>2420.2800000000002</v>
      </c>
      <c r="M969">
        <v>436.73</v>
      </c>
      <c r="N969">
        <v>1747.79</v>
      </c>
      <c r="O969">
        <v>115004.8</v>
      </c>
      <c r="P969">
        <v>15619.75</v>
      </c>
      <c r="Q969">
        <v>11014.95</v>
      </c>
      <c r="R969" t="s">
        <v>134</v>
      </c>
      <c r="S969">
        <v>0</v>
      </c>
      <c r="T969">
        <v>126019.75</v>
      </c>
      <c r="U969" t="s">
        <v>73</v>
      </c>
      <c r="V969" t="s">
        <v>12</v>
      </c>
      <c r="W969" t="s">
        <v>74</v>
      </c>
      <c r="X969" t="s">
        <v>115</v>
      </c>
      <c r="Y969" t="s">
        <v>22</v>
      </c>
      <c r="Z969">
        <v>0.22</v>
      </c>
      <c r="AA969">
        <f t="shared" si="45"/>
        <v>11014.95</v>
      </c>
      <c r="AB969">
        <f t="shared" si="46"/>
        <v>8.7406537467341436E-2</v>
      </c>
      <c r="AC969">
        <f t="shared" si="47"/>
        <v>0</v>
      </c>
      <c r="AD969">
        <v>2024</v>
      </c>
      <c r="AE969">
        <v>3</v>
      </c>
      <c r="AF969" t="s">
        <v>105</v>
      </c>
      <c r="AG969" t="s">
        <v>120</v>
      </c>
    </row>
    <row r="970" spans="1:33">
      <c r="A970" t="s">
        <v>1121</v>
      </c>
      <c r="B970">
        <v>45943</v>
      </c>
      <c r="C970">
        <v>45944</v>
      </c>
      <c r="D970" t="s">
        <v>21</v>
      </c>
      <c r="E970">
        <v>1000</v>
      </c>
      <c r="F970">
        <v>869.86</v>
      </c>
      <c r="G970">
        <v>3.38</v>
      </c>
      <c r="H970">
        <v>840458.73</v>
      </c>
      <c r="I970" t="s">
        <v>1728</v>
      </c>
      <c r="J970">
        <v>717.78</v>
      </c>
      <c r="K970">
        <v>717780</v>
      </c>
      <c r="L970">
        <v>9825.2099999999991</v>
      </c>
      <c r="M970">
        <v>1890.03</v>
      </c>
      <c r="N970">
        <v>2477.71</v>
      </c>
      <c r="O970">
        <v>731972.95</v>
      </c>
      <c r="P970">
        <v>122678.73</v>
      </c>
      <c r="Q970">
        <v>108485.78</v>
      </c>
      <c r="R970" t="s">
        <v>65</v>
      </c>
      <c r="S970">
        <v>840458.73</v>
      </c>
      <c r="T970">
        <v>0</v>
      </c>
      <c r="U970" t="s">
        <v>66</v>
      </c>
      <c r="V970" t="s">
        <v>8</v>
      </c>
      <c r="W970" t="s">
        <v>80</v>
      </c>
      <c r="X970" t="s">
        <v>86</v>
      </c>
      <c r="Y970" t="s">
        <v>30</v>
      </c>
      <c r="Z970">
        <v>2.06</v>
      </c>
      <c r="AA970">
        <f t="shared" si="45"/>
        <v>108485.78</v>
      </c>
      <c r="AB970">
        <f t="shared" si="46"/>
        <v>0.1290792469964587</v>
      </c>
      <c r="AC970">
        <f t="shared" si="47"/>
        <v>0</v>
      </c>
      <c r="AD970">
        <v>2025</v>
      </c>
      <c r="AE970">
        <v>10</v>
      </c>
      <c r="AF970" t="s">
        <v>138</v>
      </c>
      <c r="AG970" t="s">
        <v>160</v>
      </c>
    </row>
    <row r="971" spans="1:33">
      <c r="A971" t="s">
        <v>1122</v>
      </c>
      <c r="B971">
        <v>45594</v>
      </c>
      <c r="C971">
        <v>45598</v>
      </c>
      <c r="D971" t="s">
        <v>21</v>
      </c>
      <c r="E971">
        <v>750</v>
      </c>
      <c r="F971">
        <v>954.35</v>
      </c>
      <c r="G971">
        <v>1.1399999999999999</v>
      </c>
      <c r="H971">
        <v>707602.81</v>
      </c>
      <c r="I971" t="s">
        <v>1726</v>
      </c>
      <c r="J971">
        <v>746.4</v>
      </c>
      <c r="K971">
        <v>559800</v>
      </c>
      <c r="L971">
        <v>9596.14</v>
      </c>
      <c r="M971">
        <v>1805.56</v>
      </c>
      <c r="N971">
        <v>9716.4</v>
      </c>
      <c r="O971">
        <v>580918.1</v>
      </c>
      <c r="P971">
        <v>147802.81</v>
      </c>
      <c r="Q971">
        <v>126684.71</v>
      </c>
      <c r="R971" t="s">
        <v>65</v>
      </c>
      <c r="S971">
        <v>707602.81</v>
      </c>
      <c r="T971">
        <v>0</v>
      </c>
      <c r="U971" t="s">
        <v>73</v>
      </c>
      <c r="V971" t="s">
        <v>6</v>
      </c>
      <c r="W971" t="s">
        <v>74</v>
      </c>
      <c r="X971" t="s">
        <v>101</v>
      </c>
      <c r="Y971" t="s">
        <v>22</v>
      </c>
      <c r="Z971">
        <v>1.74</v>
      </c>
      <c r="AA971">
        <f t="shared" si="45"/>
        <v>126684.71</v>
      </c>
      <c r="AB971">
        <f t="shared" si="46"/>
        <v>0.17903364459505183</v>
      </c>
      <c r="AC971">
        <f t="shared" si="47"/>
        <v>0</v>
      </c>
      <c r="AD971">
        <v>2024</v>
      </c>
      <c r="AE971">
        <v>10</v>
      </c>
      <c r="AF971" t="s">
        <v>138</v>
      </c>
      <c r="AG971" t="s">
        <v>139</v>
      </c>
    </row>
    <row r="972" spans="1:33">
      <c r="A972" t="s">
        <v>1123</v>
      </c>
      <c r="B972">
        <v>45317</v>
      </c>
      <c r="C972">
        <v>45320</v>
      </c>
      <c r="D972" t="s">
        <v>21</v>
      </c>
      <c r="E972">
        <v>100</v>
      </c>
      <c r="F972">
        <v>836.71</v>
      </c>
      <c r="G972">
        <v>2.2799999999999998</v>
      </c>
      <c r="H972">
        <v>81763.3</v>
      </c>
      <c r="I972" t="s">
        <v>1726</v>
      </c>
      <c r="J972">
        <v>678.85</v>
      </c>
      <c r="K972">
        <v>67885</v>
      </c>
      <c r="L972">
        <v>1347.7</v>
      </c>
      <c r="M972">
        <v>558.04999999999995</v>
      </c>
      <c r="N972">
        <v>10804.56</v>
      </c>
      <c r="O972">
        <v>80595.31</v>
      </c>
      <c r="P972">
        <v>13878.3</v>
      </c>
      <c r="Q972">
        <v>1167.99</v>
      </c>
      <c r="R972" t="s">
        <v>85</v>
      </c>
      <c r="S972">
        <v>20614.36</v>
      </c>
      <c r="T972">
        <v>61148.94</v>
      </c>
      <c r="U972" t="s">
        <v>73</v>
      </c>
      <c r="V972" t="s">
        <v>8</v>
      </c>
      <c r="W972" t="s">
        <v>74</v>
      </c>
      <c r="X972" t="s">
        <v>108</v>
      </c>
      <c r="Y972" t="s">
        <v>22</v>
      </c>
      <c r="Z972">
        <v>0.31</v>
      </c>
      <c r="AA972">
        <f t="shared" si="45"/>
        <v>1167.99</v>
      </c>
      <c r="AB972">
        <f t="shared" si="46"/>
        <v>1.4285015404221698E-2</v>
      </c>
      <c r="AC972">
        <f t="shared" si="47"/>
        <v>0</v>
      </c>
      <c r="AD972">
        <v>2024</v>
      </c>
      <c r="AE972">
        <v>1</v>
      </c>
      <c r="AF972" t="s">
        <v>102</v>
      </c>
      <c r="AG972" t="s">
        <v>103</v>
      </c>
    </row>
    <row r="973" spans="1:33">
      <c r="A973" t="s">
        <v>1124</v>
      </c>
      <c r="B973">
        <v>45670</v>
      </c>
      <c r="C973">
        <v>45683</v>
      </c>
      <c r="D973" t="s">
        <v>23</v>
      </c>
      <c r="E973">
        <v>50</v>
      </c>
      <c r="F973">
        <v>1238.6600000000001</v>
      </c>
      <c r="G973">
        <v>0.54</v>
      </c>
      <c r="H973">
        <v>61598.559999999998</v>
      </c>
      <c r="I973" t="s">
        <v>1726</v>
      </c>
      <c r="J973">
        <v>1075.23</v>
      </c>
      <c r="K973">
        <v>53761.5</v>
      </c>
      <c r="L973">
        <v>900.68</v>
      </c>
      <c r="M973">
        <v>180.97</v>
      </c>
      <c r="N973">
        <v>4187.3500000000004</v>
      </c>
      <c r="O973">
        <v>59030.5</v>
      </c>
      <c r="P973">
        <v>7837.06</v>
      </c>
      <c r="Q973">
        <v>2568.06</v>
      </c>
      <c r="R973" t="s">
        <v>65</v>
      </c>
      <c r="S973">
        <v>61598.559999999998</v>
      </c>
      <c r="T973">
        <v>0</v>
      </c>
      <c r="U973" t="s">
        <v>66</v>
      </c>
      <c r="V973" t="s">
        <v>16</v>
      </c>
      <c r="W973" t="s">
        <v>141</v>
      </c>
      <c r="X973" t="s">
        <v>142</v>
      </c>
      <c r="Y973" t="s">
        <v>28</v>
      </c>
      <c r="Z973">
        <v>0.44</v>
      </c>
      <c r="AA973">
        <f t="shared" si="45"/>
        <v>2568.06</v>
      </c>
      <c r="AB973">
        <f t="shared" si="46"/>
        <v>4.1690260291799029E-2</v>
      </c>
      <c r="AC973">
        <f t="shared" si="47"/>
        <v>0</v>
      </c>
      <c r="AD973">
        <v>2025</v>
      </c>
      <c r="AE973">
        <v>1</v>
      </c>
      <c r="AF973" t="s">
        <v>102</v>
      </c>
      <c r="AG973" t="s">
        <v>118</v>
      </c>
    </row>
    <row r="974" spans="1:33">
      <c r="A974" t="s">
        <v>1125</v>
      </c>
      <c r="B974">
        <v>45541</v>
      </c>
      <c r="C974">
        <v>45543</v>
      </c>
      <c r="D974" t="s">
        <v>21</v>
      </c>
      <c r="E974">
        <v>300</v>
      </c>
      <c r="F974">
        <v>927.91</v>
      </c>
      <c r="G974">
        <v>2.4900000000000002</v>
      </c>
      <c r="H974">
        <v>271441.51</v>
      </c>
      <c r="I974" t="s">
        <v>1729</v>
      </c>
      <c r="J974">
        <v>720.04</v>
      </c>
      <c r="K974">
        <v>216012</v>
      </c>
      <c r="L974">
        <v>4036.5</v>
      </c>
      <c r="M974">
        <v>1048.25</v>
      </c>
      <c r="N974">
        <v>2761.19</v>
      </c>
      <c r="O974">
        <v>223857.94</v>
      </c>
      <c r="P974">
        <v>55429.51</v>
      </c>
      <c r="Q974">
        <v>47583.57</v>
      </c>
      <c r="R974" t="s">
        <v>65</v>
      </c>
      <c r="S974">
        <v>271441.51</v>
      </c>
      <c r="T974">
        <v>0</v>
      </c>
      <c r="U974" t="s">
        <v>66</v>
      </c>
      <c r="V974" t="s">
        <v>8</v>
      </c>
      <c r="W974" t="s">
        <v>74</v>
      </c>
      <c r="X974" t="s">
        <v>208</v>
      </c>
      <c r="Y974" t="s">
        <v>26</v>
      </c>
      <c r="Z974">
        <v>0.27</v>
      </c>
      <c r="AA974">
        <f t="shared" si="45"/>
        <v>47583.57</v>
      </c>
      <c r="AB974">
        <f t="shared" si="46"/>
        <v>0.17529953322172426</v>
      </c>
      <c r="AC974">
        <f t="shared" si="47"/>
        <v>0</v>
      </c>
      <c r="AD974">
        <v>2024</v>
      </c>
      <c r="AE974">
        <v>9</v>
      </c>
      <c r="AF974" t="s">
        <v>131</v>
      </c>
      <c r="AG974" t="s">
        <v>188</v>
      </c>
    </row>
    <row r="975" spans="1:33">
      <c r="A975" t="s">
        <v>1126</v>
      </c>
      <c r="B975">
        <v>45609</v>
      </c>
      <c r="C975">
        <v>45609</v>
      </c>
      <c r="D975" t="s">
        <v>21</v>
      </c>
      <c r="E975">
        <v>100</v>
      </c>
      <c r="F975">
        <v>959.1</v>
      </c>
      <c r="G975">
        <v>1.38</v>
      </c>
      <c r="H975">
        <v>94586.44</v>
      </c>
      <c r="I975" t="s">
        <v>1729</v>
      </c>
      <c r="J975">
        <v>732.68</v>
      </c>
      <c r="K975">
        <v>73268</v>
      </c>
      <c r="L975">
        <v>563.85</v>
      </c>
      <c r="M975">
        <v>423.46</v>
      </c>
      <c r="N975">
        <v>2073.4499999999998</v>
      </c>
      <c r="O975">
        <v>76328.759999999995</v>
      </c>
      <c r="P975">
        <v>21318.44</v>
      </c>
      <c r="Q975">
        <v>18257.68</v>
      </c>
      <c r="R975" t="s">
        <v>65</v>
      </c>
      <c r="S975">
        <v>94586.44</v>
      </c>
      <c r="T975">
        <v>0</v>
      </c>
      <c r="U975" t="s">
        <v>66</v>
      </c>
      <c r="V975" t="s">
        <v>6</v>
      </c>
      <c r="W975" t="s">
        <v>92</v>
      </c>
      <c r="X975" t="s">
        <v>182</v>
      </c>
      <c r="Y975" t="s">
        <v>26</v>
      </c>
      <c r="Z975">
        <v>0.38</v>
      </c>
      <c r="AA975">
        <f t="shared" si="45"/>
        <v>18257.68</v>
      </c>
      <c r="AB975">
        <f t="shared" si="46"/>
        <v>0.19302639997868615</v>
      </c>
      <c r="AC975">
        <f t="shared" si="47"/>
        <v>0</v>
      </c>
      <c r="AD975">
        <v>2024</v>
      </c>
      <c r="AE975">
        <v>11</v>
      </c>
      <c r="AF975" t="s">
        <v>128</v>
      </c>
      <c r="AG975" t="s">
        <v>129</v>
      </c>
    </row>
    <row r="976" spans="1:33">
      <c r="A976" t="s">
        <v>1127</v>
      </c>
      <c r="B976">
        <v>45686</v>
      </c>
      <c r="C976">
        <v>45687</v>
      </c>
      <c r="D976" t="s">
        <v>21</v>
      </c>
      <c r="E976">
        <v>150</v>
      </c>
      <c r="F976">
        <v>894.79</v>
      </c>
      <c r="G976">
        <v>0.19</v>
      </c>
      <c r="H976">
        <v>133963.48000000001</v>
      </c>
      <c r="I976" t="s">
        <v>1727</v>
      </c>
      <c r="J976">
        <v>652.33000000000004</v>
      </c>
      <c r="K976">
        <v>97849.5</v>
      </c>
      <c r="L976">
        <v>2853.55</v>
      </c>
      <c r="M976">
        <v>795.17</v>
      </c>
      <c r="N976">
        <v>9095.89</v>
      </c>
      <c r="O976">
        <v>110594.11</v>
      </c>
      <c r="P976">
        <v>36113.980000000003</v>
      </c>
      <c r="Q976">
        <v>23369.37</v>
      </c>
      <c r="R976" t="s">
        <v>85</v>
      </c>
      <c r="S976">
        <v>111643.04</v>
      </c>
      <c r="T976">
        <v>22320.44</v>
      </c>
      <c r="U976" t="s">
        <v>66</v>
      </c>
      <c r="V976" t="s">
        <v>6</v>
      </c>
      <c r="W976" t="s">
        <v>92</v>
      </c>
      <c r="X976" t="s">
        <v>127</v>
      </c>
      <c r="Y976" t="s">
        <v>22</v>
      </c>
      <c r="Z976">
        <v>0.59</v>
      </c>
      <c r="AA976">
        <f t="shared" si="45"/>
        <v>23369.37</v>
      </c>
      <c r="AB976">
        <f t="shared" si="46"/>
        <v>0.17444582657900495</v>
      </c>
      <c r="AC976">
        <f t="shared" si="47"/>
        <v>0</v>
      </c>
      <c r="AD976">
        <v>2025</v>
      </c>
      <c r="AE976">
        <v>1</v>
      </c>
      <c r="AF976" t="s">
        <v>102</v>
      </c>
      <c r="AG976" t="s">
        <v>118</v>
      </c>
    </row>
    <row r="977" spans="1:33">
      <c r="A977" t="s">
        <v>1128</v>
      </c>
      <c r="B977">
        <v>45847</v>
      </c>
      <c r="C977">
        <v>45859</v>
      </c>
      <c r="D977" t="s">
        <v>21</v>
      </c>
      <c r="E977">
        <v>300</v>
      </c>
      <c r="F977">
        <v>896.12</v>
      </c>
      <c r="G977">
        <v>1.28</v>
      </c>
      <c r="H977">
        <v>265394.90000000002</v>
      </c>
      <c r="I977" t="s">
        <v>1727</v>
      </c>
      <c r="J977">
        <v>685.54</v>
      </c>
      <c r="K977">
        <v>205662</v>
      </c>
      <c r="L977">
        <v>1781.99</v>
      </c>
      <c r="M977">
        <v>1535.02</v>
      </c>
      <c r="N977">
        <v>3037.72</v>
      </c>
      <c r="O977">
        <v>212016.73</v>
      </c>
      <c r="P977">
        <v>59732.9</v>
      </c>
      <c r="Q977">
        <v>53378.17</v>
      </c>
      <c r="R977" t="s">
        <v>85</v>
      </c>
      <c r="S977">
        <v>175393.07</v>
      </c>
      <c r="T977">
        <v>90001.83</v>
      </c>
      <c r="U977" t="s">
        <v>66</v>
      </c>
      <c r="V977" t="s">
        <v>8</v>
      </c>
      <c r="W977" t="s">
        <v>74</v>
      </c>
      <c r="X977" t="s">
        <v>125</v>
      </c>
      <c r="Y977" t="s">
        <v>24</v>
      </c>
      <c r="Z977">
        <v>0.25</v>
      </c>
      <c r="AA977">
        <f t="shared" si="45"/>
        <v>53378.17</v>
      </c>
      <c r="AB977">
        <f t="shared" si="46"/>
        <v>0.20112733892022791</v>
      </c>
      <c r="AC977">
        <f t="shared" si="47"/>
        <v>0</v>
      </c>
      <c r="AD977">
        <v>2025</v>
      </c>
      <c r="AE977">
        <v>7</v>
      </c>
      <c r="AF977" t="s">
        <v>69</v>
      </c>
      <c r="AG977" t="s">
        <v>151</v>
      </c>
    </row>
    <row r="978" spans="1:33">
      <c r="A978" t="s">
        <v>1129</v>
      </c>
      <c r="B978">
        <v>45704</v>
      </c>
      <c r="C978">
        <v>45713</v>
      </c>
      <c r="D978" t="s">
        <v>29</v>
      </c>
      <c r="E978">
        <v>1000</v>
      </c>
      <c r="F978">
        <v>2647.45</v>
      </c>
      <c r="G978">
        <v>0.56000000000000005</v>
      </c>
      <c r="H978">
        <v>2632624.2799999998</v>
      </c>
      <c r="I978" t="s">
        <v>1726</v>
      </c>
      <c r="J978">
        <v>2367.2600000000002</v>
      </c>
      <c r="K978">
        <v>2367260</v>
      </c>
      <c r="L978">
        <v>7813.36</v>
      </c>
      <c r="M978">
        <v>3749.24</v>
      </c>
      <c r="N978">
        <v>5795.71</v>
      </c>
      <c r="O978">
        <v>2384618.31</v>
      </c>
      <c r="P978">
        <v>265364.28000000003</v>
      </c>
      <c r="Q978">
        <v>248005.97</v>
      </c>
      <c r="R978" t="s">
        <v>65</v>
      </c>
      <c r="S978">
        <v>2632624.2799999998</v>
      </c>
      <c r="T978">
        <v>0</v>
      </c>
      <c r="U978" t="s">
        <v>73</v>
      </c>
      <c r="V978" t="s">
        <v>10</v>
      </c>
      <c r="W978" t="s">
        <v>67</v>
      </c>
      <c r="X978" t="s">
        <v>239</v>
      </c>
      <c r="Y978" t="s">
        <v>28</v>
      </c>
      <c r="Z978">
        <v>1.73</v>
      </c>
      <c r="AA978">
        <f t="shared" si="45"/>
        <v>248005.97</v>
      </c>
      <c r="AB978">
        <f t="shared" si="46"/>
        <v>9.4204847947387316E-2</v>
      </c>
      <c r="AC978">
        <f t="shared" si="47"/>
        <v>0</v>
      </c>
      <c r="AD978">
        <v>2025</v>
      </c>
      <c r="AE978">
        <v>2</v>
      </c>
      <c r="AF978" t="s">
        <v>172</v>
      </c>
      <c r="AG978" t="s">
        <v>244</v>
      </c>
    </row>
    <row r="979" spans="1:33">
      <c r="A979" t="s">
        <v>1130</v>
      </c>
      <c r="B979">
        <v>45690</v>
      </c>
      <c r="C979">
        <v>45694</v>
      </c>
      <c r="D979" t="s">
        <v>21</v>
      </c>
      <c r="E979">
        <v>150</v>
      </c>
      <c r="F979">
        <v>859.68</v>
      </c>
      <c r="G979">
        <v>2.44</v>
      </c>
      <c r="H979">
        <v>125805.57</v>
      </c>
      <c r="I979" t="s">
        <v>1729</v>
      </c>
      <c r="J979">
        <v>731.41</v>
      </c>
      <c r="K979">
        <v>109711.5</v>
      </c>
      <c r="L979">
        <v>1813.71</v>
      </c>
      <c r="M979">
        <v>396.98</v>
      </c>
      <c r="N979">
        <v>9612.64</v>
      </c>
      <c r="O979">
        <v>121534.83</v>
      </c>
      <c r="P979">
        <v>16094.07</v>
      </c>
      <c r="Q979">
        <v>4270.74</v>
      </c>
      <c r="R979" t="s">
        <v>65</v>
      </c>
      <c r="S979">
        <v>125805.57</v>
      </c>
      <c r="T979">
        <v>0</v>
      </c>
      <c r="U979" t="s">
        <v>66</v>
      </c>
      <c r="V979" t="s">
        <v>6</v>
      </c>
      <c r="W979" t="s">
        <v>67</v>
      </c>
      <c r="X979" t="s">
        <v>101</v>
      </c>
      <c r="Y979" t="s">
        <v>22</v>
      </c>
      <c r="Z979">
        <v>0.71</v>
      </c>
      <c r="AA979">
        <f t="shared" si="45"/>
        <v>4270.74</v>
      </c>
      <c r="AB979">
        <f t="shared" si="46"/>
        <v>3.3947145583458661E-2</v>
      </c>
      <c r="AC979">
        <f t="shared" si="47"/>
        <v>0</v>
      </c>
      <c r="AD979">
        <v>2025</v>
      </c>
      <c r="AE979">
        <v>2</v>
      </c>
      <c r="AF979" t="s">
        <v>172</v>
      </c>
      <c r="AG979" t="s">
        <v>244</v>
      </c>
    </row>
    <row r="980" spans="1:33">
      <c r="A980" t="s">
        <v>1131</v>
      </c>
      <c r="B980">
        <v>45693</v>
      </c>
      <c r="C980">
        <v>45701</v>
      </c>
      <c r="D980" t="s">
        <v>27</v>
      </c>
      <c r="E980">
        <v>200</v>
      </c>
      <c r="F980">
        <v>685.99</v>
      </c>
      <c r="G980">
        <v>0.67</v>
      </c>
      <c r="H980">
        <v>136278.76999999999</v>
      </c>
      <c r="I980" t="s">
        <v>1726</v>
      </c>
      <c r="J980">
        <v>578.16</v>
      </c>
      <c r="K980">
        <v>115632</v>
      </c>
      <c r="L980">
        <v>2799.21</v>
      </c>
      <c r="M980">
        <v>1000.42</v>
      </c>
      <c r="N980">
        <v>11448.05</v>
      </c>
      <c r="O980">
        <v>130879.67999999999</v>
      </c>
      <c r="P980">
        <v>20646.77</v>
      </c>
      <c r="Q980">
        <v>5399.09</v>
      </c>
      <c r="R980" t="s">
        <v>65</v>
      </c>
      <c r="S980">
        <v>136278.76999999999</v>
      </c>
      <c r="T980">
        <v>0</v>
      </c>
      <c r="U980" t="s">
        <v>66</v>
      </c>
      <c r="V980" t="s">
        <v>6</v>
      </c>
      <c r="W980" t="s">
        <v>74</v>
      </c>
      <c r="X980" t="s">
        <v>182</v>
      </c>
      <c r="Y980" t="s">
        <v>26</v>
      </c>
      <c r="Z980">
        <v>2.15</v>
      </c>
      <c r="AA980">
        <f t="shared" si="45"/>
        <v>5399.09</v>
      </c>
      <c r="AB980">
        <f t="shared" si="46"/>
        <v>3.9617983050478082E-2</v>
      </c>
      <c r="AC980">
        <f t="shared" si="47"/>
        <v>0</v>
      </c>
      <c r="AD980">
        <v>2025</v>
      </c>
      <c r="AE980">
        <v>2</v>
      </c>
      <c r="AF980" t="s">
        <v>172</v>
      </c>
      <c r="AG980" t="s">
        <v>244</v>
      </c>
    </row>
    <row r="981" spans="1:33">
      <c r="A981" t="s">
        <v>1132</v>
      </c>
      <c r="B981">
        <v>45870</v>
      </c>
      <c r="C981">
        <v>45880</v>
      </c>
      <c r="D981" t="s">
        <v>23</v>
      </c>
      <c r="E981">
        <v>750</v>
      </c>
      <c r="F981">
        <v>1343.35</v>
      </c>
      <c r="G981">
        <v>3.91</v>
      </c>
      <c r="H981">
        <v>968118.76</v>
      </c>
      <c r="I981" t="s">
        <v>1728</v>
      </c>
      <c r="J981">
        <v>1007.58</v>
      </c>
      <c r="K981">
        <v>755685</v>
      </c>
      <c r="L981">
        <v>6935.4</v>
      </c>
      <c r="M981">
        <v>2258.62</v>
      </c>
      <c r="N981">
        <v>7035.8</v>
      </c>
      <c r="O981">
        <v>771914.82</v>
      </c>
      <c r="P981">
        <v>212433.76</v>
      </c>
      <c r="Q981">
        <v>196203.94</v>
      </c>
      <c r="R981" t="s">
        <v>65</v>
      </c>
      <c r="S981">
        <v>968118.76</v>
      </c>
      <c r="T981">
        <v>0</v>
      </c>
      <c r="U981" t="s">
        <v>66</v>
      </c>
      <c r="V981" t="s">
        <v>12</v>
      </c>
      <c r="W981" t="s">
        <v>92</v>
      </c>
      <c r="X981" t="s">
        <v>108</v>
      </c>
      <c r="Y981" t="s">
        <v>22</v>
      </c>
      <c r="Z981">
        <v>0.31</v>
      </c>
      <c r="AA981">
        <f t="shared" si="45"/>
        <v>196203.94</v>
      </c>
      <c r="AB981">
        <f t="shared" si="46"/>
        <v>0.20266515649381694</v>
      </c>
      <c r="AC981">
        <f t="shared" si="47"/>
        <v>0</v>
      </c>
      <c r="AD981">
        <v>2025</v>
      </c>
      <c r="AE981">
        <v>8</v>
      </c>
      <c r="AF981" t="s">
        <v>82</v>
      </c>
      <c r="AG981" t="s">
        <v>87</v>
      </c>
    </row>
    <row r="982" spans="1:33">
      <c r="A982" t="s">
        <v>1133</v>
      </c>
      <c r="B982">
        <v>45899</v>
      </c>
      <c r="C982">
        <v>45901</v>
      </c>
      <c r="D982" t="s">
        <v>25</v>
      </c>
      <c r="E982">
        <v>200</v>
      </c>
      <c r="F982">
        <v>936.4</v>
      </c>
      <c r="G982">
        <v>1.01</v>
      </c>
      <c r="H982">
        <v>185388.47</v>
      </c>
      <c r="I982" t="s">
        <v>1726</v>
      </c>
      <c r="J982">
        <v>811.64</v>
      </c>
      <c r="K982">
        <v>162328</v>
      </c>
      <c r="L982">
        <v>3581.61</v>
      </c>
      <c r="M982">
        <v>447.86</v>
      </c>
      <c r="N982">
        <v>944.9</v>
      </c>
      <c r="O982">
        <v>167302.37</v>
      </c>
      <c r="P982">
        <v>23060.47</v>
      </c>
      <c r="Q982">
        <v>18086.099999999999</v>
      </c>
      <c r="R982" t="s">
        <v>134</v>
      </c>
      <c r="S982">
        <v>0</v>
      </c>
      <c r="T982">
        <v>185388.47</v>
      </c>
      <c r="U982" t="s">
        <v>66</v>
      </c>
      <c r="V982" t="s">
        <v>6</v>
      </c>
      <c r="W982" t="s">
        <v>141</v>
      </c>
      <c r="X982" t="s">
        <v>101</v>
      </c>
      <c r="Y982" t="s">
        <v>22</v>
      </c>
      <c r="Z982">
        <v>2.4</v>
      </c>
      <c r="AA982">
        <f t="shared" si="45"/>
        <v>18086.099999999999</v>
      </c>
      <c r="AB982">
        <f t="shared" si="46"/>
        <v>9.7557847044101489E-2</v>
      </c>
      <c r="AC982">
        <f t="shared" si="47"/>
        <v>0</v>
      </c>
      <c r="AD982">
        <v>2025</v>
      </c>
      <c r="AE982">
        <v>8</v>
      </c>
      <c r="AF982" t="s">
        <v>82</v>
      </c>
      <c r="AG982" t="s">
        <v>87</v>
      </c>
    </row>
    <row r="983" spans="1:33">
      <c r="A983" t="s">
        <v>1134</v>
      </c>
      <c r="B983">
        <v>45641</v>
      </c>
      <c r="C983">
        <v>45649</v>
      </c>
      <c r="D983" t="s">
        <v>27</v>
      </c>
      <c r="E983">
        <v>100</v>
      </c>
      <c r="F983">
        <v>789.36</v>
      </c>
      <c r="G983">
        <v>1.18</v>
      </c>
      <c r="H983">
        <v>78004.56</v>
      </c>
      <c r="I983" t="s">
        <v>1727</v>
      </c>
      <c r="J983">
        <v>576.96</v>
      </c>
      <c r="K983">
        <v>57696</v>
      </c>
      <c r="L983">
        <v>2366.9</v>
      </c>
      <c r="M983">
        <v>175.47</v>
      </c>
      <c r="N983">
        <v>11600.89</v>
      </c>
      <c r="O983">
        <v>71839.259999999995</v>
      </c>
      <c r="P983">
        <v>20308.560000000001</v>
      </c>
      <c r="Q983">
        <v>6165.3</v>
      </c>
      <c r="R983" t="s">
        <v>65</v>
      </c>
      <c r="S983">
        <v>78004.56</v>
      </c>
      <c r="T983">
        <v>0</v>
      </c>
      <c r="U983" t="s">
        <v>66</v>
      </c>
      <c r="V983" t="s">
        <v>14</v>
      </c>
      <c r="W983" t="s">
        <v>74</v>
      </c>
      <c r="X983" t="s">
        <v>75</v>
      </c>
      <c r="Y983" t="s">
        <v>28</v>
      </c>
      <c r="Z983">
        <v>1.95</v>
      </c>
      <c r="AA983">
        <f t="shared" si="45"/>
        <v>6165.3</v>
      </c>
      <c r="AB983">
        <f t="shared" si="46"/>
        <v>7.9037687027527628E-2</v>
      </c>
      <c r="AC983">
        <f t="shared" si="47"/>
        <v>0</v>
      </c>
      <c r="AD983">
        <v>2024</v>
      </c>
      <c r="AE983">
        <v>12</v>
      </c>
      <c r="AF983" t="s">
        <v>98</v>
      </c>
      <c r="AG983" t="s">
        <v>99</v>
      </c>
    </row>
    <row r="984" spans="1:33">
      <c r="A984" t="s">
        <v>1135</v>
      </c>
      <c r="B984">
        <v>45304</v>
      </c>
      <c r="C984">
        <v>45314</v>
      </c>
      <c r="D984" t="s">
        <v>23</v>
      </c>
      <c r="E984">
        <v>300</v>
      </c>
      <c r="F984">
        <v>1275.73</v>
      </c>
      <c r="G984">
        <v>1.76</v>
      </c>
      <c r="H984">
        <v>375983.15</v>
      </c>
      <c r="I984" t="s">
        <v>1726</v>
      </c>
      <c r="J984">
        <v>1090.05</v>
      </c>
      <c r="K984">
        <v>327015</v>
      </c>
      <c r="L984">
        <v>4838.17</v>
      </c>
      <c r="M984">
        <v>1191.99</v>
      </c>
      <c r="N984">
        <v>153.63999999999999</v>
      </c>
      <c r="O984">
        <v>333198.8</v>
      </c>
      <c r="P984">
        <v>48968.15</v>
      </c>
      <c r="Q984">
        <v>42784.35</v>
      </c>
      <c r="R984" t="s">
        <v>65</v>
      </c>
      <c r="S984">
        <v>375983.15</v>
      </c>
      <c r="T984">
        <v>0</v>
      </c>
      <c r="U984" t="s">
        <v>73</v>
      </c>
      <c r="V984" t="s">
        <v>10</v>
      </c>
      <c r="W984" t="s">
        <v>74</v>
      </c>
      <c r="X984" t="s">
        <v>125</v>
      </c>
      <c r="Y984" t="s">
        <v>24</v>
      </c>
      <c r="Z984">
        <v>1.46</v>
      </c>
      <c r="AA984">
        <f t="shared" si="45"/>
        <v>42784.35</v>
      </c>
      <c r="AB984">
        <f t="shared" si="46"/>
        <v>0.11379326440559902</v>
      </c>
      <c r="AC984">
        <f t="shared" si="47"/>
        <v>0</v>
      </c>
      <c r="AD984">
        <v>2024</v>
      </c>
      <c r="AE984">
        <v>1</v>
      </c>
      <c r="AF984" t="s">
        <v>102</v>
      </c>
      <c r="AG984" t="s">
        <v>103</v>
      </c>
    </row>
    <row r="985" spans="1:33">
      <c r="A985" t="s">
        <v>1136</v>
      </c>
      <c r="B985">
        <v>45640</v>
      </c>
      <c r="C985">
        <v>45649</v>
      </c>
      <c r="D985" t="s">
        <v>23</v>
      </c>
      <c r="E985">
        <v>300</v>
      </c>
      <c r="F985">
        <v>1355.84</v>
      </c>
      <c r="G985">
        <v>1.02</v>
      </c>
      <c r="H985">
        <v>402603.13</v>
      </c>
      <c r="I985" t="s">
        <v>1726</v>
      </c>
      <c r="J985">
        <v>1062.58</v>
      </c>
      <c r="K985">
        <v>318774</v>
      </c>
      <c r="L985">
        <v>3822.36</v>
      </c>
      <c r="M985">
        <v>1229.3800000000001</v>
      </c>
      <c r="N985">
        <v>2257.87</v>
      </c>
      <c r="O985">
        <v>326083.61</v>
      </c>
      <c r="P985">
        <v>83829.13</v>
      </c>
      <c r="Q985">
        <v>76519.520000000004</v>
      </c>
      <c r="R985" t="s">
        <v>134</v>
      </c>
      <c r="S985">
        <v>0</v>
      </c>
      <c r="T985">
        <v>402603.13</v>
      </c>
      <c r="U985" t="s">
        <v>66</v>
      </c>
      <c r="V985" t="s">
        <v>8</v>
      </c>
      <c r="W985" t="s">
        <v>67</v>
      </c>
      <c r="X985" t="s">
        <v>208</v>
      </c>
      <c r="Y985" t="s">
        <v>26</v>
      </c>
      <c r="Z985">
        <v>1.78</v>
      </c>
      <c r="AA985">
        <f t="shared" si="45"/>
        <v>76519.520000000004</v>
      </c>
      <c r="AB985">
        <f t="shared" si="46"/>
        <v>0.19006191034828765</v>
      </c>
      <c r="AC985">
        <f t="shared" si="47"/>
        <v>0</v>
      </c>
      <c r="AD985">
        <v>2024</v>
      </c>
      <c r="AE985">
        <v>12</v>
      </c>
      <c r="AF985" t="s">
        <v>98</v>
      </c>
      <c r="AG985" t="s">
        <v>99</v>
      </c>
    </row>
    <row r="986" spans="1:33">
      <c r="A986" t="s">
        <v>1137</v>
      </c>
      <c r="B986">
        <v>45979</v>
      </c>
      <c r="D986" t="s">
        <v>21</v>
      </c>
      <c r="E986">
        <v>50</v>
      </c>
      <c r="F986">
        <v>952.6</v>
      </c>
      <c r="G986">
        <v>0.73</v>
      </c>
      <c r="H986">
        <v>47282.3</v>
      </c>
      <c r="I986" t="s">
        <v>1729</v>
      </c>
      <c r="J986">
        <v>697.59</v>
      </c>
      <c r="K986">
        <v>34879.5</v>
      </c>
      <c r="L986">
        <v>272.05</v>
      </c>
      <c r="M986">
        <v>124.14</v>
      </c>
      <c r="N986">
        <v>7512.1</v>
      </c>
      <c r="O986">
        <v>42787.79</v>
      </c>
      <c r="P986">
        <v>12402.8</v>
      </c>
      <c r="Q986">
        <v>4494.51</v>
      </c>
      <c r="R986" t="s">
        <v>65</v>
      </c>
      <c r="S986">
        <v>47282.3</v>
      </c>
      <c r="T986">
        <v>0</v>
      </c>
      <c r="U986" t="s">
        <v>91</v>
      </c>
      <c r="V986" t="s">
        <v>16</v>
      </c>
      <c r="W986" t="s">
        <v>67</v>
      </c>
      <c r="X986" t="s">
        <v>195</v>
      </c>
      <c r="Y986" t="s">
        <v>26</v>
      </c>
      <c r="Z986">
        <v>0.32</v>
      </c>
      <c r="AA986">
        <f t="shared" si="45"/>
        <v>4494.51</v>
      </c>
      <c r="AB986">
        <f t="shared" si="46"/>
        <v>9.5056924049802996E-2</v>
      </c>
      <c r="AC986">
        <f t="shared" si="47"/>
        <v>0</v>
      </c>
      <c r="AD986">
        <v>2025</v>
      </c>
      <c r="AE986">
        <v>11</v>
      </c>
      <c r="AF986" t="s">
        <v>128</v>
      </c>
      <c r="AG986" t="s">
        <v>135</v>
      </c>
    </row>
    <row r="987" spans="1:33">
      <c r="A987" t="s">
        <v>1138</v>
      </c>
      <c r="B987">
        <v>45309</v>
      </c>
      <c r="D987" t="s">
        <v>21</v>
      </c>
      <c r="E987">
        <v>200</v>
      </c>
      <c r="F987">
        <v>845.49</v>
      </c>
      <c r="G987">
        <v>1.71</v>
      </c>
      <c r="H987">
        <v>166206.42000000001</v>
      </c>
      <c r="I987" t="s">
        <v>1729</v>
      </c>
      <c r="J987">
        <v>735.78</v>
      </c>
      <c r="K987">
        <v>147156</v>
      </c>
      <c r="L987">
        <v>1668.14</v>
      </c>
      <c r="M987">
        <v>872.15</v>
      </c>
      <c r="N987">
        <v>11656.41</v>
      </c>
      <c r="O987">
        <v>161352.70000000001</v>
      </c>
      <c r="P987">
        <v>19050.419999999998</v>
      </c>
      <c r="Q987">
        <v>4853.72</v>
      </c>
      <c r="R987" t="s">
        <v>85</v>
      </c>
      <c r="S987">
        <v>70281.73</v>
      </c>
      <c r="T987">
        <v>95924.69</v>
      </c>
      <c r="U987" t="s">
        <v>91</v>
      </c>
      <c r="V987" t="s">
        <v>10</v>
      </c>
      <c r="W987" t="s">
        <v>74</v>
      </c>
      <c r="X987" t="s">
        <v>115</v>
      </c>
      <c r="Y987" t="s">
        <v>22</v>
      </c>
      <c r="Z987">
        <v>1.79</v>
      </c>
      <c r="AA987">
        <f t="shared" si="45"/>
        <v>4853.72</v>
      </c>
      <c r="AB987">
        <f t="shared" si="46"/>
        <v>2.9202963399368086E-2</v>
      </c>
      <c r="AC987">
        <f t="shared" si="47"/>
        <v>0</v>
      </c>
      <c r="AD987">
        <v>2024</v>
      </c>
      <c r="AE987">
        <v>1</v>
      </c>
      <c r="AF987" t="s">
        <v>102</v>
      </c>
      <c r="AG987" t="s">
        <v>103</v>
      </c>
    </row>
    <row r="988" spans="1:33">
      <c r="A988" t="s">
        <v>1139</v>
      </c>
      <c r="B988">
        <v>45570</v>
      </c>
      <c r="C988">
        <v>45582</v>
      </c>
      <c r="D988" t="s">
        <v>21</v>
      </c>
      <c r="E988">
        <v>50</v>
      </c>
      <c r="F988">
        <v>942.82</v>
      </c>
      <c r="G988">
        <v>1.92</v>
      </c>
      <c r="H988">
        <v>46235.89</v>
      </c>
      <c r="I988" t="s">
        <v>1729</v>
      </c>
      <c r="J988">
        <v>684.12</v>
      </c>
      <c r="K988">
        <v>34206</v>
      </c>
      <c r="L988">
        <v>449.65</v>
      </c>
      <c r="M988">
        <v>256.06</v>
      </c>
      <c r="N988">
        <v>5403.93</v>
      </c>
      <c r="O988">
        <v>40315.64</v>
      </c>
      <c r="P988">
        <v>12029.89</v>
      </c>
      <c r="Q988">
        <v>5920.25</v>
      </c>
      <c r="R988" t="s">
        <v>65</v>
      </c>
      <c r="S988">
        <v>46235.89</v>
      </c>
      <c r="T988">
        <v>0</v>
      </c>
      <c r="U988" t="s">
        <v>73</v>
      </c>
      <c r="V988" t="s">
        <v>6</v>
      </c>
      <c r="W988" t="s">
        <v>74</v>
      </c>
      <c r="X988" t="s">
        <v>127</v>
      </c>
      <c r="Y988" t="s">
        <v>22</v>
      </c>
      <c r="Z988">
        <v>0.05</v>
      </c>
      <c r="AA988">
        <f t="shared" si="45"/>
        <v>5920.25</v>
      </c>
      <c r="AB988">
        <f t="shared" si="46"/>
        <v>0.12804446935054131</v>
      </c>
      <c r="AC988">
        <f t="shared" si="47"/>
        <v>0</v>
      </c>
      <c r="AD988">
        <v>2024</v>
      </c>
      <c r="AE988">
        <v>10</v>
      </c>
      <c r="AF988" t="s">
        <v>138</v>
      </c>
      <c r="AG988" t="s">
        <v>139</v>
      </c>
    </row>
    <row r="989" spans="1:33">
      <c r="A989" t="s">
        <v>1140</v>
      </c>
      <c r="B989">
        <v>45826</v>
      </c>
      <c r="C989">
        <v>45830</v>
      </c>
      <c r="D989" t="s">
        <v>27</v>
      </c>
      <c r="E989">
        <v>750</v>
      </c>
      <c r="F989">
        <v>744.81</v>
      </c>
      <c r="G989">
        <v>4.87</v>
      </c>
      <c r="H989">
        <v>531403.31000000006</v>
      </c>
      <c r="I989" t="s">
        <v>1729</v>
      </c>
      <c r="J989">
        <v>571.07000000000005</v>
      </c>
      <c r="K989">
        <v>428302.5</v>
      </c>
      <c r="L989">
        <v>5086.8</v>
      </c>
      <c r="M989">
        <v>2046.12</v>
      </c>
      <c r="N989">
        <v>3556.61</v>
      </c>
      <c r="O989">
        <v>438992.03</v>
      </c>
      <c r="P989">
        <v>103100.81</v>
      </c>
      <c r="Q989">
        <v>92411.28</v>
      </c>
      <c r="R989" t="s">
        <v>85</v>
      </c>
      <c r="S989">
        <v>370563.63</v>
      </c>
      <c r="T989">
        <v>160839.67999999999</v>
      </c>
      <c r="U989" t="s">
        <v>66</v>
      </c>
      <c r="V989" t="s">
        <v>8</v>
      </c>
      <c r="W989" t="s">
        <v>92</v>
      </c>
      <c r="X989" t="s">
        <v>147</v>
      </c>
      <c r="Y989" t="s">
        <v>28</v>
      </c>
      <c r="Z989">
        <v>2.0499999999999998</v>
      </c>
      <c r="AA989">
        <f t="shared" si="45"/>
        <v>92411.28</v>
      </c>
      <c r="AB989">
        <f t="shared" si="46"/>
        <v>0.1739004598973988</v>
      </c>
      <c r="AC989">
        <f t="shared" si="47"/>
        <v>0</v>
      </c>
      <c r="AD989">
        <v>2025</v>
      </c>
      <c r="AE989">
        <v>6</v>
      </c>
      <c r="AF989" t="s">
        <v>111</v>
      </c>
      <c r="AG989" t="s">
        <v>112</v>
      </c>
    </row>
    <row r="990" spans="1:33">
      <c r="A990" t="s">
        <v>1141</v>
      </c>
      <c r="B990">
        <v>45369</v>
      </c>
      <c r="C990">
        <v>45370</v>
      </c>
      <c r="D990" t="s">
        <v>27</v>
      </c>
      <c r="E990">
        <v>300</v>
      </c>
      <c r="F990">
        <v>744.93</v>
      </c>
      <c r="G990">
        <v>1.74</v>
      </c>
      <c r="H990">
        <v>219590.47</v>
      </c>
      <c r="I990" t="s">
        <v>1727</v>
      </c>
      <c r="J990">
        <v>577.28</v>
      </c>
      <c r="K990">
        <v>173184</v>
      </c>
      <c r="L990">
        <v>4605.3599999999997</v>
      </c>
      <c r="M990">
        <v>1163.99</v>
      </c>
      <c r="N990">
        <v>6682.77</v>
      </c>
      <c r="O990">
        <v>185636.12</v>
      </c>
      <c r="P990">
        <v>46406.47</v>
      </c>
      <c r="Q990">
        <v>33954.35</v>
      </c>
      <c r="R990" t="s">
        <v>65</v>
      </c>
      <c r="S990">
        <v>219590.47</v>
      </c>
      <c r="T990">
        <v>0</v>
      </c>
      <c r="U990" t="s">
        <v>66</v>
      </c>
      <c r="V990" t="s">
        <v>6</v>
      </c>
      <c r="W990" t="s">
        <v>74</v>
      </c>
      <c r="X990" t="s">
        <v>125</v>
      </c>
      <c r="Y990" t="s">
        <v>24</v>
      </c>
      <c r="Z990">
        <v>1.07</v>
      </c>
      <c r="AA990">
        <f t="shared" si="45"/>
        <v>33954.35</v>
      </c>
      <c r="AB990">
        <f t="shared" si="46"/>
        <v>0.15462579045438538</v>
      </c>
      <c r="AC990">
        <f t="shared" si="47"/>
        <v>0</v>
      </c>
      <c r="AD990">
        <v>2024</v>
      </c>
      <c r="AE990">
        <v>3</v>
      </c>
      <c r="AF990" t="s">
        <v>105</v>
      </c>
      <c r="AG990" t="s">
        <v>120</v>
      </c>
    </row>
    <row r="991" spans="1:33">
      <c r="A991" t="s">
        <v>1142</v>
      </c>
      <c r="B991">
        <v>45572</v>
      </c>
      <c r="C991">
        <v>45586</v>
      </c>
      <c r="D991" t="s">
        <v>21</v>
      </c>
      <c r="E991">
        <v>200</v>
      </c>
      <c r="F991">
        <v>953.74</v>
      </c>
      <c r="G991">
        <v>1.59</v>
      </c>
      <c r="H991">
        <v>187715.11</v>
      </c>
      <c r="I991" t="s">
        <v>1726</v>
      </c>
      <c r="J991">
        <v>733.96</v>
      </c>
      <c r="K991">
        <v>146792</v>
      </c>
      <c r="L991">
        <v>4730.8500000000004</v>
      </c>
      <c r="M991">
        <v>1011.04</v>
      </c>
      <c r="N991">
        <v>7511.01</v>
      </c>
      <c r="O991">
        <v>160044.9</v>
      </c>
      <c r="P991">
        <v>40923.11</v>
      </c>
      <c r="Q991">
        <v>27670.21</v>
      </c>
      <c r="R991" t="s">
        <v>65</v>
      </c>
      <c r="S991">
        <v>187715.11</v>
      </c>
      <c r="T991">
        <v>0</v>
      </c>
      <c r="U991" t="s">
        <v>66</v>
      </c>
      <c r="V991" t="s">
        <v>16</v>
      </c>
      <c r="W991" t="s">
        <v>80</v>
      </c>
      <c r="X991" t="s">
        <v>123</v>
      </c>
      <c r="Y991" t="s">
        <v>22</v>
      </c>
      <c r="Z991">
        <v>0.8</v>
      </c>
      <c r="AA991">
        <f t="shared" si="45"/>
        <v>27670.21</v>
      </c>
      <c r="AB991">
        <f t="shared" si="46"/>
        <v>0.14740534206330008</v>
      </c>
      <c r="AC991">
        <f t="shared" si="47"/>
        <v>0</v>
      </c>
      <c r="AD991">
        <v>2024</v>
      </c>
      <c r="AE991">
        <v>10</v>
      </c>
      <c r="AF991" t="s">
        <v>138</v>
      </c>
      <c r="AG991" t="s">
        <v>139</v>
      </c>
    </row>
    <row r="992" spans="1:33">
      <c r="A992" t="s">
        <v>1143</v>
      </c>
      <c r="B992">
        <v>45372</v>
      </c>
      <c r="C992">
        <v>45375</v>
      </c>
      <c r="D992" t="s">
        <v>21</v>
      </c>
      <c r="E992">
        <v>1000</v>
      </c>
      <c r="F992">
        <v>829.9</v>
      </c>
      <c r="G992">
        <v>3.74</v>
      </c>
      <c r="H992">
        <v>798861.74</v>
      </c>
      <c r="I992" t="s">
        <v>1726</v>
      </c>
      <c r="J992">
        <v>681.31</v>
      </c>
      <c r="K992">
        <v>681310</v>
      </c>
      <c r="L992">
        <v>18140.439999999999</v>
      </c>
      <c r="M992">
        <v>1834.7</v>
      </c>
      <c r="N992">
        <v>1874.75</v>
      </c>
      <c r="O992">
        <v>703159.89</v>
      </c>
      <c r="P992">
        <v>117551.74</v>
      </c>
      <c r="Q992">
        <v>95701.85</v>
      </c>
      <c r="R992" t="s">
        <v>85</v>
      </c>
      <c r="S992">
        <v>552289.02</v>
      </c>
      <c r="T992">
        <v>246572.72</v>
      </c>
      <c r="U992" t="s">
        <v>66</v>
      </c>
      <c r="V992" t="s">
        <v>16</v>
      </c>
      <c r="W992" t="s">
        <v>67</v>
      </c>
      <c r="X992" t="s">
        <v>164</v>
      </c>
      <c r="Y992" t="s">
        <v>24</v>
      </c>
      <c r="Z992">
        <v>2.2000000000000002</v>
      </c>
      <c r="AA992">
        <f t="shared" si="45"/>
        <v>95701.85</v>
      </c>
      <c r="AB992">
        <f t="shared" si="46"/>
        <v>0.11979776375321217</v>
      </c>
      <c r="AC992">
        <f t="shared" si="47"/>
        <v>0</v>
      </c>
      <c r="AD992">
        <v>2024</v>
      </c>
      <c r="AE992">
        <v>3</v>
      </c>
      <c r="AF992" t="s">
        <v>105</v>
      </c>
      <c r="AG992" t="s">
        <v>120</v>
      </c>
    </row>
    <row r="993" spans="1:33">
      <c r="A993" t="s">
        <v>1144</v>
      </c>
      <c r="B993">
        <v>45663</v>
      </c>
      <c r="C993">
        <v>45675</v>
      </c>
      <c r="D993" t="s">
        <v>21</v>
      </c>
      <c r="E993">
        <v>150</v>
      </c>
      <c r="F993">
        <v>846.89</v>
      </c>
      <c r="G993">
        <v>1.44</v>
      </c>
      <c r="H993">
        <v>125204.22</v>
      </c>
      <c r="I993" t="s">
        <v>1726</v>
      </c>
      <c r="J993">
        <v>723.82</v>
      </c>
      <c r="K993">
        <v>108573</v>
      </c>
      <c r="L993">
        <v>1979.95</v>
      </c>
      <c r="M993">
        <v>403.74</v>
      </c>
      <c r="N993">
        <v>9167.85</v>
      </c>
      <c r="O993">
        <v>120124.54</v>
      </c>
      <c r="P993">
        <v>16631.22</v>
      </c>
      <c r="Q993">
        <v>5079.68</v>
      </c>
      <c r="R993" t="s">
        <v>85</v>
      </c>
      <c r="S993">
        <v>43456.3</v>
      </c>
      <c r="T993">
        <v>81747.92</v>
      </c>
      <c r="U993" t="s">
        <v>66</v>
      </c>
      <c r="V993" t="s">
        <v>6</v>
      </c>
      <c r="W993" t="s">
        <v>67</v>
      </c>
      <c r="X993" t="s">
        <v>108</v>
      </c>
      <c r="Y993" t="s">
        <v>22</v>
      </c>
      <c r="Z993">
        <v>0.31</v>
      </c>
      <c r="AA993">
        <f t="shared" si="45"/>
        <v>5079.68</v>
      </c>
      <c r="AB993">
        <f t="shared" si="46"/>
        <v>4.0571156467409809E-2</v>
      </c>
      <c r="AC993">
        <f t="shared" si="47"/>
        <v>0</v>
      </c>
      <c r="AD993">
        <v>2025</v>
      </c>
      <c r="AE993">
        <v>1</v>
      </c>
      <c r="AF993" t="s">
        <v>102</v>
      </c>
      <c r="AG993" t="s">
        <v>118</v>
      </c>
    </row>
    <row r="994" spans="1:33">
      <c r="A994" t="s">
        <v>1145</v>
      </c>
      <c r="B994">
        <v>45327</v>
      </c>
      <c r="C994">
        <v>45330</v>
      </c>
      <c r="D994" t="s">
        <v>25</v>
      </c>
      <c r="E994">
        <v>200</v>
      </c>
      <c r="F994">
        <v>904.86</v>
      </c>
      <c r="G994">
        <v>0.72</v>
      </c>
      <c r="H994">
        <v>179669</v>
      </c>
      <c r="I994" t="s">
        <v>1727</v>
      </c>
      <c r="J994">
        <v>802.9</v>
      </c>
      <c r="K994">
        <v>160580</v>
      </c>
      <c r="L994">
        <v>1360.45</v>
      </c>
      <c r="M994">
        <v>800.55</v>
      </c>
      <c r="N994">
        <v>2379.37</v>
      </c>
      <c r="O994">
        <v>165120.37</v>
      </c>
      <c r="P994">
        <v>19089</v>
      </c>
      <c r="Q994">
        <v>14548.63</v>
      </c>
      <c r="R994" t="s">
        <v>65</v>
      </c>
      <c r="S994">
        <v>179669</v>
      </c>
      <c r="T994">
        <v>0</v>
      </c>
      <c r="U994" t="s">
        <v>66</v>
      </c>
      <c r="V994" t="s">
        <v>12</v>
      </c>
      <c r="W994" t="s">
        <v>74</v>
      </c>
      <c r="X994" t="s">
        <v>164</v>
      </c>
      <c r="Y994" t="s">
        <v>24</v>
      </c>
      <c r="Z994">
        <v>1.51</v>
      </c>
      <c r="AA994">
        <f t="shared" si="45"/>
        <v>14548.63</v>
      </c>
      <c r="AB994">
        <f t="shared" si="46"/>
        <v>8.0974625561449104E-2</v>
      </c>
      <c r="AC994">
        <f t="shared" si="47"/>
        <v>0</v>
      </c>
      <c r="AD994">
        <v>2024</v>
      </c>
      <c r="AE994">
        <v>2</v>
      </c>
      <c r="AF994" t="s">
        <v>172</v>
      </c>
      <c r="AG994" t="s">
        <v>173</v>
      </c>
    </row>
    <row r="995" spans="1:33">
      <c r="A995" t="s">
        <v>1146</v>
      </c>
      <c r="B995">
        <v>45435</v>
      </c>
      <c r="C995">
        <v>45447</v>
      </c>
      <c r="D995" t="s">
        <v>21</v>
      </c>
      <c r="E995">
        <v>50</v>
      </c>
      <c r="F995">
        <v>815.17</v>
      </c>
      <c r="G995">
        <v>0.74</v>
      </c>
      <c r="H995">
        <v>40456.89</v>
      </c>
      <c r="I995" t="s">
        <v>1726</v>
      </c>
      <c r="J995">
        <v>674.71</v>
      </c>
      <c r="K995">
        <v>33735.5</v>
      </c>
      <c r="L995">
        <v>371.86</v>
      </c>
      <c r="M995">
        <v>139.43</v>
      </c>
      <c r="N995">
        <v>7761.7</v>
      </c>
      <c r="O995">
        <v>42008.49</v>
      </c>
      <c r="P995">
        <v>6721.39</v>
      </c>
      <c r="Q995">
        <v>-1551.6</v>
      </c>
      <c r="R995" t="s">
        <v>134</v>
      </c>
      <c r="S995">
        <v>0</v>
      </c>
      <c r="T995">
        <v>40456.89</v>
      </c>
      <c r="U995" t="s">
        <v>66</v>
      </c>
      <c r="V995" t="s">
        <v>14</v>
      </c>
      <c r="W995" t="s">
        <v>67</v>
      </c>
      <c r="X995" t="s">
        <v>86</v>
      </c>
      <c r="Y995" t="s">
        <v>30</v>
      </c>
      <c r="Z995">
        <v>0.3</v>
      </c>
      <c r="AA995">
        <f t="shared" si="45"/>
        <v>-1551.6</v>
      </c>
      <c r="AB995">
        <f t="shared" si="46"/>
        <v>-3.8351934614845581E-2</v>
      </c>
      <c r="AC995">
        <f t="shared" si="47"/>
        <v>0</v>
      </c>
      <c r="AD995">
        <v>2024</v>
      </c>
      <c r="AE995">
        <v>5</v>
      </c>
      <c r="AF995" t="s">
        <v>76</v>
      </c>
      <c r="AG995" t="s">
        <v>77</v>
      </c>
    </row>
    <row r="996" spans="1:33">
      <c r="A996" t="s">
        <v>1147</v>
      </c>
      <c r="B996">
        <v>45855</v>
      </c>
      <c r="C996">
        <v>45860</v>
      </c>
      <c r="D996" t="s">
        <v>25</v>
      </c>
      <c r="E996">
        <v>300</v>
      </c>
      <c r="F996">
        <v>907.6</v>
      </c>
      <c r="G996">
        <v>1.35</v>
      </c>
      <c r="H996">
        <v>268604.21999999997</v>
      </c>
      <c r="I996" t="s">
        <v>1728</v>
      </c>
      <c r="J996">
        <v>724.29</v>
      </c>
      <c r="K996">
        <v>217287</v>
      </c>
      <c r="L996">
        <v>5080.6099999999997</v>
      </c>
      <c r="M996">
        <v>1417.94</v>
      </c>
      <c r="N996">
        <v>7146.18</v>
      </c>
      <c r="O996">
        <v>230931.73</v>
      </c>
      <c r="P996">
        <v>51317.22</v>
      </c>
      <c r="Q996">
        <v>37672.49</v>
      </c>
      <c r="R996" t="s">
        <v>65</v>
      </c>
      <c r="S996">
        <v>268604.21999999997</v>
      </c>
      <c r="T996">
        <v>0</v>
      </c>
      <c r="U996" t="s">
        <v>66</v>
      </c>
      <c r="V996" t="s">
        <v>6</v>
      </c>
      <c r="W996" t="s">
        <v>67</v>
      </c>
      <c r="X996" t="s">
        <v>150</v>
      </c>
      <c r="Y996" t="s">
        <v>30</v>
      </c>
      <c r="Z996">
        <v>0.64</v>
      </c>
      <c r="AA996">
        <f t="shared" si="45"/>
        <v>37672.49</v>
      </c>
      <c r="AB996">
        <f t="shared" si="46"/>
        <v>0.14025278530620255</v>
      </c>
      <c r="AC996">
        <f t="shared" si="47"/>
        <v>0</v>
      </c>
      <c r="AD996">
        <v>2025</v>
      </c>
      <c r="AE996">
        <v>7</v>
      </c>
      <c r="AF996" t="s">
        <v>69</v>
      </c>
      <c r="AG996" t="s">
        <v>151</v>
      </c>
    </row>
    <row r="997" spans="1:33">
      <c r="A997" t="s">
        <v>1148</v>
      </c>
      <c r="B997">
        <v>45785</v>
      </c>
      <c r="C997">
        <v>45793</v>
      </c>
      <c r="D997" t="s">
        <v>25</v>
      </c>
      <c r="E997">
        <v>300</v>
      </c>
      <c r="F997">
        <v>998.53</v>
      </c>
      <c r="G997">
        <v>2.0499999999999998</v>
      </c>
      <c r="H997">
        <v>293418.03999999998</v>
      </c>
      <c r="I997" t="s">
        <v>1726</v>
      </c>
      <c r="J997">
        <v>750.77</v>
      </c>
      <c r="K997">
        <v>225231</v>
      </c>
      <c r="L997">
        <v>5555.35</v>
      </c>
      <c r="M997">
        <v>1616.22</v>
      </c>
      <c r="N997">
        <v>3680.14</v>
      </c>
      <c r="O997">
        <v>236082.71</v>
      </c>
      <c r="P997">
        <v>68187.039999999994</v>
      </c>
      <c r="Q997">
        <v>57335.33</v>
      </c>
      <c r="R997" t="s">
        <v>65</v>
      </c>
      <c r="S997">
        <v>293418.03999999998</v>
      </c>
      <c r="T997">
        <v>0</v>
      </c>
      <c r="U997" t="s">
        <v>66</v>
      </c>
      <c r="V997" t="s">
        <v>10</v>
      </c>
      <c r="W997" t="s">
        <v>141</v>
      </c>
      <c r="X997" t="s">
        <v>75</v>
      </c>
      <c r="Y997" t="s">
        <v>28</v>
      </c>
      <c r="Z997">
        <v>2.2000000000000002</v>
      </c>
      <c r="AA997">
        <f t="shared" si="45"/>
        <v>57335.33</v>
      </c>
      <c r="AB997">
        <f t="shared" si="46"/>
        <v>0.19540492465971079</v>
      </c>
      <c r="AC997">
        <f t="shared" si="47"/>
        <v>0</v>
      </c>
      <c r="AD997">
        <v>2025</v>
      </c>
      <c r="AE997">
        <v>5</v>
      </c>
      <c r="AF997" t="s">
        <v>76</v>
      </c>
      <c r="AG997" t="s">
        <v>94</v>
      </c>
    </row>
    <row r="998" spans="1:33">
      <c r="A998" t="s">
        <v>1149</v>
      </c>
      <c r="B998">
        <v>45498</v>
      </c>
      <c r="C998">
        <v>45507</v>
      </c>
      <c r="D998" t="s">
        <v>21</v>
      </c>
      <c r="E998">
        <v>100</v>
      </c>
      <c r="F998">
        <v>873.54</v>
      </c>
      <c r="G998">
        <v>1.41</v>
      </c>
      <c r="H998">
        <v>86122.31</v>
      </c>
      <c r="I998" t="s">
        <v>1727</v>
      </c>
      <c r="J998">
        <v>704.21</v>
      </c>
      <c r="K998">
        <v>70421</v>
      </c>
      <c r="L998">
        <v>2392.0700000000002</v>
      </c>
      <c r="M998">
        <v>359.24</v>
      </c>
      <c r="N998">
        <v>2366.31</v>
      </c>
      <c r="O998">
        <v>75538.62</v>
      </c>
      <c r="P998">
        <v>15701.31</v>
      </c>
      <c r="Q998">
        <v>10583.69</v>
      </c>
      <c r="R998" t="s">
        <v>85</v>
      </c>
      <c r="S998">
        <v>38064.43</v>
      </c>
      <c r="T998">
        <v>48057.88</v>
      </c>
      <c r="U998" t="s">
        <v>66</v>
      </c>
      <c r="V998" t="s">
        <v>16</v>
      </c>
      <c r="W998" t="s">
        <v>74</v>
      </c>
      <c r="X998" t="s">
        <v>101</v>
      </c>
      <c r="Y998" t="s">
        <v>22</v>
      </c>
      <c r="Z998">
        <v>1.58</v>
      </c>
      <c r="AA998">
        <f t="shared" si="45"/>
        <v>10583.69</v>
      </c>
      <c r="AB998">
        <f t="shared" si="46"/>
        <v>0.12289138551903683</v>
      </c>
      <c r="AC998">
        <f t="shared" si="47"/>
        <v>0</v>
      </c>
      <c r="AD998">
        <v>2024</v>
      </c>
      <c r="AE998">
        <v>7</v>
      </c>
      <c r="AF998" t="s">
        <v>69</v>
      </c>
      <c r="AG998" t="s">
        <v>70</v>
      </c>
    </row>
    <row r="999" spans="1:33">
      <c r="A999" t="s">
        <v>1150</v>
      </c>
      <c r="B999">
        <v>45878</v>
      </c>
      <c r="C999">
        <v>45889</v>
      </c>
      <c r="D999" t="s">
        <v>21</v>
      </c>
      <c r="E999">
        <v>250</v>
      </c>
      <c r="F999">
        <v>900.95</v>
      </c>
      <c r="G999">
        <v>1.32</v>
      </c>
      <c r="H999">
        <v>222264.36</v>
      </c>
      <c r="I999" t="s">
        <v>1726</v>
      </c>
      <c r="J999">
        <v>718.72</v>
      </c>
      <c r="K999">
        <v>179680</v>
      </c>
      <c r="L999">
        <v>2563.94</v>
      </c>
      <c r="M999">
        <v>476.78</v>
      </c>
      <c r="N999">
        <v>8468.81</v>
      </c>
      <c r="O999">
        <v>191189.53</v>
      </c>
      <c r="P999">
        <v>42584.36</v>
      </c>
      <c r="Q999">
        <v>31074.83</v>
      </c>
      <c r="R999" t="s">
        <v>65</v>
      </c>
      <c r="S999">
        <v>222264.36</v>
      </c>
      <c r="T999">
        <v>0</v>
      </c>
      <c r="U999" t="s">
        <v>66</v>
      </c>
      <c r="V999" t="s">
        <v>10</v>
      </c>
      <c r="W999" t="s">
        <v>74</v>
      </c>
      <c r="X999" t="s">
        <v>285</v>
      </c>
      <c r="Y999" t="s">
        <v>28</v>
      </c>
      <c r="Z999">
        <v>0.84</v>
      </c>
      <c r="AA999">
        <f t="shared" si="45"/>
        <v>31074.83</v>
      </c>
      <c r="AB999">
        <f t="shared" si="46"/>
        <v>0.13981022418528999</v>
      </c>
      <c r="AC999">
        <f t="shared" si="47"/>
        <v>0</v>
      </c>
      <c r="AD999">
        <v>2025</v>
      </c>
      <c r="AE999">
        <v>8</v>
      </c>
      <c r="AF999" t="s">
        <v>82</v>
      </c>
      <c r="AG999" t="s">
        <v>87</v>
      </c>
    </row>
    <row r="1000" spans="1:33">
      <c r="A1000" t="s">
        <v>1151</v>
      </c>
      <c r="B1000">
        <v>45966</v>
      </c>
      <c r="C1000">
        <v>45977</v>
      </c>
      <c r="D1000" t="s">
        <v>25</v>
      </c>
      <c r="E1000">
        <v>300</v>
      </c>
      <c r="F1000">
        <v>1075.07</v>
      </c>
      <c r="G1000">
        <v>1.86</v>
      </c>
      <c r="H1000">
        <v>316522.11</v>
      </c>
      <c r="I1000" t="s">
        <v>1727</v>
      </c>
      <c r="J1000">
        <v>733.38</v>
      </c>
      <c r="K1000">
        <v>220014</v>
      </c>
      <c r="L1000">
        <v>3170.67</v>
      </c>
      <c r="M1000">
        <v>863.92</v>
      </c>
      <c r="N1000">
        <v>9634.94</v>
      </c>
      <c r="O1000">
        <v>233683.53</v>
      </c>
      <c r="P1000">
        <v>96508.11</v>
      </c>
      <c r="Q1000">
        <v>82838.58</v>
      </c>
      <c r="R1000" t="s">
        <v>65</v>
      </c>
      <c r="S1000">
        <v>316522.11</v>
      </c>
      <c r="T1000">
        <v>0</v>
      </c>
      <c r="U1000" t="s">
        <v>73</v>
      </c>
      <c r="V1000" t="s">
        <v>6</v>
      </c>
      <c r="W1000" t="s">
        <v>92</v>
      </c>
      <c r="X1000" t="s">
        <v>97</v>
      </c>
      <c r="Y1000" t="s">
        <v>24</v>
      </c>
      <c r="Z1000">
        <v>1</v>
      </c>
      <c r="AA1000">
        <f t="shared" si="45"/>
        <v>82838.58</v>
      </c>
      <c r="AB1000">
        <f t="shared" si="46"/>
        <v>0.26171498730373055</v>
      </c>
      <c r="AC1000">
        <f t="shared" si="47"/>
        <v>0</v>
      </c>
      <c r="AD1000">
        <v>2025</v>
      </c>
      <c r="AE1000">
        <v>11</v>
      </c>
      <c r="AF1000" t="s">
        <v>128</v>
      </c>
      <c r="AG1000" t="s">
        <v>135</v>
      </c>
    </row>
    <row r="1001" spans="1:33">
      <c r="A1001" t="s">
        <v>1152</v>
      </c>
      <c r="B1001">
        <v>45853</v>
      </c>
      <c r="C1001">
        <v>45854</v>
      </c>
      <c r="D1001" t="s">
        <v>21</v>
      </c>
      <c r="E1001">
        <v>250</v>
      </c>
      <c r="F1001">
        <v>886.76</v>
      </c>
      <c r="G1001">
        <v>1.57</v>
      </c>
      <c r="H1001">
        <v>218209.47</v>
      </c>
      <c r="I1001" t="s">
        <v>1728</v>
      </c>
      <c r="J1001">
        <v>729.03</v>
      </c>
      <c r="K1001">
        <v>182257.5</v>
      </c>
      <c r="L1001">
        <v>2399.67</v>
      </c>
      <c r="M1001">
        <v>1277.77</v>
      </c>
      <c r="N1001">
        <v>4673.82</v>
      </c>
      <c r="O1001">
        <v>190608.76</v>
      </c>
      <c r="P1001">
        <v>35951.97</v>
      </c>
      <c r="Q1001">
        <v>27600.71</v>
      </c>
      <c r="R1001" t="s">
        <v>65</v>
      </c>
      <c r="S1001">
        <v>218209.47</v>
      </c>
      <c r="T1001">
        <v>0</v>
      </c>
      <c r="U1001" t="s">
        <v>66</v>
      </c>
      <c r="V1001" t="s">
        <v>12</v>
      </c>
      <c r="W1001" t="s">
        <v>74</v>
      </c>
      <c r="X1001" t="s">
        <v>208</v>
      </c>
      <c r="Y1001" t="s">
        <v>26</v>
      </c>
      <c r="Z1001">
        <v>0.24</v>
      </c>
      <c r="AA1001">
        <f t="shared" si="45"/>
        <v>27600.71</v>
      </c>
      <c r="AB1001">
        <f t="shared" si="46"/>
        <v>0.12648722349217933</v>
      </c>
      <c r="AC1001">
        <f t="shared" si="47"/>
        <v>0</v>
      </c>
      <c r="AD1001">
        <v>2025</v>
      </c>
      <c r="AE1001">
        <v>7</v>
      </c>
      <c r="AF1001" t="s">
        <v>69</v>
      </c>
      <c r="AG1001" t="s">
        <v>151</v>
      </c>
    </row>
    <row r="1002" spans="1:33">
      <c r="A1002" t="s">
        <v>1153</v>
      </c>
      <c r="B1002">
        <v>45765</v>
      </c>
      <c r="C1002">
        <v>45769</v>
      </c>
      <c r="D1002" t="s">
        <v>21</v>
      </c>
      <c r="E1002">
        <v>300</v>
      </c>
      <c r="F1002">
        <v>854.43</v>
      </c>
      <c r="G1002">
        <v>2.2000000000000002</v>
      </c>
      <c r="H1002">
        <v>250689.76</v>
      </c>
      <c r="I1002" t="s">
        <v>1728</v>
      </c>
      <c r="J1002">
        <v>714.76</v>
      </c>
      <c r="K1002">
        <v>214428</v>
      </c>
      <c r="L1002">
        <v>2228.9299999999998</v>
      </c>
      <c r="M1002">
        <v>1729.58</v>
      </c>
      <c r="N1002">
        <v>5833.75</v>
      </c>
      <c r="O1002">
        <v>224220.26</v>
      </c>
      <c r="P1002">
        <v>36261.760000000002</v>
      </c>
      <c r="Q1002">
        <v>26469.5</v>
      </c>
      <c r="R1002" t="s">
        <v>65</v>
      </c>
      <c r="S1002">
        <v>250689.76</v>
      </c>
      <c r="T1002">
        <v>0</v>
      </c>
      <c r="U1002" t="s">
        <v>73</v>
      </c>
      <c r="V1002" t="s">
        <v>10</v>
      </c>
      <c r="W1002" t="s">
        <v>74</v>
      </c>
      <c r="X1002" t="s">
        <v>108</v>
      </c>
      <c r="Y1002" t="s">
        <v>22</v>
      </c>
      <c r="Z1002">
        <v>1.47</v>
      </c>
      <c r="AA1002">
        <f t="shared" si="45"/>
        <v>26469.5</v>
      </c>
      <c r="AB1002">
        <f t="shared" si="46"/>
        <v>0.10558668212056208</v>
      </c>
      <c r="AC1002">
        <f t="shared" si="47"/>
        <v>0</v>
      </c>
      <c r="AD1002">
        <v>2025</v>
      </c>
      <c r="AE1002">
        <v>4</v>
      </c>
      <c r="AF1002" t="s">
        <v>154</v>
      </c>
      <c r="AG1002" t="s">
        <v>155</v>
      </c>
    </row>
    <row r="1003" spans="1:33">
      <c r="A1003" t="s">
        <v>1154</v>
      </c>
      <c r="B1003">
        <v>45907</v>
      </c>
      <c r="C1003">
        <v>45908</v>
      </c>
      <c r="D1003" t="s">
        <v>25</v>
      </c>
      <c r="E1003">
        <v>150</v>
      </c>
      <c r="F1003">
        <v>920.04</v>
      </c>
      <c r="G1003">
        <v>1.02</v>
      </c>
      <c r="H1003">
        <v>136598.34</v>
      </c>
      <c r="I1003" t="s">
        <v>1727</v>
      </c>
      <c r="J1003">
        <v>736.87</v>
      </c>
      <c r="K1003">
        <v>110530.5</v>
      </c>
      <c r="L1003">
        <v>2494.77</v>
      </c>
      <c r="M1003">
        <v>317.68</v>
      </c>
      <c r="N1003">
        <v>10211.89</v>
      </c>
      <c r="O1003">
        <v>123554.84</v>
      </c>
      <c r="P1003">
        <v>26067.84</v>
      </c>
      <c r="Q1003">
        <v>13043.5</v>
      </c>
      <c r="R1003" t="s">
        <v>134</v>
      </c>
      <c r="S1003">
        <v>0</v>
      </c>
      <c r="T1003">
        <v>136598.34</v>
      </c>
      <c r="U1003" t="s">
        <v>66</v>
      </c>
      <c r="V1003" t="s">
        <v>10</v>
      </c>
      <c r="W1003" t="s">
        <v>74</v>
      </c>
      <c r="X1003" t="s">
        <v>123</v>
      </c>
      <c r="Y1003" t="s">
        <v>22</v>
      </c>
      <c r="Z1003">
        <v>1.02</v>
      </c>
      <c r="AA1003">
        <f t="shared" si="45"/>
        <v>13043.5</v>
      </c>
      <c r="AB1003">
        <f t="shared" si="46"/>
        <v>9.5487983236106674E-2</v>
      </c>
      <c r="AC1003">
        <f t="shared" si="47"/>
        <v>0</v>
      </c>
      <c r="AD1003">
        <v>2025</v>
      </c>
      <c r="AE1003">
        <v>9</v>
      </c>
      <c r="AF1003" t="s">
        <v>131</v>
      </c>
      <c r="AG1003" t="s">
        <v>132</v>
      </c>
    </row>
    <row r="1004" spans="1:33">
      <c r="A1004" t="s">
        <v>1155</v>
      </c>
      <c r="B1004">
        <v>45655</v>
      </c>
      <c r="C1004">
        <v>45656</v>
      </c>
      <c r="D1004" t="s">
        <v>21</v>
      </c>
      <c r="E1004">
        <v>100</v>
      </c>
      <c r="F1004">
        <v>985.18</v>
      </c>
      <c r="G1004">
        <v>2.0099999999999998</v>
      </c>
      <c r="H1004">
        <v>96537.79</v>
      </c>
      <c r="I1004" t="s">
        <v>1727</v>
      </c>
      <c r="J1004">
        <v>666.03</v>
      </c>
      <c r="K1004">
        <v>66603</v>
      </c>
      <c r="L1004">
        <v>2177.85</v>
      </c>
      <c r="M1004">
        <v>254.41</v>
      </c>
      <c r="N1004">
        <v>8365.2900000000009</v>
      </c>
      <c r="O1004">
        <v>77400.55</v>
      </c>
      <c r="P1004">
        <v>29934.79</v>
      </c>
      <c r="Q1004">
        <v>19137.240000000002</v>
      </c>
      <c r="R1004" t="s">
        <v>65</v>
      </c>
      <c r="S1004">
        <v>96537.79</v>
      </c>
      <c r="T1004">
        <v>0</v>
      </c>
      <c r="U1004" t="s">
        <v>66</v>
      </c>
      <c r="V1004" t="s">
        <v>12</v>
      </c>
      <c r="W1004" t="s">
        <v>74</v>
      </c>
      <c r="X1004" t="s">
        <v>176</v>
      </c>
      <c r="Y1004" t="s">
        <v>22</v>
      </c>
      <c r="Z1004">
        <v>0.79</v>
      </c>
      <c r="AA1004">
        <f t="shared" si="45"/>
        <v>19137.240000000002</v>
      </c>
      <c r="AB1004">
        <f t="shared" si="46"/>
        <v>0.19823573752827781</v>
      </c>
      <c r="AC1004">
        <f t="shared" si="47"/>
        <v>0</v>
      </c>
      <c r="AD1004">
        <v>2024</v>
      </c>
      <c r="AE1004">
        <v>12</v>
      </c>
      <c r="AF1004" t="s">
        <v>98</v>
      </c>
      <c r="AG1004" t="s">
        <v>99</v>
      </c>
    </row>
    <row r="1005" spans="1:33">
      <c r="A1005" t="s">
        <v>1156</v>
      </c>
      <c r="B1005">
        <v>45507</v>
      </c>
      <c r="C1005">
        <v>45514</v>
      </c>
      <c r="D1005" t="s">
        <v>27</v>
      </c>
      <c r="E1005">
        <v>300</v>
      </c>
      <c r="F1005">
        <v>692.55</v>
      </c>
      <c r="G1005">
        <v>1.28</v>
      </c>
      <c r="H1005">
        <v>205105.61</v>
      </c>
      <c r="I1005" t="s">
        <v>1726</v>
      </c>
      <c r="J1005">
        <v>531.65</v>
      </c>
      <c r="K1005">
        <v>159495</v>
      </c>
      <c r="L1005">
        <v>5218.91</v>
      </c>
      <c r="M1005">
        <v>1518.06</v>
      </c>
      <c r="N1005">
        <v>8111.58</v>
      </c>
      <c r="O1005">
        <v>174343.55</v>
      </c>
      <c r="P1005">
        <v>45610.61</v>
      </c>
      <c r="Q1005">
        <v>30762.06</v>
      </c>
      <c r="R1005" t="s">
        <v>65</v>
      </c>
      <c r="S1005">
        <v>205105.61</v>
      </c>
      <c r="T1005">
        <v>0</v>
      </c>
      <c r="U1005" t="s">
        <v>66</v>
      </c>
      <c r="V1005" t="s">
        <v>6</v>
      </c>
      <c r="W1005" t="s">
        <v>74</v>
      </c>
      <c r="X1005" t="s">
        <v>123</v>
      </c>
      <c r="Y1005" t="s">
        <v>22</v>
      </c>
      <c r="Z1005">
        <v>0.86</v>
      </c>
      <c r="AA1005">
        <f t="shared" si="45"/>
        <v>30762.06</v>
      </c>
      <c r="AB1005">
        <f t="shared" si="46"/>
        <v>0.14998156315665867</v>
      </c>
      <c r="AC1005">
        <f t="shared" si="47"/>
        <v>0</v>
      </c>
      <c r="AD1005">
        <v>2024</v>
      </c>
      <c r="AE1005">
        <v>8</v>
      </c>
      <c r="AF1005" t="s">
        <v>82</v>
      </c>
      <c r="AG1005" t="s">
        <v>83</v>
      </c>
    </row>
    <row r="1006" spans="1:33">
      <c r="A1006" t="s">
        <v>1157</v>
      </c>
      <c r="B1006">
        <v>45398</v>
      </c>
      <c r="C1006">
        <v>45400</v>
      </c>
      <c r="D1006" t="s">
        <v>23</v>
      </c>
      <c r="E1006">
        <v>100</v>
      </c>
      <c r="F1006">
        <v>1308.8599999999999</v>
      </c>
      <c r="G1006">
        <v>0.69</v>
      </c>
      <c r="H1006">
        <v>129982.89</v>
      </c>
      <c r="I1006" t="s">
        <v>1728</v>
      </c>
      <c r="J1006">
        <v>1009.3</v>
      </c>
      <c r="K1006">
        <v>100930</v>
      </c>
      <c r="L1006">
        <v>1630.95</v>
      </c>
      <c r="M1006">
        <v>166.95</v>
      </c>
      <c r="N1006">
        <v>7637.34</v>
      </c>
      <c r="O1006">
        <v>110365.24</v>
      </c>
      <c r="P1006">
        <v>29052.89</v>
      </c>
      <c r="Q1006">
        <v>19617.650000000001</v>
      </c>
      <c r="R1006" t="s">
        <v>85</v>
      </c>
      <c r="S1006">
        <v>95510.66</v>
      </c>
      <c r="T1006">
        <v>34472.230000000003</v>
      </c>
      <c r="U1006" t="s">
        <v>73</v>
      </c>
      <c r="V1006" t="s">
        <v>16</v>
      </c>
      <c r="W1006" t="s">
        <v>74</v>
      </c>
      <c r="X1006" t="s">
        <v>81</v>
      </c>
      <c r="Y1006" t="s">
        <v>24</v>
      </c>
      <c r="Z1006">
        <v>1.49</v>
      </c>
      <c r="AA1006">
        <f t="shared" si="45"/>
        <v>19617.650000000001</v>
      </c>
      <c r="AB1006">
        <f t="shared" si="46"/>
        <v>0.15092486403402788</v>
      </c>
      <c r="AC1006">
        <f t="shared" si="47"/>
        <v>0</v>
      </c>
      <c r="AD1006">
        <v>2024</v>
      </c>
      <c r="AE1006">
        <v>4</v>
      </c>
      <c r="AF1006" t="s">
        <v>154</v>
      </c>
      <c r="AG1006" t="s">
        <v>157</v>
      </c>
    </row>
    <row r="1007" spans="1:33">
      <c r="A1007" t="s">
        <v>1158</v>
      </c>
      <c r="B1007">
        <v>45363</v>
      </c>
      <c r="C1007">
        <v>45369</v>
      </c>
      <c r="D1007" t="s">
        <v>21</v>
      </c>
      <c r="E1007">
        <v>50</v>
      </c>
      <c r="F1007">
        <v>886.41</v>
      </c>
      <c r="G1007">
        <v>1.1299999999999999</v>
      </c>
      <c r="H1007">
        <v>43819.68</v>
      </c>
      <c r="I1007" t="s">
        <v>1727</v>
      </c>
      <c r="J1007">
        <v>752.06</v>
      </c>
      <c r="K1007">
        <v>37603</v>
      </c>
      <c r="L1007">
        <v>297.05</v>
      </c>
      <c r="M1007">
        <v>288.14</v>
      </c>
      <c r="N1007">
        <v>3122.34</v>
      </c>
      <c r="O1007">
        <v>41310.53</v>
      </c>
      <c r="P1007">
        <v>6216.68</v>
      </c>
      <c r="Q1007">
        <v>2509.15</v>
      </c>
      <c r="R1007" t="s">
        <v>65</v>
      </c>
      <c r="S1007">
        <v>43819.68</v>
      </c>
      <c r="T1007">
        <v>0</v>
      </c>
      <c r="U1007" t="s">
        <v>66</v>
      </c>
      <c r="V1007" t="s">
        <v>12</v>
      </c>
      <c r="W1007" t="s">
        <v>80</v>
      </c>
      <c r="X1007" t="s">
        <v>195</v>
      </c>
      <c r="Y1007" t="s">
        <v>26</v>
      </c>
      <c r="Z1007">
        <v>0.38</v>
      </c>
      <c r="AA1007">
        <f t="shared" si="45"/>
        <v>2509.15</v>
      </c>
      <c r="AB1007">
        <f t="shared" si="46"/>
        <v>5.726080153939965E-2</v>
      </c>
      <c r="AC1007">
        <f t="shared" si="47"/>
        <v>0</v>
      </c>
      <c r="AD1007">
        <v>2024</v>
      </c>
      <c r="AE1007">
        <v>3</v>
      </c>
      <c r="AF1007" t="s">
        <v>105</v>
      </c>
      <c r="AG1007" t="s">
        <v>120</v>
      </c>
    </row>
    <row r="1008" spans="1:33">
      <c r="A1008" t="s">
        <v>1159</v>
      </c>
      <c r="B1008">
        <v>45416</v>
      </c>
      <c r="C1008">
        <v>45420</v>
      </c>
      <c r="D1008" t="s">
        <v>23</v>
      </c>
      <c r="E1008">
        <v>500</v>
      </c>
      <c r="F1008">
        <v>1267.22</v>
      </c>
      <c r="G1008">
        <v>1.63</v>
      </c>
      <c r="H1008">
        <v>623282.16</v>
      </c>
      <c r="I1008" t="s">
        <v>1729</v>
      </c>
      <c r="J1008">
        <v>1051.6600000000001</v>
      </c>
      <c r="K1008">
        <v>525830</v>
      </c>
      <c r="L1008">
        <v>3690.11</v>
      </c>
      <c r="M1008">
        <v>1579.32</v>
      </c>
      <c r="N1008">
        <v>1990.97</v>
      </c>
      <c r="O1008">
        <v>533090.4</v>
      </c>
      <c r="P1008">
        <v>97452.160000000003</v>
      </c>
      <c r="Q1008">
        <v>90191.76</v>
      </c>
      <c r="R1008" t="s">
        <v>65</v>
      </c>
      <c r="S1008">
        <v>623282.16</v>
      </c>
      <c r="T1008">
        <v>0</v>
      </c>
      <c r="U1008" t="s">
        <v>66</v>
      </c>
      <c r="V1008" t="s">
        <v>6</v>
      </c>
      <c r="W1008" t="s">
        <v>67</v>
      </c>
      <c r="X1008" t="s">
        <v>123</v>
      </c>
      <c r="Y1008" t="s">
        <v>22</v>
      </c>
      <c r="Z1008">
        <v>2.04</v>
      </c>
      <c r="AA1008">
        <f t="shared" si="45"/>
        <v>90191.76</v>
      </c>
      <c r="AB1008">
        <f t="shared" si="46"/>
        <v>0.14470454280289363</v>
      </c>
      <c r="AC1008">
        <f t="shared" si="47"/>
        <v>0</v>
      </c>
      <c r="AD1008">
        <v>2024</v>
      </c>
      <c r="AE1008">
        <v>5</v>
      </c>
      <c r="AF1008" t="s">
        <v>76</v>
      </c>
      <c r="AG1008" t="s">
        <v>77</v>
      </c>
    </row>
    <row r="1009" spans="1:33">
      <c r="A1009" t="s">
        <v>1160</v>
      </c>
      <c r="B1009">
        <v>45400</v>
      </c>
      <c r="C1009">
        <v>45411</v>
      </c>
      <c r="D1009" t="s">
        <v>21</v>
      </c>
      <c r="E1009">
        <v>50</v>
      </c>
      <c r="F1009">
        <v>929.6</v>
      </c>
      <c r="G1009">
        <v>1.78</v>
      </c>
      <c r="H1009">
        <v>45652.66</v>
      </c>
      <c r="I1009" t="s">
        <v>1726</v>
      </c>
      <c r="J1009">
        <v>746.82</v>
      </c>
      <c r="K1009">
        <v>37341</v>
      </c>
      <c r="L1009">
        <v>484</v>
      </c>
      <c r="M1009">
        <v>263.35000000000002</v>
      </c>
      <c r="N1009">
        <v>8646.16</v>
      </c>
      <c r="O1009">
        <v>46734.51</v>
      </c>
      <c r="P1009">
        <v>8311.66</v>
      </c>
      <c r="Q1009">
        <v>-1081.8499999999999</v>
      </c>
      <c r="R1009" t="s">
        <v>85</v>
      </c>
      <c r="S1009">
        <v>30120.7</v>
      </c>
      <c r="T1009">
        <v>15531.96</v>
      </c>
      <c r="U1009" t="s">
        <v>66</v>
      </c>
      <c r="V1009" t="s">
        <v>14</v>
      </c>
      <c r="W1009" t="s">
        <v>67</v>
      </c>
      <c r="X1009" t="s">
        <v>275</v>
      </c>
      <c r="Y1009" t="s">
        <v>31</v>
      </c>
      <c r="Z1009">
        <v>1.04</v>
      </c>
      <c r="AA1009">
        <f t="shared" si="45"/>
        <v>-1081.8499999999999</v>
      </c>
      <c r="AB1009">
        <f t="shared" si="46"/>
        <v>-2.3697414345626298E-2</v>
      </c>
      <c r="AC1009">
        <f t="shared" si="47"/>
        <v>0</v>
      </c>
      <c r="AD1009">
        <v>2024</v>
      </c>
      <c r="AE1009">
        <v>4</v>
      </c>
      <c r="AF1009" t="s">
        <v>154</v>
      </c>
      <c r="AG1009" t="s">
        <v>157</v>
      </c>
    </row>
    <row r="1010" spans="1:33">
      <c r="A1010" t="s">
        <v>1161</v>
      </c>
      <c r="B1010">
        <v>45525</v>
      </c>
      <c r="D1010" t="s">
        <v>21</v>
      </c>
      <c r="E1010">
        <v>200</v>
      </c>
      <c r="F1010">
        <v>904.04</v>
      </c>
      <c r="G1010">
        <v>1.99</v>
      </c>
      <c r="H1010">
        <v>177209.92</v>
      </c>
      <c r="I1010" t="s">
        <v>1727</v>
      </c>
      <c r="J1010">
        <v>652.96</v>
      </c>
      <c r="K1010">
        <v>130592</v>
      </c>
      <c r="L1010">
        <v>3206.9</v>
      </c>
      <c r="M1010">
        <v>1111.17</v>
      </c>
      <c r="N1010">
        <v>6169.31</v>
      </c>
      <c r="O1010">
        <v>141079.38</v>
      </c>
      <c r="P1010">
        <v>46617.919999999998</v>
      </c>
      <c r="Q1010">
        <v>36130.54</v>
      </c>
      <c r="R1010" t="s">
        <v>65</v>
      </c>
      <c r="S1010">
        <v>177209.92</v>
      </c>
      <c r="T1010">
        <v>0</v>
      </c>
      <c r="U1010" t="s">
        <v>91</v>
      </c>
      <c r="V1010" t="s">
        <v>16</v>
      </c>
      <c r="W1010" t="s">
        <v>141</v>
      </c>
      <c r="X1010" t="s">
        <v>93</v>
      </c>
      <c r="Y1010" t="s">
        <v>26</v>
      </c>
      <c r="Z1010">
        <v>1.53</v>
      </c>
      <c r="AA1010">
        <f t="shared" si="45"/>
        <v>36130.54</v>
      </c>
      <c r="AB1010">
        <f t="shared" si="46"/>
        <v>0.20388553868767617</v>
      </c>
      <c r="AC1010">
        <f t="shared" si="47"/>
        <v>0</v>
      </c>
      <c r="AD1010">
        <v>2024</v>
      </c>
      <c r="AE1010">
        <v>8</v>
      </c>
      <c r="AF1010" t="s">
        <v>82</v>
      </c>
      <c r="AG1010" t="s">
        <v>83</v>
      </c>
    </row>
    <row r="1011" spans="1:33">
      <c r="A1011" t="s">
        <v>1162</v>
      </c>
      <c r="B1011">
        <v>45741</v>
      </c>
      <c r="C1011">
        <v>45742</v>
      </c>
      <c r="D1011" t="s">
        <v>21</v>
      </c>
      <c r="E1011">
        <v>750</v>
      </c>
      <c r="F1011">
        <v>933.15</v>
      </c>
      <c r="G1011">
        <v>4.2300000000000004</v>
      </c>
      <c r="H1011">
        <v>670258.31999999995</v>
      </c>
      <c r="I1011" t="s">
        <v>1727</v>
      </c>
      <c r="J1011">
        <v>723.63</v>
      </c>
      <c r="K1011">
        <v>542722.5</v>
      </c>
      <c r="L1011">
        <v>8352.7900000000009</v>
      </c>
      <c r="M1011">
        <v>4218.8999999999996</v>
      </c>
      <c r="N1011">
        <v>2849.62</v>
      </c>
      <c r="O1011">
        <v>558143.81000000006</v>
      </c>
      <c r="P1011">
        <v>127535.82</v>
      </c>
      <c r="Q1011">
        <v>112114.51</v>
      </c>
      <c r="R1011" t="s">
        <v>65</v>
      </c>
      <c r="S1011">
        <v>670258.31999999995</v>
      </c>
      <c r="T1011">
        <v>0</v>
      </c>
      <c r="U1011" t="s">
        <v>66</v>
      </c>
      <c r="V1011" t="s">
        <v>10</v>
      </c>
      <c r="W1011" t="s">
        <v>74</v>
      </c>
      <c r="X1011" t="s">
        <v>115</v>
      </c>
      <c r="Y1011" t="s">
        <v>22</v>
      </c>
      <c r="Z1011">
        <v>0.22</v>
      </c>
      <c r="AA1011">
        <f t="shared" si="45"/>
        <v>112114.51</v>
      </c>
      <c r="AB1011">
        <f t="shared" si="46"/>
        <v>0.16727059799869401</v>
      </c>
      <c r="AC1011">
        <f t="shared" si="47"/>
        <v>0</v>
      </c>
      <c r="AD1011">
        <v>2025</v>
      </c>
      <c r="AE1011">
        <v>3</v>
      </c>
      <c r="AF1011" t="s">
        <v>105</v>
      </c>
      <c r="AG1011" t="s">
        <v>106</v>
      </c>
    </row>
    <row r="1012" spans="1:33">
      <c r="A1012" t="s">
        <v>1163</v>
      </c>
      <c r="B1012">
        <v>45597</v>
      </c>
      <c r="C1012">
        <v>45605</v>
      </c>
      <c r="D1012" t="s">
        <v>21</v>
      </c>
      <c r="E1012">
        <v>150</v>
      </c>
      <c r="F1012">
        <v>898.18</v>
      </c>
      <c r="G1012">
        <v>1.59</v>
      </c>
      <c r="H1012">
        <v>132584.84</v>
      </c>
      <c r="I1012" t="s">
        <v>1726</v>
      </c>
      <c r="J1012">
        <v>669.27</v>
      </c>
      <c r="K1012">
        <v>100390.5</v>
      </c>
      <c r="L1012">
        <v>3056.87</v>
      </c>
      <c r="M1012">
        <v>733.05</v>
      </c>
      <c r="N1012">
        <v>5511.24</v>
      </c>
      <c r="O1012">
        <v>109691.66</v>
      </c>
      <c r="P1012">
        <v>32194.34</v>
      </c>
      <c r="Q1012">
        <v>22893.18</v>
      </c>
      <c r="R1012" t="s">
        <v>65</v>
      </c>
      <c r="S1012">
        <v>132584.84</v>
      </c>
      <c r="T1012">
        <v>0</v>
      </c>
      <c r="U1012" t="s">
        <v>66</v>
      </c>
      <c r="V1012" t="s">
        <v>10</v>
      </c>
      <c r="W1012" t="s">
        <v>74</v>
      </c>
      <c r="X1012" t="s">
        <v>108</v>
      </c>
      <c r="Y1012" t="s">
        <v>22</v>
      </c>
      <c r="Z1012">
        <v>2.19</v>
      </c>
      <c r="AA1012">
        <f t="shared" si="45"/>
        <v>22893.18</v>
      </c>
      <c r="AB1012">
        <f t="shared" si="46"/>
        <v>0.17266815723426601</v>
      </c>
      <c r="AC1012">
        <f t="shared" si="47"/>
        <v>0</v>
      </c>
      <c r="AD1012">
        <v>2024</v>
      </c>
      <c r="AE1012">
        <v>11</v>
      </c>
      <c r="AF1012" t="s">
        <v>128</v>
      </c>
      <c r="AG1012" t="s">
        <v>129</v>
      </c>
    </row>
    <row r="1013" spans="1:33">
      <c r="A1013" t="s">
        <v>1164</v>
      </c>
      <c r="B1013">
        <v>45464</v>
      </c>
      <c r="D1013" t="s">
        <v>21</v>
      </c>
      <c r="E1013">
        <v>300</v>
      </c>
      <c r="F1013">
        <v>801.59</v>
      </c>
      <c r="G1013">
        <v>2.42</v>
      </c>
      <c r="H1013">
        <v>234657.46</v>
      </c>
      <c r="I1013" t="s">
        <v>1727</v>
      </c>
      <c r="J1013">
        <v>684.61</v>
      </c>
      <c r="K1013">
        <v>205383</v>
      </c>
      <c r="L1013">
        <v>5800.57</v>
      </c>
      <c r="M1013">
        <v>1065.27</v>
      </c>
      <c r="N1013">
        <v>5084.09</v>
      </c>
      <c r="O1013">
        <v>217332.93</v>
      </c>
      <c r="P1013">
        <v>29274.46</v>
      </c>
      <c r="Q1013">
        <v>17324.53</v>
      </c>
      <c r="R1013" t="s">
        <v>65</v>
      </c>
      <c r="S1013">
        <v>234657.46</v>
      </c>
      <c r="T1013">
        <v>0</v>
      </c>
      <c r="U1013" t="s">
        <v>91</v>
      </c>
      <c r="V1013" t="s">
        <v>10</v>
      </c>
      <c r="W1013" t="s">
        <v>74</v>
      </c>
      <c r="X1013" t="s">
        <v>123</v>
      </c>
      <c r="Y1013" t="s">
        <v>22</v>
      </c>
      <c r="Z1013">
        <v>1.77</v>
      </c>
      <c r="AA1013">
        <f t="shared" si="45"/>
        <v>17324.53</v>
      </c>
      <c r="AB1013">
        <f t="shared" si="46"/>
        <v>7.3829018689625298E-2</v>
      </c>
      <c r="AC1013">
        <f t="shared" si="47"/>
        <v>0</v>
      </c>
      <c r="AD1013">
        <v>2024</v>
      </c>
      <c r="AE1013">
        <v>6</v>
      </c>
      <c r="AF1013" t="s">
        <v>111</v>
      </c>
      <c r="AG1013" t="s">
        <v>148</v>
      </c>
    </row>
    <row r="1014" spans="1:33">
      <c r="A1014" t="s">
        <v>1165</v>
      </c>
      <c r="B1014">
        <v>45312</v>
      </c>
      <c r="C1014">
        <v>45313</v>
      </c>
      <c r="D1014" t="s">
        <v>21</v>
      </c>
      <c r="E1014">
        <v>300</v>
      </c>
      <c r="F1014">
        <v>816.76</v>
      </c>
      <c r="G1014">
        <v>0.18</v>
      </c>
      <c r="H1014">
        <v>244586.95</v>
      </c>
      <c r="I1014" t="s">
        <v>1727</v>
      </c>
      <c r="J1014">
        <v>650.5</v>
      </c>
      <c r="K1014">
        <v>195150</v>
      </c>
      <c r="L1014">
        <v>6360.12</v>
      </c>
      <c r="M1014">
        <v>973.68</v>
      </c>
      <c r="N1014">
        <v>277.01</v>
      </c>
      <c r="O1014">
        <v>202760.81</v>
      </c>
      <c r="P1014">
        <v>49436.95</v>
      </c>
      <c r="Q1014">
        <v>41826.14</v>
      </c>
      <c r="R1014" t="s">
        <v>65</v>
      </c>
      <c r="S1014">
        <v>244586.95</v>
      </c>
      <c r="T1014">
        <v>0</v>
      </c>
      <c r="U1014" t="s">
        <v>66</v>
      </c>
      <c r="V1014" t="s">
        <v>6</v>
      </c>
      <c r="W1014" t="s">
        <v>74</v>
      </c>
      <c r="X1014" t="s">
        <v>97</v>
      </c>
      <c r="Y1014" t="s">
        <v>24</v>
      </c>
      <c r="Z1014">
        <v>0.1</v>
      </c>
      <c r="AA1014">
        <f t="shared" si="45"/>
        <v>41826.14</v>
      </c>
      <c r="AB1014">
        <f t="shared" si="46"/>
        <v>0.17100724302747958</v>
      </c>
      <c r="AC1014">
        <f t="shared" si="47"/>
        <v>0</v>
      </c>
      <c r="AD1014">
        <v>2024</v>
      </c>
      <c r="AE1014">
        <v>1</v>
      </c>
      <c r="AF1014" t="s">
        <v>102</v>
      </c>
      <c r="AG1014" t="s">
        <v>103</v>
      </c>
    </row>
    <row r="1015" spans="1:33">
      <c r="A1015" t="s">
        <v>1166</v>
      </c>
      <c r="B1015">
        <v>45419</v>
      </c>
      <c r="D1015" t="s">
        <v>27</v>
      </c>
      <c r="E1015">
        <v>750</v>
      </c>
      <c r="F1015">
        <v>726.42</v>
      </c>
      <c r="G1015">
        <v>4.7699999999999996</v>
      </c>
      <c r="H1015">
        <v>518827.32</v>
      </c>
      <c r="I1015" t="s">
        <v>1728</v>
      </c>
      <c r="J1015">
        <v>572.17999999999995</v>
      </c>
      <c r="K1015">
        <v>429135</v>
      </c>
      <c r="L1015">
        <v>12074.18</v>
      </c>
      <c r="M1015">
        <v>4271.07</v>
      </c>
      <c r="N1015">
        <v>4126.83</v>
      </c>
      <c r="O1015">
        <v>449607.08</v>
      </c>
      <c r="P1015">
        <v>89692.32</v>
      </c>
      <c r="Q1015">
        <v>69220.240000000005</v>
      </c>
      <c r="R1015" t="s">
        <v>85</v>
      </c>
      <c r="S1015">
        <v>215137.16</v>
      </c>
      <c r="T1015">
        <v>303690.15999999997</v>
      </c>
      <c r="U1015" t="s">
        <v>91</v>
      </c>
      <c r="V1015" t="s">
        <v>10</v>
      </c>
      <c r="W1015" t="s">
        <v>74</v>
      </c>
      <c r="X1015" t="s">
        <v>176</v>
      </c>
      <c r="Y1015" t="s">
        <v>22</v>
      </c>
      <c r="Z1015">
        <v>0.64</v>
      </c>
      <c r="AA1015">
        <f t="shared" si="45"/>
        <v>69220.240000000005</v>
      </c>
      <c r="AB1015">
        <f t="shared" si="46"/>
        <v>0.13341672138622154</v>
      </c>
      <c r="AC1015">
        <f t="shared" si="47"/>
        <v>0</v>
      </c>
      <c r="AD1015">
        <v>2024</v>
      </c>
      <c r="AE1015">
        <v>5</v>
      </c>
      <c r="AF1015" t="s">
        <v>76</v>
      </c>
      <c r="AG1015" t="s">
        <v>77</v>
      </c>
    </row>
    <row r="1016" spans="1:33">
      <c r="A1016" t="s">
        <v>1167</v>
      </c>
      <c r="B1016">
        <v>46015</v>
      </c>
      <c r="C1016">
        <v>46020</v>
      </c>
      <c r="D1016" t="s">
        <v>25</v>
      </c>
      <c r="E1016">
        <v>500</v>
      </c>
      <c r="F1016">
        <v>1103.07</v>
      </c>
      <c r="G1016">
        <v>1.87</v>
      </c>
      <c r="H1016">
        <v>541221.30000000005</v>
      </c>
      <c r="I1016" t="s">
        <v>1729</v>
      </c>
      <c r="J1016">
        <v>814.91</v>
      </c>
      <c r="K1016">
        <v>407455</v>
      </c>
      <c r="L1016">
        <v>9459.09</v>
      </c>
      <c r="M1016">
        <v>1873.01</v>
      </c>
      <c r="N1016">
        <v>2531.88</v>
      </c>
      <c r="O1016">
        <v>421318.98</v>
      </c>
      <c r="P1016">
        <v>133766.29999999999</v>
      </c>
      <c r="Q1016">
        <v>119902.32</v>
      </c>
      <c r="R1016" t="s">
        <v>65</v>
      </c>
      <c r="S1016">
        <v>541221.30000000005</v>
      </c>
      <c r="T1016">
        <v>0</v>
      </c>
      <c r="U1016" t="s">
        <v>73</v>
      </c>
      <c r="V1016" t="s">
        <v>8</v>
      </c>
      <c r="W1016" t="s">
        <v>74</v>
      </c>
      <c r="X1016" t="s">
        <v>145</v>
      </c>
      <c r="Y1016" t="s">
        <v>30</v>
      </c>
      <c r="Z1016">
        <v>0.43</v>
      </c>
      <c r="AA1016">
        <f t="shared" si="45"/>
        <v>119902.32</v>
      </c>
      <c r="AB1016">
        <f t="shared" si="46"/>
        <v>0.22154028305981305</v>
      </c>
      <c r="AC1016">
        <f t="shared" si="47"/>
        <v>0</v>
      </c>
      <c r="AD1016">
        <v>2025</v>
      </c>
      <c r="AE1016">
        <v>12</v>
      </c>
      <c r="AF1016" t="s">
        <v>98</v>
      </c>
      <c r="AG1016" t="s">
        <v>168</v>
      </c>
    </row>
    <row r="1017" spans="1:33">
      <c r="A1017" t="s">
        <v>1168</v>
      </c>
      <c r="B1017">
        <v>45377</v>
      </c>
      <c r="C1017">
        <v>45384</v>
      </c>
      <c r="D1017" t="s">
        <v>21</v>
      </c>
      <c r="E1017">
        <v>150</v>
      </c>
      <c r="F1017">
        <v>871.31</v>
      </c>
      <c r="G1017">
        <v>0.92</v>
      </c>
      <c r="H1017">
        <v>129494.09</v>
      </c>
      <c r="I1017" t="s">
        <v>1726</v>
      </c>
      <c r="J1017">
        <v>662.32</v>
      </c>
      <c r="K1017">
        <v>99348</v>
      </c>
      <c r="L1017">
        <v>3175.07</v>
      </c>
      <c r="M1017">
        <v>331.98</v>
      </c>
      <c r="N1017">
        <v>10845.99</v>
      </c>
      <c r="O1017">
        <v>113701.04</v>
      </c>
      <c r="P1017">
        <v>30146.09</v>
      </c>
      <c r="Q1017">
        <v>15793.05</v>
      </c>
      <c r="R1017" t="s">
        <v>65</v>
      </c>
      <c r="S1017">
        <v>129494.09</v>
      </c>
      <c r="T1017">
        <v>0</v>
      </c>
      <c r="U1017" t="s">
        <v>66</v>
      </c>
      <c r="V1017" t="s">
        <v>14</v>
      </c>
      <c r="W1017" t="s">
        <v>80</v>
      </c>
      <c r="X1017" t="s">
        <v>182</v>
      </c>
      <c r="Y1017" t="s">
        <v>26</v>
      </c>
      <c r="Z1017">
        <v>1.84</v>
      </c>
      <c r="AA1017">
        <f t="shared" si="45"/>
        <v>15793.05</v>
      </c>
      <c r="AB1017">
        <f t="shared" si="46"/>
        <v>0.12195961993323402</v>
      </c>
      <c r="AC1017">
        <f t="shared" si="47"/>
        <v>0</v>
      </c>
      <c r="AD1017">
        <v>2024</v>
      </c>
      <c r="AE1017">
        <v>3</v>
      </c>
      <c r="AF1017" t="s">
        <v>105</v>
      </c>
      <c r="AG1017" t="s">
        <v>120</v>
      </c>
    </row>
    <row r="1018" spans="1:33">
      <c r="A1018" t="s">
        <v>1169</v>
      </c>
      <c r="B1018">
        <v>45301</v>
      </c>
      <c r="C1018">
        <v>45314</v>
      </c>
      <c r="D1018" t="s">
        <v>21</v>
      </c>
      <c r="E1018">
        <v>200</v>
      </c>
      <c r="F1018">
        <v>862.77</v>
      </c>
      <c r="G1018">
        <v>0.41</v>
      </c>
      <c r="H1018">
        <v>171846.53</v>
      </c>
      <c r="I1018" t="s">
        <v>1729</v>
      </c>
      <c r="J1018">
        <v>722.95</v>
      </c>
      <c r="K1018">
        <v>144590</v>
      </c>
      <c r="L1018">
        <v>1025.8399999999999</v>
      </c>
      <c r="M1018">
        <v>1119.93</v>
      </c>
      <c r="N1018">
        <v>6966.09</v>
      </c>
      <c r="O1018">
        <v>153701.85999999999</v>
      </c>
      <c r="P1018">
        <v>27256.53</v>
      </c>
      <c r="Q1018">
        <v>18144.669999999998</v>
      </c>
      <c r="R1018" t="s">
        <v>134</v>
      </c>
      <c r="S1018">
        <v>0</v>
      </c>
      <c r="T1018">
        <v>171846.53</v>
      </c>
      <c r="U1018" t="s">
        <v>66</v>
      </c>
      <c r="V1018" t="s">
        <v>16</v>
      </c>
      <c r="W1018" t="s">
        <v>92</v>
      </c>
      <c r="X1018" t="s">
        <v>123</v>
      </c>
      <c r="Y1018" t="s">
        <v>22</v>
      </c>
      <c r="Z1018">
        <v>0.75</v>
      </c>
      <c r="AA1018">
        <f t="shared" si="45"/>
        <v>18144.669999999998</v>
      </c>
      <c r="AB1018">
        <f t="shared" si="46"/>
        <v>0.10558647881921153</v>
      </c>
      <c r="AC1018">
        <f t="shared" si="47"/>
        <v>0</v>
      </c>
      <c r="AD1018">
        <v>2024</v>
      </c>
      <c r="AE1018">
        <v>1</v>
      </c>
      <c r="AF1018" t="s">
        <v>102</v>
      </c>
      <c r="AG1018" t="s">
        <v>103</v>
      </c>
    </row>
    <row r="1019" spans="1:33">
      <c r="A1019" t="s">
        <v>1170</v>
      </c>
      <c r="B1019">
        <v>45430</v>
      </c>
      <c r="C1019">
        <v>45443</v>
      </c>
      <c r="D1019" t="s">
        <v>21</v>
      </c>
      <c r="E1019">
        <v>300</v>
      </c>
      <c r="F1019">
        <v>835.19</v>
      </c>
      <c r="G1019">
        <v>1.48</v>
      </c>
      <c r="H1019">
        <v>246848.76</v>
      </c>
      <c r="I1019" t="s">
        <v>1727</v>
      </c>
      <c r="J1019">
        <v>746.93</v>
      </c>
      <c r="K1019">
        <v>224079</v>
      </c>
      <c r="L1019">
        <v>6479.24</v>
      </c>
      <c r="M1019">
        <v>631.05999999999995</v>
      </c>
      <c r="N1019">
        <v>2935.75</v>
      </c>
      <c r="O1019">
        <v>234125.05</v>
      </c>
      <c r="P1019">
        <v>22769.759999999998</v>
      </c>
      <c r="Q1019">
        <v>12723.71</v>
      </c>
      <c r="R1019" t="s">
        <v>65</v>
      </c>
      <c r="S1019">
        <v>246848.76</v>
      </c>
      <c r="T1019">
        <v>0</v>
      </c>
      <c r="U1019" t="s">
        <v>66</v>
      </c>
      <c r="V1019" t="s">
        <v>6</v>
      </c>
      <c r="W1019" t="s">
        <v>74</v>
      </c>
      <c r="X1019" t="s">
        <v>108</v>
      </c>
      <c r="Y1019" t="s">
        <v>22</v>
      </c>
      <c r="Z1019">
        <v>0.3</v>
      </c>
      <c r="AA1019">
        <f t="shared" si="45"/>
        <v>12723.71</v>
      </c>
      <c r="AB1019">
        <f t="shared" si="46"/>
        <v>5.1544557080213806E-2</v>
      </c>
      <c r="AC1019">
        <f t="shared" si="47"/>
        <v>0</v>
      </c>
      <c r="AD1019">
        <v>2024</v>
      </c>
      <c r="AE1019">
        <v>5</v>
      </c>
      <c r="AF1019" t="s">
        <v>76</v>
      </c>
      <c r="AG1019" t="s">
        <v>77</v>
      </c>
    </row>
    <row r="1020" spans="1:33">
      <c r="A1020" t="s">
        <v>1171</v>
      </c>
      <c r="B1020">
        <v>45994</v>
      </c>
      <c r="C1020">
        <v>46008</v>
      </c>
      <c r="D1020" t="s">
        <v>21</v>
      </c>
      <c r="E1020">
        <v>500</v>
      </c>
      <c r="F1020">
        <v>912.65</v>
      </c>
      <c r="G1020">
        <v>3.71</v>
      </c>
      <c r="H1020">
        <v>439395.34</v>
      </c>
      <c r="I1020" t="s">
        <v>1727</v>
      </c>
      <c r="J1020">
        <v>727.44</v>
      </c>
      <c r="K1020">
        <v>363720</v>
      </c>
      <c r="L1020">
        <v>11781.93</v>
      </c>
      <c r="M1020">
        <v>1742.94</v>
      </c>
      <c r="N1020">
        <v>2714.89</v>
      </c>
      <c r="O1020">
        <v>379959.76</v>
      </c>
      <c r="P1020">
        <v>75675.34</v>
      </c>
      <c r="Q1020">
        <v>59435.58</v>
      </c>
      <c r="R1020" t="s">
        <v>65</v>
      </c>
      <c r="S1020">
        <v>439395.34</v>
      </c>
      <c r="T1020">
        <v>0</v>
      </c>
      <c r="U1020" t="s">
        <v>66</v>
      </c>
      <c r="V1020" t="s">
        <v>16</v>
      </c>
      <c r="W1020" t="s">
        <v>74</v>
      </c>
      <c r="X1020" t="s">
        <v>145</v>
      </c>
      <c r="Y1020" t="s">
        <v>30</v>
      </c>
      <c r="Z1020">
        <v>2.41</v>
      </c>
      <c r="AA1020">
        <f t="shared" si="45"/>
        <v>59435.58</v>
      </c>
      <c r="AB1020">
        <f t="shared" si="46"/>
        <v>0.1352667508945361</v>
      </c>
      <c r="AC1020">
        <f t="shared" si="47"/>
        <v>0</v>
      </c>
      <c r="AD1020">
        <v>2025</v>
      </c>
      <c r="AE1020">
        <v>12</v>
      </c>
      <c r="AF1020" t="s">
        <v>98</v>
      </c>
      <c r="AG1020" t="s">
        <v>168</v>
      </c>
    </row>
    <row r="1021" spans="1:33">
      <c r="A1021" t="s">
        <v>1172</v>
      </c>
      <c r="B1021">
        <v>45333</v>
      </c>
      <c r="C1021">
        <v>45339</v>
      </c>
      <c r="D1021" t="s">
        <v>21</v>
      </c>
      <c r="E1021">
        <v>500</v>
      </c>
      <c r="F1021">
        <v>856.51</v>
      </c>
      <c r="G1021">
        <v>0.66</v>
      </c>
      <c r="H1021">
        <v>425428.52</v>
      </c>
      <c r="I1021" t="s">
        <v>1727</v>
      </c>
      <c r="J1021">
        <v>653.25</v>
      </c>
      <c r="K1021">
        <v>326625</v>
      </c>
      <c r="L1021">
        <v>10239.93</v>
      </c>
      <c r="M1021">
        <v>1062.8499999999999</v>
      </c>
      <c r="N1021">
        <v>2564.84</v>
      </c>
      <c r="O1021">
        <v>340492.62</v>
      </c>
      <c r="P1021">
        <v>98803.520000000004</v>
      </c>
      <c r="Q1021">
        <v>84935.9</v>
      </c>
      <c r="R1021" t="s">
        <v>65</v>
      </c>
      <c r="S1021">
        <v>425428.52</v>
      </c>
      <c r="T1021">
        <v>0</v>
      </c>
      <c r="U1021" t="s">
        <v>66</v>
      </c>
      <c r="V1021" t="s">
        <v>14</v>
      </c>
      <c r="W1021" t="s">
        <v>74</v>
      </c>
      <c r="X1021" t="s">
        <v>115</v>
      </c>
      <c r="Y1021" t="s">
        <v>22</v>
      </c>
      <c r="Z1021">
        <v>1.31</v>
      </c>
      <c r="AA1021">
        <f t="shared" si="45"/>
        <v>84935.9</v>
      </c>
      <c r="AB1021">
        <f t="shared" si="46"/>
        <v>0.19964787504138179</v>
      </c>
      <c r="AC1021">
        <f t="shared" si="47"/>
        <v>0</v>
      </c>
      <c r="AD1021">
        <v>2024</v>
      </c>
      <c r="AE1021">
        <v>2</v>
      </c>
      <c r="AF1021" t="s">
        <v>172</v>
      </c>
      <c r="AG1021" t="s">
        <v>173</v>
      </c>
    </row>
    <row r="1022" spans="1:33">
      <c r="A1022" t="s">
        <v>1173</v>
      </c>
      <c r="B1022">
        <v>45315</v>
      </c>
      <c r="C1022">
        <v>45325</v>
      </c>
      <c r="D1022" t="s">
        <v>23</v>
      </c>
      <c r="E1022">
        <v>300</v>
      </c>
      <c r="F1022">
        <v>1329.57</v>
      </c>
      <c r="G1022">
        <v>2.0099999999999998</v>
      </c>
      <c r="H1022">
        <v>390853.69</v>
      </c>
      <c r="I1022" t="s">
        <v>1727</v>
      </c>
      <c r="J1022">
        <v>1012.25</v>
      </c>
      <c r="K1022">
        <v>303675</v>
      </c>
      <c r="L1022">
        <v>4841.38</v>
      </c>
      <c r="M1022">
        <v>1713.82</v>
      </c>
      <c r="N1022">
        <v>2729.8</v>
      </c>
      <c r="O1022">
        <v>312960</v>
      </c>
      <c r="P1022">
        <v>87178.69</v>
      </c>
      <c r="Q1022">
        <v>77893.69</v>
      </c>
      <c r="R1022" t="s">
        <v>65</v>
      </c>
      <c r="S1022">
        <v>390853.69</v>
      </c>
      <c r="T1022">
        <v>0</v>
      </c>
      <c r="U1022" t="s">
        <v>66</v>
      </c>
      <c r="V1022" t="s">
        <v>6</v>
      </c>
      <c r="W1022" t="s">
        <v>67</v>
      </c>
      <c r="X1022" t="s">
        <v>371</v>
      </c>
      <c r="Y1022" t="s">
        <v>26</v>
      </c>
      <c r="Z1022">
        <v>1.41</v>
      </c>
      <c r="AA1022">
        <f t="shared" si="45"/>
        <v>77893.69</v>
      </c>
      <c r="AB1022">
        <f t="shared" si="46"/>
        <v>0.19929117210074185</v>
      </c>
      <c r="AC1022">
        <f t="shared" si="47"/>
        <v>0</v>
      </c>
      <c r="AD1022">
        <v>2024</v>
      </c>
      <c r="AE1022">
        <v>1</v>
      </c>
      <c r="AF1022" t="s">
        <v>102</v>
      </c>
      <c r="AG1022" t="s">
        <v>103</v>
      </c>
    </row>
    <row r="1023" spans="1:33">
      <c r="A1023" t="s">
        <v>1174</v>
      </c>
      <c r="B1023">
        <v>45387</v>
      </c>
      <c r="C1023">
        <v>45398</v>
      </c>
      <c r="D1023" t="s">
        <v>21</v>
      </c>
      <c r="E1023">
        <v>750</v>
      </c>
      <c r="F1023">
        <v>863.35</v>
      </c>
      <c r="G1023">
        <v>2.12</v>
      </c>
      <c r="H1023">
        <v>633785.24</v>
      </c>
      <c r="I1023" t="s">
        <v>1726</v>
      </c>
      <c r="J1023">
        <v>674.67</v>
      </c>
      <c r="K1023">
        <v>506002.5</v>
      </c>
      <c r="L1023">
        <v>8531.7000000000007</v>
      </c>
      <c r="M1023">
        <v>2189.65</v>
      </c>
      <c r="N1023">
        <v>10528.68</v>
      </c>
      <c r="O1023">
        <v>527252.53</v>
      </c>
      <c r="P1023">
        <v>127782.74</v>
      </c>
      <c r="Q1023">
        <v>106532.71</v>
      </c>
      <c r="R1023" t="s">
        <v>85</v>
      </c>
      <c r="S1023">
        <v>512356.87</v>
      </c>
      <c r="T1023">
        <v>121428.37</v>
      </c>
      <c r="U1023" t="s">
        <v>66</v>
      </c>
      <c r="V1023" t="s">
        <v>12</v>
      </c>
      <c r="W1023" t="s">
        <v>74</v>
      </c>
      <c r="X1023" t="s">
        <v>371</v>
      </c>
      <c r="Y1023" t="s">
        <v>26</v>
      </c>
      <c r="Z1023">
        <v>0.08</v>
      </c>
      <c r="AA1023">
        <f t="shared" si="45"/>
        <v>106532.71</v>
      </c>
      <c r="AB1023">
        <f t="shared" si="46"/>
        <v>0.16808960398004852</v>
      </c>
      <c r="AC1023">
        <f t="shared" si="47"/>
        <v>0</v>
      </c>
      <c r="AD1023">
        <v>2024</v>
      </c>
      <c r="AE1023">
        <v>4</v>
      </c>
      <c r="AF1023" t="s">
        <v>154</v>
      </c>
      <c r="AG1023" t="s">
        <v>157</v>
      </c>
    </row>
    <row r="1024" spans="1:33">
      <c r="A1024" t="s">
        <v>1175</v>
      </c>
      <c r="B1024">
        <v>45864</v>
      </c>
      <c r="C1024">
        <v>45872</v>
      </c>
      <c r="D1024" t="s">
        <v>21</v>
      </c>
      <c r="E1024">
        <v>50</v>
      </c>
      <c r="F1024">
        <v>858.41</v>
      </c>
      <c r="G1024">
        <v>2.23</v>
      </c>
      <c r="H1024">
        <v>41963.37</v>
      </c>
      <c r="I1024" t="s">
        <v>1727</v>
      </c>
      <c r="J1024">
        <v>677.04</v>
      </c>
      <c r="K1024">
        <v>33852</v>
      </c>
      <c r="L1024">
        <v>265.44</v>
      </c>
      <c r="M1024">
        <v>207.96</v>
      </c>
      <c r="N1024">
        <v>6096.85</v>
      </c>
      <c r="O1024">
        <v>40422.25</v>
      </c>
      <c r="P1024">
        <v>8111.37</v>
      </c>
      <c r="Q1024">
        <v>1541.12</v>
      </c>
      <c r="R1024" t="s">
        <v>85</v>
      </c>
      <c r="S1024">
        <v>25669.49</v>
      </c>
      <c r="T1024">
        <v>16293.88</v>
      </c>
      <c r="U1024" t="s">
        <v>66</v>
      </c>
      <c r="V1024" t="s">
        <v>6</v>
      </c>
      <c r="W1024" t="s">
        <v>80</v>
      </c>
      <c r="X1024" t="s">
        <v>123</v>
      </c>
      <c r="Y1024" t="s">
        <v>22</v>
      </c>
      <c r="Z1024">
        <v>1.01</v>
      </c>
      <c r="AA1024">
        <f t="shared" si="45"/>
        <v>1541.12</v>
      </c>
      <c r="AB1024">
        <f t="shared" si="46"/>
        <v>3.6725363096433858E-2</v>
      </c>
      <c r="AC1024">
        <f t="shared" si="47"/>
        <v>0</v>
      </c>
      <c r="AD1024">
        <v>2025</v>
      </c>
      <c r="AE1024">
        <v>7</v>
      </c>
      <c r="AF1024" t="s">
        <v>69</v>
      </c>
      <c r="AG1024" t="s">
        <v>151</v>
      </c>
    </row>
    <row r="1025" spans="1:33">
      <c r="A1025" t="s">
        <v>1176</v>
      </c>
      <c r="B1025">
        <v>45441</v>
      </c>
      <c r="C1025">
        <v>45445</v>
      </c>
      <c r="D1025" t="s">
        <v>27</v>
      </c>
      <c r="E1025">
        <v>150</v>
      </c>
      <c r="F1025">
        <v>671.19</v>
      </c>
      <c r="G1025">
        <v>2.13</v>
      </c>
      <c r="H1025">
        <v>98534.05</v>
      </c>
      <c r="I1025" t="s">
        <v>1727</v>
      </c>
      <c r="J1025">
        <v>528.76</v>
      </c>
      <c r="K1025">
        <v>79314</v>
      </c>
      <c r="L1025">
        <v>3141.43</v>
      </c>
      <c r="M1025">
        <v>532.02</v>
      </c>
      <c r="N1025">
        <v>1414.35</v>
      </c>
      <c r="O1025">
        <v>84401.8</v>
      </c>
      <c r="P1025">
        <v>19220.05</v>
      </c>
      <c r="Q1025">
        <v>14132.25</v>
      </c>
      <c r="R1025" t="s">
        <v>65</v>
      </c>
      <c r="S1025">
        <v>98534.05</v>
      </c>
      <c r="T1025">
        <v>0</v>
      </c>
      <c r="U1025" t="s">
        <v>73</v>
      </c>
      <c r="V1025" t="s">
        <v>6</v>
      </c>
      <c r="W1025" t="s">
        <v>80</v>
      </c>
      <c r="X1025" t="s">
        <v>193</v>
      </c>
      <c r="Y1025" t="s">
        <v>30</v>
      </c>
      <c r="Z1025">
        <v>0.28000000000000003</v>
      </c>
      <c r="AA1025">
        <f t="shared" si="45"/>
        <v>14132.25</v>
      </c>
      <c r="AB1025">
        <f t="shared" si="46"/>
        <v>0.14342503936456483</v>
      </c>
      <c r="AC1025">
        <f t="shared" si="47"/>
        <v>0</v>
      </c>
      <c r="AD1025">
        <v>2024</v>
      </c>
      <c r="AE1025">
        <v>5</v>
      </c>
      <c r="AF1025" t="s">
        <v>76</v>
      </c>
      <c r="AG1025" t="s">
        <v>77</v>
      </c>
    </row>
    <row r="1026" spans="1:33">
      <c r="A1026" t="s">
        <v>1177</v>
      </c>
      <c r="B1026">
        <v>45544</v>
      </c>
      <c r="C1026">
        <v>45557</v>
      </c>
      <c r="D1026" t="s">
        <v>21</v>
      </c>
      <c r="E1026">
        <v>500</v>
      </c>
      <c r="F1026">
        <v>845.63</v>
      </c>
      <c r="G1026">
        <v>2.94</v>
      </c>
      <c r="H1026">
        <v>410384.24</v>
      </c>
      <c r="I1026" t="s">
        <v>1728</v>
      </c>
      <c r="J1026">
        <v>701.04</v>
      </c>
      <c r="K1026">
        <v>350520</v>
      </c>
      <c r="L1026">
        <v>6812.75</v>
      </c>
      <c r="M1026">
        <v>2947.62</v>
      </c>
      <c r="N1026">
        <v>10745.23</v>
      </c>
      <c r="O1026">
        <v>371025.6</v>
      </c>
      <c r="P1026">
        <v>59864.24</v>
      </c>
      <c r="Q1026">
        <v>39358.639999999999</v>
      </c>
      <c r="R1026" t="s">
        <v>85</v>
      </c>
      <c r="S1026">
        <v>267870.8</v>
      </c>
      <c r="T1026">
        <v>142513.44</v>
      </c>
      <c r="U1026" t="s">
        <v>66</v>
      </c>
      <c r="V1026" t="s">
        <v>14</v>
      </c>
      <c r="W1026" t="s">
        <v>74</v>
      </c>
      <c r="X1026" t="s">
        <v>108</v>
      </c>
      <c r="Y1026" t="s">
        <v>22</v>
      </c>
      <c r="Z1026">
        <v>1.66</v>
      </c>
      <c r="AA1026">
        <f t="shared" ref="AA1026:AA1089" si="48">ROUND(H1026-O1026,2)</f>
        <v>39358.639999999999</v>
      </c>
      <c r="AB1026">
        <f t="shared" ref="AB1026:AB1089" si="49">AA1026/H1026</f>
        <v>9.5906801879136486E-2</v>
      </c>
      <c r="AC1026">
        <f t="shared" ref="AC1026:AC1089" si="50">ROUND(AA1026-Q1026,2)</f>
        <v>0</v>
      </c>
      <c r="AD1026">
        <v>2024</v>
      </c>
      <c r="AE1026">
        <v>9</v>
      </c>
      <c r="AF1026" t="s">
        <v>131</v>
      </c>
      <c r="AG1026" t="s">
        <v>188</v>
      </c>
    </row>
    <row r="1027" spans="1:33">
      <c r="A1027" t="s">
        <v>1178</v>
      </c>
      <c r="B1027">
        <v>45926</v>
      </c>
      <c r="D1027" t="s">
        <v>25</v>
      </c>
      <c r="E1027">
        <v>300</v>
      </c>
      <c r="F1027">
        <v>1055.79</v>
      </c>
      <c r="G1027">
        <v>1.99</v>
      </c>
      <c r="H1027">
        <v>0</v>
      </c>
      <c r="I1027" t="s">
        <v>1726</v>
      </c>
      <c r="J1027">
        <v>790.71</v>
      </c>
      <c r="K1027">
        <v>0</v>
      </c>
      <c r="L1027">
        <v>0</v>
      </c>
      <c r="M1027">
        <v>0</v>
      </c>
      <c r="N1027">
        <v>0</v>
      </c>
      <c r="O1027">
        <v>0</v>
      </c>
      <c r="P1027">
        <v>0</v>
      </c>
      <c r="Q1027">
        <v>0</v>
      </c>
      <c r="R1027" t="s">
        <v>85</v>
      </c>
      <c r="S1027">
        <v>0</v>
      </c>
      <c r="T1027">
        <v>0</v>
      </c>
      <c r="U1027" t="s">
        <v>117</v>
      </c>
      <c r="V1027" t="s">
        <v>10</v>
      </c>
      <c r="W1027" t="s">
        <v>92</v>
      </c>
      <c r="X1027" t="s">
        <v>101</v>
      </c>
      <c r="Y1027" t="s">
        <v>22</v>
      </c>
      <c r="Z1027">
        <v>2.0499999999999998</v>
      </c>
      <c r="AA1027">
        <f t="shared" si="48"/>
        <v>0</v>
      </c>
      <c r="AB1027" t="e">
        <f t="shared" si="49"/>
        <v>#DIV/0!</v>
      </c>
      <c r="AC1027">
        <f t="shared" si="50"/>
        <v>0</v>
      </c>
      <c r="AD1027">
        <v>2025</v>
      </c>
      <c r="AE1027">
        <v>9</v>
      </c>
      <c r="AF1027" t="s">
        <v>131</v>
      </c>
      <c r="AG1027" t="s">
        <v>132</v>
      </c>
    </row>
    <row r="1028" spans="1:33">
      <c r="A1028" t="s">
        <v>1179</v>
      </c>
      <c r="B1028">
        <v>45485</v>
      </c>
      <c r="C1028">
        <v>45486</v>
      </c>
      <c r="D1028" t="s">
        <v>21</v>
      </c>
      <c r="E1028">
        <v>500</v>
      </c>
      <c r="F1028">
        <v>792.01</v>
      </c>
      <c r="G1028">
        <v>3.13</v>
      </c>
      <c r="H1028">
        <v>383610.04</v>
      </c>
      <c r="I1028" t="s">
        <v>1726</v>
      </c>
      <c r="J1028">
        <v>705.63</v>
      </c>
      <c r="K1028">
        <v>352815</v>
      </c>
      <c r="L1028">
        <v>2802.47</v>
      </c>
      <c r="M1028">
        <v>2754.24</v>
      </c>
      <c r="N1028">
        <v>10282.82</v>
      </c>
      <c r="O1028">
        <v>368654.53</v>
      </c>
      <c r="P1028">
        <v>30795.040000000001</v>
      </c>
      <c r="Q1028">
        <v>14955.51</v>
      </c>
      <c r="R1028" t="s">
        <v>85</v>
      </c>
      <c r="S1028">
        <v>325726.40999999997</v>
      </c>
      <c r="T1028">
        <v>57883.63</v>
      </c>
      <c r="U1028" t="s">
        <v>66</v>
      </c>
      <c r="V1028" t="s">
        <v>6</v>
      </c>
      <c r="W1028" t="s">
        <v>80</v>
      </c>
      <c r="X1028" t="s">
        <v>123</v>
      </c>
      <c r="Y1028" t="s">
        <v>22</v>
      </c>
      <c r="Z1028">
        <v>1.37</v>
      </c>
      <c r="AA1028">
        <f t="shared" si="48"/>
        <v>14955.51</v>
      </c>
      <c r="AB1028">
        <f t="shared" si="49"/>
        <v>3.8986231955764249E-2</v>
      </c>
      <c r="AC1028">
        <f t="shared" si="50"/>
        <v>0</v>
      </c>
      <c r="AD1028">
        <v>2024</v>
      </c>
      <c r="AE1028">
        <v>7</v>
      </c>
      <c r="AF1028" t="s">
        <v>69</v>
      </c>
      <c r="AG1028" t="s">
        <v>70</v>
      </c>
    </row>
    <row r="1029" spans="1:33">
      <c r="A1029" t="s">
        <v>1180</v>
      </c>
      <c r="B1029">
        <v>45580</v>
      </c>
      <c r="C1029">
        <v>45589</v>
      </c>
      <c r="D1029" t="s">
        <v>25</v>
      </c>
      <c r="E1029">
        <v>300</v>
      </c>
      <c r="F1029">
        <v>1033.1199999999999</v>
      </c>
      <c r="G1029">
        <v>1.32</v>
      </c>
      <c r="H1029">
        <v>305844.84000000003</v>
      </c>
      <c r="I1029" t="s">
        <v>1727</v>
      </c>
      <c r="J1029">
        <v>816.18</v>
      </c>
      <c r="K1029">
        <v>244854</v>
      </c>
      <c r="L1029">
        <v>4069.76</v>
      </c>
      <c r="M1029">
        <v>1569.84</v>
      </c>
      <c r="N1029">
        <v>10883.21</v>
      </c>
      <c r="O1029">
        <v>261376.81</v>
      </c>
      <c r="P1029">
        <v>60990.84</v>
      </c>
      <c r="Q1029">
        <v>44468.03</v>
      </c>
      <c r="R1029" t="s">
        <v>65</v>
      </c>
      <c r="S1029">
        <v>305844.84000000003</v>
      </c>
      <c r="T1029">
        <v>0</v>
      </c>
      <c r="U1029" t="s">
        <v>66</v>
      </c>
      <c r="V1029" t="s">
        <v>8</v>
      </c>
      <c r="W1029" t="s">
        <v>74</v>
      </c>
      <c r="X1029" t="s">
        <v>185</v>
      </c>
      <c r="Y1029" t="s">
        <v>31</v>
      </c>
      <c r="Z1029">
        <v>1.83</v>
      </c>
      <c r="AA1029">
        <f t="shared" si="48"/>
        <v>44468.03</v>
      </c>
      <c r="AB1029">
        <f t="shared" si="49"/>
        <v>0.14539408282971195</v>
      </c>
      <c r="AC1029">
        <f t="shared" si="50"/>
        <v>0</v>
      </c>
      <c r="AD1029">
        <v>2024</v>
      </c>
      <c r="AE1029">
        <v>10</v>
      </c>
      <c r="AF1029" t="s">
        <v>138</v>
      </c>
      <c r="AG1029" t="s">
        <v>139</v>
      </c>
    </row>
    <row r="1030" spans="1:33">
      <c r="A1030" t="s">
        <v>1181</v>
      </c>
      <c r="B1030">
        <v>45628</v>
      </c>
      <c r="C1030">
        <v>45637</v>
      </c>
      <c r="D1030" t="s">
        <v>21</v>
      </c>
      <c r="E1030">
        <v>750</v>
      </c>
      <c r="F1030">
        <v>964</v>
      </c>
      <c r="G1030">
        <v>0.65</v>
      </c>
      <c r="H1030">
        <v>718300.5</v>
      </c>
      <c r="I1030" t="s">
        <v>1727</v>
      </c>
      <c r="J1030">
        <v>748.07</v>
      </c>
      <c r="K1030">
        <v>561052.5</v>
      </c>
      <c r="L1030">
        <v>5852.64</v>
      </c>
      <c r="M1030">
        <v>2133.4699999999998</v>
      </c>
      <c r="N1030">
        <v>2116.7600000000002</v>
      </c>
      <c r="O1030">
        <v>571155.37</v>
      </c>
      <c r="P1030">
        <v>157248</v>
      </c>
      <c r="Q1030">
        <v>147145.13</v>
      </c>
      <c r="R1030" t="s">
        <v>65</v>
      </c>
      <c r="S1030">
        <v>718300.5</v>
      </c>
      <c r="T1030">
        <v>0</v>
      </c>
      <c r="U1030" t="s">
        <v>66</v>
      </c>
      <c r="V1030" t="s">
        <v>6</v>
      </c>
      <c r="W1030" t="s">
        <v>74</v>
      </c>
      <c r="X1030" t="s">
        <v>97</v>
      </c>
      <c r="Y1030" t="s">
        <v>24</v>
      </c>
      <c r="Z1030">
        <v>1.46</v>
      </c>
      <c r="AA1030">
        <f t="shared" si="48"/>
        <v>147145.13</v>
      </c>
      <c r="AB1030">
        <f t="shared" si="49"/>
        <v>0.20485177164710314</v>
      </c>
      <c r="AC1030">
        <f t="shared" si="50"/>
        <v>0</v>
      </c>
      <c r="AD1030">
        <v>2024</v>
      </c>
      <c r="AE1030">
        <v>12</v>
      </c>
      <c r="AF1030" t="s">
        <v>98</v>
      </c>
      <c r="AG1030" t="s">
        <v>99</v>
      </c>
    </row>
    <row r="1031" spans="1:33">
      <c r="A1031" t="s">
        <v>1182</v>
      </c>
      <c r="B1031">
        <v>45875</v>
      </c>
      <c r="C1031">
        <v>45875</v>
      </c>
      <c r="D1031" t="s">
        <v>21</v>
      </c>
      <c r="E1031">
        <v>150</v>
      </c>
      <c r="F1031">
        <v>890.64</v>
      </c>
      <c r="G1031">
        <v>1.1100000000000001</v>
      </c>
      <c r="H1031">
        <v>132113.07999999999</v>
      </c>
      <c r="I1031" t="s">
        <v>1726</v>
      </c>
      <c r="J1031">
        <v>676.4</v>
      </c>
      <c r="K1031">
        <v>101460</v>
      </c>
      <c r="L1031">
        <v>1611.33</v>
      </c>
      <c r="M1031">
        <v>871.83</v>
      </c>
      <c r="N1031">
        <v>8616.93</v>
      </c>
      <c r="O1031">
        <v>112560.09</v>
      </c>
      <c r="P1031">
        <v>30653.08</v>
      </c>
      <c r="Q1031">
        <v>19552.990000000002</v>
      </c>
      <c r="R1031" t="s">
        <v>65</v>
      </c>
      <c r="S1031">
        <v>132113.07999999999</v>
      </c>
      <c r="T1031">
        <v>0</v>
      </c>
      <c r="U1031" t="s">
        <v>66</v>
      </c>
      <c r="V1031" t="s">
        <v>16</v>
      </c>
      <c r="W1031" t="s">
        <v>80</v>
      </c>
      <c r="X1031" t="s">
        <v>224</v>
      </c>
      <c r="Y1031" t="s">
        <v>31</v>
      </c>
      <c r="Z1031">
        <v>1.75</v>
      </c>
      <c r="AA1031">
        <f t="shared" si="48"/>
        <v>19552.990000000002</v>
      </c>
      <c r="AB1031">
        <f t="shared" si="49"/>
        <v>0.14800192380648458</v>
      </c>
      <c r="AC1031">
        <f t="shared" si="50"/>
        <v>0</v>
      </c>
      <c r="AD1031">
        <v>2025</v>
      </c>
      <c r="AE1031">
        <v>8</v>
      </c>
      <c r="AF1031" t="s">
        <v>82</v>
      </c>
      <c r="AG1031" t="s">
        <v>87</v>
      </c>
    </row>
    <row r="1032" spans="1:33">
      <c r="A1032" t="s">
        <v>1183</v>
      </c>
      <c r="B1032">
        <v>45901</v>
      </c>
      <c r="C1032">
        <v>45907</v>
      </c>
      <c r="D1032" t="s">
        <v>27</v>
      </c>
      <c r="E1032">
        <v>50</v>
      </c>
      <c r="F1032">
        <v>744.4</v>
      </c>
      <c r="G1032">
        <v>0.34</v>
      </c>
      <c r="H1032">
        <v>37093.449999999997</v>
      </c>
      <c r="I1032" t="s">
        <v>1727</v>
      </c>
      <c r="J1032">
        <v>553.46</v>
      </c>
      <c r="K1032">
        <v>27673</v>
      </c>
      <c r="L1032">
        <v>784.72</v>
      </c>
      <c r="M1032">
        <v>243.41</v>
      </c>
      <c r="N1032">
        <v>8080.48</v>
      </c>
      <c r="O1032">
        <v>36781.61</v>
      </c>
      <c r="P1032">
        <v>9420.4500000000007</v>
      </c>
      <c r="Q1032">
        <v>311.83999999999997</v>
      </c>
      <c r="R1032" t="s">
        <v>65</v>
      </c>
      <c r="S1032">
        <v>37093.449999999997</v>
      </c>
      <c r="T1032">
        <v>0</v>
      </c>
      <c r="U1032" t="s">
        <v>66</v>
      </c>
      <c r="V1032" t="s">
        <v>12</v>
      </c>
      <c r="W1032" t="s">
        <v>67</v>
      </c>
      <c r="X1032" t="s">
        <v>164</v>
      </c>
      <c r="Y1032" t="s">
        <v>24</v>
      </c>
      <c r="Z1032">
        <v>2.13</v>
      </c>
      <c r="AA1032">
        <f t="shared" si="48"/>
        <v>311.83999999999997</v>
      </c>
      <c r="AB1032">
        <f t="shared" si="49"/>
        <v>8.4068750682398108E-3</v>
      </c>
      <c r="AC1032">
        <f t="shared" si="50"/>
        <v>0</v>
      </c>
      <c r="AD1032">
        <v>2025</v>
      </c>
      <c r="AE1032">
        <v>9</v>
      </c>
      <c r="AF1032" t="s">
        <v>131</v>
      </c>
      <c r="AG1032" t="s">
        <v>132</v>
      </c>
    </row>
    <row r="1033" spans="1:33">
      <c r="A1033" t="s">
        <v>1184</v>
      </c>
      <c r="B1033">
        <v>45766</v>
      </c>
      <c r="C1033">
        <v>45780</v>
      </c>
      <c r="D1033" t="s">
        <v>29</v>
      </c>
      <c r="E1033">
        <v>50</v>
      </c>
      <c r="F1033">
        <v>2962.01</v>
      </c>
      <c r="G1033">
        <v>0.01</v>
      </c>
      <c r="H1033">
        <v>148085.69</v>
      </c>
      <c r="I1033" t="s">
        <v>1727</v>
      </c>
      <c r="J1033">
        <v>2135.9299999999998</v>
      </c>
      <c r="K1033">
        <v>106796.5</v>
      </c>
      <c r="L1033">
        <v>1055.3699999999999</v>
      </c>
      <c r="M1033">
        <v>189.67</v>
      </c>
      <c r="N1033">
        <v>7079.73</v>
      </c>
      <c r="O1033">
        <v>115121.27</v>
      </c>
      <c r="P1033">
        <v>41289.19</v>
      </c>
      <c r="Q1033">
        <v>32964.42</v>
      </c>
      <c r="R1033" t="s">
        <v>65</v>
      </c>
      <c r="S1033">
        <v>148085.69</v>
      </c>
      <c r="T1033">
        <v>0</v>
      </c>
      <c r="U1033" t="s">
        <v>66</v>
      </c>
      <c r="V1033" t="s">
        <v>6</v>
      </c>
      <c r="W1033" t="s">
        <v>80</v>
      </c>
      <c r="X1033" t="s">
        <v>375</v>
      </c>
      <c r="Y1033" t="s">
        <v>30</v>
      </c>
      <c r="Z1033">
        <v>1.88</v>
      </c>
      <c r="AA1033">
        <f t="shared" si="48"/>
        <v>32964.42</v>
      </c>
      <c r="AB1033">
        <f t="shared" si="49"/>
        <v>0.22260368304324341</v>
      </c>
      <c r="AC1033">
        <f t="shared" si="50"/>
        <v>0</v>
      </c>
      <c r="AD1033">
        <v>2025</v>
      </c>
      <c r="AE1033">
        <v>4</v>
      </c>
      <c r="AF1033" t="s">
        <v>154</v>
      </c>
      <c r="AG1033" t="s">
        <v>155</v>
      </c>
    </row>
    <row r="1034" spans="1:33">
      <c r="A1034" t="s">
        <v>1185</v>
      </c>
      <c r="B1034">
        <v>45480</v>
      </c>
      <c r="C1034">
        <v>45494</v>
      </c>
      <c r="D1034" t="s">
        <v>21</v>
      </c>
      <c r="E1034">
        <v>500</v>
      </c>
      <c r="F1034">
        <v>878.95</v>
      </c>
      <c r="G1034">
        <v>3.01</v>
      </c>
      <c r="H1034">
        <v>426246.8</v>
      </c>
      <c r="I1034" t="s">
        <v>1727</v>
      </c>
      <c r="J1034">
        <v>689.92</v>
      </c>
      <c r="K1034">
        <v>344960</v>
      </c>
      <c r="L1034">
        <v>11720.11</v>
      </c>
      <c r="M1034">
        <v>2293.4499999999998</v>
      </c>
      <c r="N1034">
        <v>4477.7700000000004</v>
      </c>
      <c r="O1034">
        <v>363451.33</v>
      </c>
      <c r="P1034">
        <v>81286.8</v>
      </c>
      <c r="Q1034">
        <v>62795.47</v>
      </c>
      <c r="R1034" t="s">
        <v>65</v>
      </c>
      <c r="S1034">
        <v>426246.8</v>
      </c>
      <c r="T1034">
        <v>0</v>
      </c>
      <c r="U1034" t="s">
        <v>66</v>
      </c>
      <c r="V1034" t="s">
        <v>8</v>
      </c>
      <c r="W1034" t="s">
        <v>80</v>
      </c>
      <c r="X1034" t="s">
        <v>101</v>
      </c>
      <c r="Y1034" t="s">
        <v>22</v>
      </c>
      <c r="Z1034">
        <v>0.88</v>
      </c>
      <c r="AA1034">
        <f t="shared" si="48"/>
        <v>62795.47</v>
      </c>
      <c r="AB1034">
        <f t="shared" si="49"/>
        <v>0.14732185672713555</v>
      </c>
      <c r="AC1034">
        <f t="shared" si="50"/>
        <v>0</v>
      </c>
      <c r="AD1034">
        <v>2024</v>
      </c>
      <c r="AE1034">
        <v>7</v>
      </c>
      <c r="AF1034" t="s">
        <v>69</v>
      </c>
      <c r="AG1034" t="s">
        <v>70</v>
      </c>
    </row>
    <row r="1035" spans="1:33">
      <c r="A1035" t="s">
        <v>1186</v>
      </c>
      <c r="B1035">
        <v>45331</v>
      </c>
      <c r="C1035">
        <v>45332</v>
      </c>
      <c r="D1035" t="s">
        <v>25</v>
      </c>
      <c r="E1035">
        <v>500</v>
      </c>
      <c r="F1035">
        <v>986.06</v>
      </c>
      <c r="G1035">
        <v>0.16</v>
      </c>
      <c r="H1035">
        <v>492241.15</v>
      </c>
      <c r="I1035" t="s">
        <v>1728</v>
      </c>
      <c r="J1035">
        <v>718.62</v>
      </c>
      <c r="K1035">
        <v>359310</v>
      </c>
      <c r="L1035">
        <v>3313.22</v>
      </c>
      <c r="M1035">
        <v>1565.98</v>
      </c>
      <c r="N1035">
        <v>4634.2</v>
      </c>
      <c r="O1035">
        <v>368823.4</v>
      </c>
      <c r="P1035">
        <v>132931.15</v>
      </c>
      <c r="Q1035">
        <v>123417.75</v>
      </c>
      <c r="R1035" t="s">
        <v>65</v>
      </c>
      <c r="S1035">
        <v>492241.15</v>
      </c>
      <c r="T1035">
        <v>0</v>
      </c>
      <c r="U1035" t="s">
        <v>66</v>
      </c>
      <c r="V1035" t="s">
        <v>12</v>
      </c>
      <c r="W1035" t="s">
        <v>74</v>
      </c>
      <c r="X1035" t="s">
        <v>205</v>
      </c>
      <c r="Y1035" t="s">
        <v>24</v>
      </c>
      <c r="Z1035">
        <v>0.74</v>
      </c>
      <c r="AA1035">
        <f t="shared" si="48"/>
        <v>123417.75</v>
      </c>
      <c r="AB1035">
        <f t="shared" si="49"/>
        <v>0.25072619385843703</v>
      </c>
      <c r="AC1035">
        <f t="shared" si="50"/>
        <v>0</v>
      </c>
      <c r="AD1035">
        <v>2024</v>
      </c>
      <c r="AE1035">
        <v>2</v>
      </c>
      <c r="AF1035" t="s">
        <v>172</v>
      </c>
      <c r="AG1035" t="s">
        <v>173</v>
      </c>
    </row>
    <row r="1036" spans="1:33">
      <c r="A1036" t="s">
        <v>1187</v>
      </c>
      <c r="B1036">
        <v>45675</v>
      </c>
      <c r="C1036">
        <v>45684</v>
      </c>
      <c r="D1036" t="s">
        <v>23</v>
      </c>
      <c r="E1036">
        <v>100</v>
      </c>
      <c r="F1036">
        <v>1305.32</v>
      </c>
      <c r="G1036">
        <v>1.57</v>
      </c>
      <c r="H1036">
        <v>128482.65</v>
      </c>
      <c r="I1036" t="s">
        <v>1729</v>
      </c>
      <c r="J1036">
        <v>1091.01</v>
      </c>
      <c r="K1036">
        <v>109101</v>
      </c>
      <c r="L1036">
        <v>2274.5100000000002</v>
      </c>
      <c r="M1036">
        <v>150.76</v>
      </c>
      <c r="N1036">
        <v>2416.46</v>
      </c>
      <c r="O1036">
        <v>113942.73</v>
      </c>
      <c r="P1036">
        <v>19381.650000000001</v>
      </c>
      <c r="Q1036">
        <v>14539.92</v>
      </c>
      <c r="R1036" t="s">
        <v>65</v>
      </c>
      <c r="S1036">
        <v>128482.65</v>
      </c>
      <c r="T1036">
        <v>0</v>
      </c>
      <c r="U1036" t="s">
        <v>66</v>
      </c>
      <c r="V1036" t="s">
        <v>8</v>
      </c>
      <c r="W1036" t="s">
        <v>74</v>
      </c>
      <c r="X1036" t="s">
        <v>185</v>
      </c>
      <c r="Y1036" t="s">
        <v>31</v>
      </c>
      <c r="Z1036">
        <v>0.61</v>
      </c>
      <c r="AA1036">
        <f t="shared" si="48"/>
        <v>14539.92</v>
      </c>
      <c r="AB1036">
        <f t="shared" si="49"/>
        <v>0.11316640807144</v>
      </c>
      <c r="AC1036">
        <f t="shared" si="50"/>
        <v>0</v>
      </c>
      <c r="AD1036">
        <v>2025</v>
      </c>
      <c r="AE1036">
        <v>1</v>
      </c>
      <c r="AF1036" t="s">
        <v>102</v>
      </c>
      <c r="AG1036" t="s">
        <v>118</v>
      </c>
    </row>
    <row r="1037" spans="1:33">
      <c r="A1037" t="s">
        <v>1188</v>
      </c>
      <c r="B1037">
        <v>45488</v>
      </c>
      <c r="C1037">
        <v>45492</v>
      </c>
      <c r="D1037" t="s">
        <v>23</v>
      </c>
      <c r="E1037">
        <v>1000</v>
      </c>
      <c r="F1037">
        <v>1277.1400000000001</v>
      </c>
      <c r="G1037">
        <v>2.87</v>
      </c>
      <c r="H1037">
        <v>1240486.08</v>
      </c>
      <c r="I1037" t="s">
        <v>1726</v>
      </c>
      <c r="J1037">
        <v>1054.25</v>
      </c>
      <c r="K1037">
        <v>1054250</v>
      </c>
      <c r="L1037">
        <v>21742.240000000002</v>
      </c>
      <c r="M1037">
        <v>4780.47</v>
      </c>
      <c r="N1037">
        <v>8199.9599999999991</v>
      </c>
      <c r="O1037">
        <v>1088972.67</v>
      </c>
      <c r="P1037">
        <v>186236.08</v>
      </c>
      <c r="Q1037">
        <v>151513.41</v>
      </c>
      <c r="R1037" t="s">
        <v>134</v>
      </c>
      <c r="S1037">
        <v>0</v>
      </c>
      <c r="T1037">
        <v>1240486.08</v>
      </c>
      <c r="U1037" t="s">
        <v>73</v>
      </c>
      <c r="V1037" t="s">
        <v>8</v>
      </c>
      <c r="W1037" t="s">
        <v>92</v>
      </c>
      <c r="X1037" t="s">
        <v>125</v>
      </c>
      <c r="Y1037" t="s">
        <v>24</v>
      </c>
      <c r="Z1037">
        <v>2.19</v>
      </c>
      <c r="AA1037">
        <f t="shared" si="48"/>
        <v>151513.41</v>
      </c>
      <c r="AB1037">
        <f t="shared" si="49"/>
        <v>0.12214035485186581</v>
      </c>
      <c r="AC1037">
        <f t="shared" si="50"/>
        <v>0</v>
      </c>
      <c r="AD1037">
        <v>2024</v>
      </c>
      <c r="AE1037">
        <v>7</v>
      </c>
      <c r="AF1037" t="s">
        <v>69</v>
      </c>
      <c r="AG1037" t="s">
        <v>70</v>
      </c>
    </row>
    <row r="1038" spans="1:33">
      <c r="A1038" t="s">
        <v>1189</v>
      </c>
      <c r="B1038">
        <v>45695</v>
      </c>
      <c r="C1038">
        <v>45699</v>
      </c>
      <c r="D1038" t="s">
        <v>21</v>
      </c>
      <c r="E1038">
        <v>1000</v>
      </c>
      <c r="F1038">
        <v>896.6</v>
      </c>
      <c r="G1038">
        <v>4.2</v>
      </c>
      <c r="H1038">
        <v>858942.8</v>
      </c>
      <c r="I1038" t="s">
        <v>1729</v>
      </c>
      <c r="J1038">
        <v>695.44</v>
      </c>
      <c r="K1038">
        <v>695440</v>
      </c>
      <c r="L1038">
        <v>10557.21</v>
      </c>
      <c r="M1038">
        <v>2314.04</v>
      </c>
      <c r="N1038">
        <v>1922.15</v>
      </c>
      <c r="O1038">
        <v>710233.4</v>
      </c>
      <c r="P1038">
        <v>163502.79999999999</v>
      </c>
      <c r="Q1038">
        <v>148709.4</v>
      </c>
      <c r="R1038" t="s">
        <v>65</v>
      </c>
      <c r="S1038">
        <v>858942.8</v>
      </c>
      <c r="T1038">
        <v>0</v>
      </c>
      <c r="U1038" t="s">
        <v>66</v>
      </c>
      <c r="V1038" t="s">
        <v>10</v>
      </c>
      <c r="W1038" t="s">
        <v>92</v>
      </c>
      <c r="X1038" t="s">
        <v>285</v>
      </c>
      <c r="Y1038" t="s">
        <v>28</v>
      </c>
      <c r="Z1038">
        <v>1.51</v>
      </c>
      <c r="AA1038">
        <f t="shared" si="48"/>
        <v>148709.4</v>
      </c>
      <c r="AB1038">
        <f t="shared" si="49"/>
        <v>0.17313073699436096</v>
      </c>
      <c r="AC1038">
        <f t="shared" si="50"/>
        <v>0</v>
      </c>
      <c r="AD1038">
        <v>2025</v>
      </c>
      <c r="AE1038">
        <v>2</v>
      </c>
      <c r="AF1038" t="s">
        <v>172</v>
      </c>
      <c r="AG1038" t="s">
        <v>244</v>
      </c>
    </row>
    <row r="1039" spans="1:33">
      <c r="A1039" t="s">
        <v>1190</v>
      </c>
      <c r="B1039">
        <v>45771</v>
      </c>
      <c r="C1039">
        <v>45771</v>
      </c>
      <c r="D1039" t="s">
        <v>21</v>
      </c>
      <c r="E1039">
        <v>500</v>
      </c>
      <c r="F1039">
        <v>848.12</v>
      </c>
      <c r="G1039">
        <v>0.48</v>
      </c>
      <c r="H1039">
        <v>422024.51</v>
      </c>
      <c r="I1039" t="s">
        <v>1728</v>
      </c>
      <c r="J1039">
        <v>664.4</v>
      </c>
      <c r="K1039">
        <v>332200</v>
      </c>
      <c r="L1039">
        <v>9800.83</v>
      </c>
      <c r="M1039">
        <v>1614.76</v>
      </c>
      <c r="N1039">
        <v>11218.65</v>
      </c>
      <c r="O1039">
        <v>354834.24</v>
      </c>
      <c r="P1039">
        <v>89824.51</v>
      </c>
      <c r="Q1039">
        <v>67190.27</v>
      </c>
      <c r="R1039" t="s">
        <v>65</v>
      </c>
      <c r="S1039">
        <v>422024.51</v>
      </c>
      <c r="T1039">
        <v>0</v>
      </c>
      <c r="U1039" t="s">
        <v>66</v>
      </c>
      <c r="V1039" t="s">
        <v>8</v>
      </c>
      <c r="W1039" t="s">
        <v>74</v>
      </c>
      <c r="X1039" t="s">
        <v>371</v>
      </c>
      <c r="Y1039" t="s">
        <v>26</v>
      </c>
      <c r="Z1039">
        <v>0.01</v>
      </c>
      <c r="AA1039">
        <f t="shared" si="48"/>
        <v>67190.27</v>
      </c>
      <c r="AB1039">
        <f t="shared" si="49"/>
        <v>0.15920940231646735</v>
      </c>
      <c r="AC1039">
        <f t="shared" si="50"/>
        <v>0</v>
      </c>
      <c r="AD1039">
        <v>2025</v>
      </c>
      <c r="AE1039">
        <v>4</v>
      </c>
      <c r="AF1039" t="s">
        <v>154</v>
      </c>
      <c r="AG1039" t="s">
        <v>155</v>
      </c>
    </row>
    <row r="1040" spans="1:33">
      <c r="A1040" t="s">
        <v>1191</v>
      </c>
      <c r="B1040">
        <v>45997</v>
      </c>
      <c r="C1040">
        <v>45997</v>
      </c>
      <c r="D1040" t="s">
        <v>21</v>
      </c>
      <c r="E1040">
        <v>1200</v>
      </c>
      <c r="F1040">
        <v>883.3</v>
      </c>
      <c r="G1040">
        <v>2.46</v>
      </c>
      <c r="H1040">
        <v>1033884.98</v>
      </c>
      <c r="I1040" t="s">
        <v>1726</v>
      </c>
      <c r="J1040">
        <v>672.39</v>
      </c>
      <c r="K1040">
        <v>806868</v>
      </c>
      <c r="L1040">
        <v>23067.74</v>
      </c>
      <c r="M1040">
        <v>2257.5700000000002</v>
      </c>
      <c r="N1040">
        <v>7129.71</v>
      </c>
      <c r="O1040">
        <v>839323.02</v>
      </c>
      <c r="P1040">
        <v>227016.98</v>
      </c>
      <c r="Q1040">
        <v>194561.96</v>
      </c>
      <c r="R1040" t="s">
        <v>65</v>
      </c>
      <c r="S1040">
        <v>1033884.98</v>
      </c>
      <c r="T1040">
        <v>0</v>
      </c>
      <c r="U1040" t="s">
        <v>73</v>
      </c>
      <c r="V1040" t="s">
        <v>16</v>
      </c>
      <c r="W1040" t="s">
        <v>74</v>
      </c>
      <c r="X1040" t="s">
        <v>93</v>
      </c>
      <c r="Y1040" t="s">
        <v>26</v>
      </c>
      <c r="Z1040">
        <v>0.4</v>
      </c>
      <c r="AA1040">
        <f t="shared" si="48"/>
        <v>194561.96</v>
      </c>
      <c r="AB1040">
        <f t="shared" si="49"/>
        <v>0.18818530471348949</v>
      </c>
      <c r="AC1040">
        <f t="shared" si="50"/>
        <v>0</v>
      </c>
      <c r="AD1040">
        <v>2025</v>
      </c>
      <c r="AE1040">
        <v>12</v>
      </c>
      <c r="AF1040" t="s">
        <v>98</v>
      </c>
      <c r="AG1040" t="s">
        <v>168</v>
      </c>
    </row>
    <row r="1041" spans="1:33">
      <c r="A1041" t="s">
        <v>1192</v>
      </c>
      <c r="B1041">
        <v>45799</v>
      </c>
      <c r="D1041" t="s">
        <v>21</v>
      </c>
      <c r="E1041">
        <v>200</v>
      </c>
      <c r="F1041">
        <v>889.65</v>
      </c>
      <c r="G1041">
        <v>1.53</v>
      </c>
      <c r="H1041">
        <v>175207.67</v>
      </c>
      <c r="I1041" t="s">
        <v>1728</v>
      </c>
      <c r="J1041">
        <v>688.55</v>
      </c>
      <c r="K1041">
        <v>137710</v>
      </c>
      <c r="L1041">
        <v>1632.76</v>
      </c>
      <c r="M1041">
        <v>738.81</v>
      </c>
      <c r="N1041">
        <v>10000.540000000001</v>
      </c>
      <c r="O1041">
        <v>150082.10999999999</v>
      </c>
      <c r="P1041">
        <v>37497.67</v>
      </c>
      <c r="Q1041">
        <v>25125.56</v>
      </c>
      <c r="R1041" t="s">
        <v>65</v>
      </c>
      <c r="S1041">
        <v>175207.67</v>
      </c>
      <c r="T1041">
        <v>0</v>
      </c>
      <c r="U1041" t="s">
        <v>91</v>
      </c>
      <c r="V1041" t="s">
        <v>12</v>
      </c>
      <c r="W1041" t="s">
        <v>80</v>
      </c>
      <c r="X1041" t="s">
        <v>224</v>
      </c>
      <c r="Y1041" t="s">
        <v>31</v>
      </c>
      <c r="Z1041">
        <v>0.91</v>
      </c>
      <c r="AA1041">
        <f t="shared" si="48"/>
        <v>25125.56</v>
      </c>
      <c r="AB1041">
        <f t="shared" si="49"/>
        <v>0.14340445255621515</v>
      </c>
      <c r="AC1041">
        <f t="shared" si="50"/>
        <v>0</v>
      </c>
      <c r="AD1041">
        <v>2025</v>
      </c>
      <c r="AE1041">
        <v>5</v>
      </c>
      <c r="AF1041" t="s">
        <v>76</v>
      </c>
      <c r="AG1041" t="s">
        <v>94</v>
      </c>
    </row>
    <row r="1042" spans="1:33">
      <c r="A1042" t="s">
        <v>1193</v>
      </c>
      <c r="B1042">
        <v>45858</v>
      </c>
      <c r="C1042">
        <v>45869</v>
      </c>
      <c r="D1042" t="s">
        <v>21</v>
      </c>
      <c r="E1042">
        <v>500</v>
      </c>
      <c r="F1042">
        <v>878.03</v>
      </c>
      <c r="G1042">
        <v>1.28</v>
      </c>
      <c r="H1042">
        <v>433395.61</v>
      </c>
      <c r="I1042" t="s">
        <v>1728</v>
      </c>
      <c r="J1042">
        <v>686.7</v>
      </c>
      <c r="K1042">
        <v>343350</v>
      </c>
      <c r="L1042">
        <v>4079.61</v>
      </c>
      <c r="M1042">
        <v>1130.23</v>
      </c>
      <c r="N1042">
        <v>2873.2</v>
      </c>
      <c r="O1042">
        <v>351433.04</v>
      </c>
      <c r="P1042">
        <v>90045.61</v>
      </c>
      <c r="Q1042">
        <v>81962.570000000007</v>
      </c>
      <c r="R1042" t="s">
        <v>85</v>
      </c>
      <c r="S1042">
        <v>174289.29</v>
      </c>
      <c r="T1042">
        <v>259106.32</v>
      </c>
      <c r="U1042" t="s">
        <v>66</v>
      </c>
      <c r="V1042" t="s">
        <v>14</v>
      </c>
      <c r="W1042" t="s">
        <v>67</v>
      </c>
      <c r="X1042" t="s">
        <v>375</v>
      </c>
      <c r="Y1042" t="s">
        <v>30</v>
      </c>
      <c r="Z1042">
        <v>1.39</v>
      </c>
      <c r="AA1042">
        <f t="shared" si="48"/>
        <v>81962.570000000007</v>
      </c>
      <c r="AB1042">
        <f t="shared" si="49"/>
        <v>0.18911721325465206</v>
      </c>
      <c r="AC1042">
        <f t="shared" si="50"/>
        <v>0</v>
      </c>
      <c r="AD1042">
        <v>2025</v>
      </c>
      <c r="AE1042">
        <v>7</v>
      </c>
      <c r="AF1042" t="s">
        <v>69</v>
      </c>
      <c r="AG1042" t="s">
        <v>151</v>
      </c>
    </row>
    <row r="1043" spans="1:33">
      <c r="A1043" t="s">
        <v>1194</v>
      </c>
      <c r="B1043">
        <v>45871</v>
      </c>
      <c r="C1043">
        <v>45876</v>
      </c>
      <c r="D1043" t="s">
        <v>21</v>
      </c>
      <c r="E1043">
        <v>1000</v>
      </c>
      <c r="F1043">
        <v>907.55</v>
      </c>
      <c r="G1043">
        <v>3.15</v>
      </c>
      <c r="H1043">
        <v>878962.18</v>
      </c>
      <c r="I1043" t="s">
        <v>1726</v>
      </c>
      <c r="J1043">
        <v>685.04</v>
      </c>
      <c r="K1043">
        <v>685040</v>
      </c>
      <c r="L1043">
        <v>7372.18</v>
      </c>
      <c r="M1043">
        <v>3266.63</v>
      </c>
      <c r="N1043">
        <v>10327.48</v>
      </c>
      <c r="O1043">
        <v>706006.29</v>
      </c>
      <c r="P1043">
        <v>193922.18</v>
      </c>
      <c r="Q1043">
        <v>172955.89</v>
      </c>
      <c r="R1043" t="s">
        <v>85</v>
      </c>
      <c r="S1043">
        <v>733234.94</v>
      </c>
      <c r="T1043">
        <v>145727.24</v>
      </c>
      <c r="U1043" t="s">
        <v>66</v>
      </c>
      <c r="V1043" t="s">
        <v>16</v>
      </c>
      <c r="W1043" t="s">
        <v>74</v>
      </c>
      <c r="X1043" t="s">
        <v>123</v>
      </c>
      <c r="Y1043" t="s">
        <v>22</v>
      </c>
      <c r="Z1043">
        <v>1.83</v>
      </c>
      <c r="AA1043">
        <f t="shared" si="48"/>
        <v>172955.89</v>
      </c>
      <c r="AB1043">
        <f t="shared" si="49"/>
        <v>0.19677284635841782</v>
      </c>
      <c r="AC1043">
        <f t="shared" si="50"/>
        <v>0</v>
      </c>
      <c r="AD1043">
        <v>2025</v>
      </c>
      <c r="AE1043">
        <v>8</v>
      </c>
      <c r="AF1043" t="s">
        <v>82</v>
      </c>
      <c r="AG1043" t="s">
        <v>87</v>
      </c>
    </row>
    <row r="1044" spans="1:33">
      <c r="A1044" t="s">
        <v>1195</v>
      </c>
      <c r="B1044">
        <v>45696</v>
      </c>
      <c r="C1044">
        <v>45709</v>
      </c>
      <c r="D1044" t="s">
        <v>29</v>
      </c>
      <c r="E1044">
        <v>200</v>
      </c>
      <c r="F1044">
        <v>2767.96</v>
      </c>
      <c r="G1044">
        <v>1.28</v>
      </c>
      <c r="H1044">
        <v>546506.02</v>
      </c>
      <c r="I1044" t="s">
        <v>1726</v>
      </c>
      <c r="J1044">
        <v>2398.81</v>
      </c>
      <c r="K1044">
        <v>479762</v>
      </c>
      <c r="L1044">
        <v>2532.9699999999998</v>
      </c>
      <c r="M1044">
        <v>499.83</v>
      </c>
      <c r="N1044">
        <v>854.37</v>
      </c>
      <c r="O1044">
        <v>483649.17</v>
      </c>
      <c r="P1044">
        <v>66744.02</v>
      </c>
      <c r="Q1044">
        <v>62856.85</v>
      </c>
      <c r="R1044" t="s">
        <v>85</v>
      </c>
      <c r="S1044">
        <v>143639.79</v>
      </c>
      <c r="T1044">
        <v>402866.23</v>
      </c>
      <c r="U1044" t="s">
        <v>73</v>
      </c>
      <c r="V1044" t="s">
        <v>6</v>
      </c>
      <c r="W1044" t="s">
        <v>92</v>
      </c>
      <c r="X1044" t="s">
        <v>127</v>
      </c>
      <c r="Y1044" t="s">
        <v>22</v>
      </c>
      <c r="Z1044">
        <v>1.05</v>
      </c>
      <c r="AA1044">
        <f t="shared" si="48"/>
        <v>62856.85</v>
      </c>
      <c r="AB1044">
        <f t="shared" si="49"/>
        <v>0.1150158419114944</v>
      </c>
      <c r="AC1044">
        <f t="shared" si="50"/>
        <v>0</v>
      </c>
      <c r="AD1044">
        <v>2025</v>
      </c>
      <c r="AE1044">
        <v>2</v>
      </c>
      <c r="AF1044" t="s">
        <v>172</v>
      </c>
      <c r="AG1044" t="s">
        <v>244</v>
      </c>
    </row>
    <row r="1045" spans="1:33">
      <c r="A1045" t="s">
        <v>1196</v>
      </c>
      <c r="B1045">
        <v>45711</v>
      </c>
      <c r="C1045">
        <v>45712</v>
      </c>
      <c r="D1045" t="s">
        <v>23</v>
      </c>
      <c r="E1045">
        <v>300</v>
      </c>
      <c r="F1045">
        <v>1179.45</v>
      </c>
      <c r="G1045">
        <v>1.1100000000000001</v>
      </c>
      <c r="H1045">
        <v>349907.43</v>
      </c>
      <c r="I1045" t="s">
        <v>1726</v>
      </c>
      <c r="J1045">
        <v>984.23</v>
      </c>
      <c r="K1045">
        <v>295269</v>
      </c>
      <c r="L1045">
        <v>1734.94</v>
      </c>
      <c r="M1045">
        <v>1707.67</v>
      </c>
      <c r="N1045">
        <v>5888.6</v>
      </c>
      <c r="O1045">
        <v>304600.21000000002</v>
      </c>
      <c r="P1045">
        <v>54638.43</v>
      </c>
      <c r="Q1045">
        <v>45307.22</v>
      </c>
      <c r="R1045" t="s">
        <v>65</v>
      </c>
      <c r="S1045">
        <v>349907.43</v>
      </c>
      <c r="T1045">
        <v>0</v>
      </c>
      <c r="U1045" t="s">
        <v>66</v>
      </c>
      <c r="V1045" t="s">
        <v>6</v>
      </c>
      <c r="W1045" t="s">
        <v>74</v>
      </c>
      <c r="X1045" t="s">
        <v>75</v>
      </c>
      <c r="Y1045" t="s">
        <v>28</v>
      </c>
      <c r="Z1045">
        <v>1.78</v>
      </c>
      <c r="AA1045">
        <f t="shared" si="48"/>
        <v>45307.22</v>
      </c>
      <c r="AB1045">
        <f t="shared" si="49"/>
        <v>0.12948344652184152</v>
      </c>
      <c r="AC1045">
        <f t="shared" si="50"/>
        <v>0</v>
      </c>
      <c r="AD1045">
        <v>2025</v>
      </c>
      <c r="AE1045">
        <v>2</v>
      </c>
      <c r="AF1045" t="s">
        <v>172</v>
      </c>
      <c r="AG1045" t="s">
        <v>244</v>
      </c>
    </row>
    <row r="1046" spans="1:33">
      <c r="A1046" t="s">
        <v>1197</v>
      </c>
      <c r="B1046">
        <v>45563</v>
      </c>
      <c r="C1046">
        <v>45575</v>
      </c>
      <c r="D1046" t="s">
        <v>25</v>
      </c>
      <c r="E1046">
        <v>500</v>
      </c>
      <c r="F1046">
        <v>1005.92</v>
      </c>
      <c r="G1046">
        <v>4.88</v>
      </c>
      <c r="H1046">
        <v>478415.55</v>
      </c>
      <c r="I1046" t="s">
        <v>1726</v>
      </c>
      <c r="J1046">
        <v>823.33</v>
      </c>
      <c r="K1046">
        <v>411665</v>
      </c>
      <c r="L1046">
        <v>5362.15</v>
      </c>
      <c r="M1046">
        <v>760.86</v>
      </c>
      <c r="N1046">
        <v>8986.33</v>
      </c>
      <c r="O1046">
        <v>426774.34</v>
      </c>
      <c r="P1046">
        <v>66750.55</v>
      </c>
      <c r="Q1046">
        <v>51641.21</v>
      </c>
      <c r="R1046" t="s">
        <v>65</v>
      </c>
      <c r="S1046">
        <v>478415.55</v>
      </c>
      <c r="T1046">
        <v>0</v>
      </c>
      <c r="U1046" t="s">
        <v>66</v>
      </c>
      <c r="V1046" t="s">
        <v>12</v>
      </c>
      <c r="W1046" t="s">
        <v>80</v>
      </c>
      <c r="X1046" t="s">
        <v>101</v>
      </c>
      <c r="Y1046" t="s">
        <v>22</v>
      </c>
      <c r="Z1046">
        <v>1.59</v>
      </c>
      <c r="AA1046">
        <f t="shared" si="48"/>
        <v>51641.21</v>
      </c>
      <c r="AB1046">
        <f t="shared" si="49"/>
        <v>0.10794216450531342</v>
      </c>
      <c r="AC1046">
        <f t="shared" si="50"/>
        <v>0</v>
      </c>
      <c r="AD1046">
        <v>2024</v>
      </c>
      <c r="AE1046">
        <v>9</v>
      </c>
      <c r="AF1046" t="s">
        <v>131</v>
      </c>
      <c r="AG1046" t="s">
        <v>188</v>
      </c>
    </row>
    <row r="1047" spans="1:33">
      <c r="A1047" t="s">
        <v>1198</v>
      </c>
      <c r="B1047">
        <v>45287</v>
      </c>
      <c r="C1047">
        <v>45293</v>
      </c>
      <c r="D1047" t="s">
        <v>23</v>
      </c>
      <c r="E1047">
        <v>100</v>
      </c>
      <c r="F1047">
        <v>1332.56</v>
      </c>
      <c r="G1047">
        <v>1.59</v>
      </c>
      <c r="H1047">
        <v>131137.23000000001</v>
      </c>
      <c r="I1047" t="s">
        <v>1729</v>
      </c>
      <c r="J1047">
        <v>990.69</v>
      </c>
      <c r="K1047">
        <v>99069</v>
      </c>
      <c r="L1047">
        <v>966.2</v>
      </c>
      <c r="M1047">
        <v>267.92</v>
      </c>
      <c r="N1047">
        <v>2631.32</v>
      </c>
      <c r="O1047">
        <v>102934.44</v>
      </c>
      <c r="P1047">
        <v>32068.23</v>
      </c>
      <c r="Q1047">
        <v>28202.79</v>
      </c>
      <c r="R1047" t="s">
        <v>65</v>
      </c>
      <c r="S1047">
        <v>131137.23000000001</v>
      </c>
      <c r="T1047">
        <v>0</v>
      </c>
      <c r="U1047" t="s">
        <v>66</v>
      </c>
      <c r="V1047" t="s">
        <v>14</v>
      </c>
      <c r="W1047" t="s">
        <v>67</v>
      </c>
      <c r="X1047" t="s">
        <v>150</v>
      </c>
      <c r="Y1047" t="s">
        <v>30</v>
      </c>
      <c r="Z1047">
        <v>1.32</v>
      </c>
      <c r="AA1047">
        <f t="shared" si="48"/>
        <v>28202.79</v>
      </c>
      <c r="AB1047">
        <f t="shared" si="49"/>
        <v>0.21506318228622032</v>
      </c>
      <c r="AC1047">
        <f t="shared" si="50"/>
        <v>0</v>
      </c>
      <c r="AD1047">
        <v>2023</v>
      </c>
      <c r="AE1047">
        <v>12</v>
      </c>
      <c r="AF1047" t="s">
        <v>98</v>
      </c>
      <c r="AG1047" t="s">
        <v>232</v>
      </c>
    </row>
    <row r="1048" spans="1:33">
      <c r="A1048" t="s">
        <v>1199</v>
      </c>
      <c r="B1048">
        <v>45911</v>
      </c>
      <c r="C1048">
        <v>45921</v>
      </c>
      <c r="D1048" t="s">
        <v>21</v>
      </c>
      <c r="E1048">
        <v>200</v>
      </c>
      <c r="F1048">
        <v>873.26</v>
      </c>
      <c r="G1048">
        <v>2.4300000000000002</v>
      </c>
      <c r="H1048">
        <v>170407.96</v>
      </c>
      <c r="I1048" t="s">
        <v>1726</v>
      </c>
      <c r="J1048">
        <v>704.07</v>
      </c>
      <c r="K1048">
        <v>140814</v>
      </c>
      <c r="L1048">
        <v>2129.9499999999998</v>
      </c>
      <c r="M1048">
        <v>991.25</v>
      </c>
      <c r="N1048">
        <v>7686.71</v>
      </c>
      <c r="O1048">
        <v>151621.91</v>
      </c>
      <c r="P1048">
        <v>29593.96</v>
      </c>
      <c r="Q1048">
        <v>18786.05</v>
      </c>
      <c r="R1048" t="s">
        <v>65</v>
      </c>
      <c r="S1048">
        <v>170407.96</v>
      </c>
      <c r="T1048">
        <v>0</v>
      </c>
      <c r="U1048" t="s">
        <v>73</v>
      </c>
      <c r="V1048" t="s">
        <v>14</v>
      </c>
      <c r="W1048" t="s">
        <v>74</v>
      </c>
      <c r="X1048" t="s">
        <v>327</v>
      </c>
      <c r="Y1048" t="s">
        <v>26</v>
      </c>
      <c r="Z1048">
        <v>0.87</v>
      </c>
      <c r="AA1048">
        <f t="shared" si="48"/>
        <v>18786.05</v>
      </c>
      <c r="AB1048">
        <f t="shared" si="49"/>
        <v>0.11024162251575573</v>
      </c>
      <c r="AC1048">
        <f t="shared" si="50"/>
        <v>0</v>
      </c>
      <c r="AD1048">
        <v>2025</v>
      </c>
      <c r="AE1048">
        <v>9</v>
      </c>
      <c r="AF1048" t="s">
        <v>131</v>
      </c>
      <c r="AG1048" t="s">
        <v>132</v>
      </c>
    </row>
    <row r="1049" spans="1:33">
      <c r="A1049" t="s">
        <v>1200</v>
      </c>
      <c r="B1049">
        <v>45708</v>
      </c>
      <c r="C1049">
        <v>45711</v>
      </c>
      <c r="D1049" t="s">
        <v>21</v>
      </c>
      <c r="E1049">
        <v>1000</v>
      </c>
      <c r="F1049">
        <v>841.15</v>
      </c>
      <c r="G1049">
        <v>0.8</v>
      </c>
      <c r="H1049">
        <v>834420.8</v>
      </c>
      <c r="I1049" t="s">
        <v>1728</v>
      </c>
      <c r="J1049">
        <v>684.56</v>
      </c>
      <c r="K1049">
        <v>684560</v>
      </c>
      <c r="L1049">
        <v>19909.849999999999</v>
      </c>
      <c r="M1049">
        <v>1684.01</v>
      </c>
      <c r="N1049">
        <v>5391.59</v>
      </c>
      <c r="O1049">
        <v>711545.45</v>
      </c>
      <c r="P1049">
        <v>149860.79999999999</v>
      </c>
      <c r="Q1049">
        <v>122875.35</v>
      </c>
      <c r="R1049" t="s">
        <v>65</v>
      </c>
      <c r="S1049">
        <v>834420.8</v>
      </c>
      <c r="T1049">
        <v>0</v>
      </c>
      <c r="U1049" t="s">
        <v>66</v>
      </c>
      <c r="V1049" t="s">
        <v>6</v>
      </c>
      <c r="W1049" t="s">
        <v>141</v>
      </c>
      <c r="X1049" t="s">
        <v>86</v>
      </c>
      <c r="Y1049" t="s">
        <v>30</v>
      </c>
      <c r="Z1049">
        <v>0.67</v>
      </c>
      <c r="AA1049">
        <f t="shared" si="48"/>
        <v>122875.35</v>
      </c>
      <c r="AB1049">
        <f t="shared" si="49"/>
        <v>0.14725825386903107</v>
      </c>
      <c r="AC1049">
        <f t="shared" si="50"/>
        <v>0</v>
      </c>
      <c r="AD1049">
        <v>2025</v>
      </c>
      <c r="AE1049">
        <v>2</v>
      </c>
      <c r="AF1049" t="s">
        <v>172</v>
      </c>
      <c r="AG1049" t="s">
        <v>244</v>
      </c>
    </row>
    <row r="1050" spans="1:33">
      <c r="A1050" t="s">
        <v>1201</v>
      </c>
      <c r="B1050">
        <v>45352</v>
      </c>
      <c r="C1050">
        <v>45361</v>
      </c>
      <c r="D1050" t="s">
        <v>21</v>
      </c>
      <c r="E1050">
        <v>150</v>
      </c>
      <c r="F1050">
        <v>831.69</v>
      </c>
      <c r="G1050">
        <v>0.92</v>
      </c>
      <c r="H1050">
        <v>123605.77</v>
      </c>
      <c r="I1050" t="s">
        <v>1726</v>
      </c>
      <c r="J1050">
        <v>739.46</v>
      </c>
      <c r="K1050">
        <v>110919</v>
      </c>
      <c r="L1050">
        <v>2713.2</v>
      </c>
      <c r="M1050">
        <v>685.33</v>
      </c>
      <c r="N1050">
        <v>9902.27</v>
      </c>
      <c r="O1050">
        <v>124219.8</v>
      </c>
      <c r="P1050">
        <v>12686.77</v>
      </c>
      <c r="Q1050">
        <v>-614.03</v>
      </c>
      <c r="R1050" t="s">
        <v>65</v>
      </c>
      <c r="S1050">
        <v>123605.77</v>
      </c>
      <c r="T1050">
        <v>0</v>
      </c>
      <c r="U1050" t="s">
        <v>73</v>
      </c>
      <c r="V1050" t="s">
        <v>8</v>
      </c>
      <c r="W1050" t="s">
        <v>80</v>
      </c>
      <c r="X1050" t="s">
        <v>147</v>
      </c>
      <c r="Y1050" t="s">
        <v>28</v>
      </c>
      <c r="Z1050">
        <v>1.22</v>
      </c>
      <c r="AA1050">
        <f t="shared" si="48"/>
        <v>-614.03</v>
      </c>
      <c r="AB1050">
        <f t="shared" si="49"/>
        <v>-4.9676483549271197E-3</v>
      </c>
      <c r="AC1050">
        <f t="shared" si="50"/>
        <v>0</v>
      </c>
      <c r="AD1050">
        <v>2024</v>
      </c>
      <c r="AE1050">
        <v>3</v>
      </c>
      <c r="AF1050" t="s">
        <v>105</v>
      </c>
      <c r="AG1050" t="s">
        <v>120</v>
      </c>
    </row>
    <row r="1051" spans="1:33">
      <c r="A1051" t="s">
        <v>1202</v>
      </c>
      <c r="B1051">
        <v>45385</v>
      </c>
      <c r="C1051">
        <v>45387</v>
      </c>
      <c r="D1051" t="s">
        <v>23</v>
      </c>
      <c r="E1051">
        <v>150</v>
      </c>
      <c r="F1051">
        <v>1335.01</v>
      </c>
      <c r="G1051">
        <v>2.48</v>
      </c>
      <c r="H1051">
        <v>195285.26</v>
      </c>
      <c r="I1051" t="s">
        <v>1728</v>
      </c>
      <c r="J1051">
        <v>1009.25</v>
      </c>
      <c r="K1051">
        <v>151387.5</v>
      </c>
      <c r="L1051">
        <v>1612.12</v>
      </c>
      <c r="M1051">
        <v>511.64</v>
      </c>
      <c r="N1051">
        <v>11752.12</v>
      </c>
      <c r="O1051">
        <v>165263.38</v>
      </c>
      <c r="P1051">
        <v>43897.760000000002</v>
      </c>
      <c r="Q1051">
        <v>30021.88</v>
      </c>
      <c r="R1051" t="s">
        <v>65</v>
      </c>
      <c r="S1051">
        <v>195285.26</v>
      </c>
      <c r="T1051">
        <v>0</v>
      </c>
      <c r="U1051" t="s">
        <v>66</v>
      </c>
      <c r="V1051" t="s">
        <v>12</v>
      </c>
      <c r="W1051" t="s">
        <v>67</v>
      </c>
      <c r="X1051" t="s">
        <v>127</v>
      </c>
      <c r="Y1051" t="s">
        <v>22</v>
      </c>
      <c r="Z1051">
        <v>2.48</v>
      </c>
      <c r="AA1051">
        <f t="shared" si="48"/>
        <v>30021.88</v>
      </c>
      <c r="AB1051">
        <f t="shared" si="49"/>
        <v>0.15373346662210963</v>
      </c>
      <c r="AC1051">
        <f t="shared" si="50"/>
        <v>0</v>
      </c>
      <c r="AD1051">
        <v>2024</v>
      </c>
      <c r="AE1051">
        <v>4</v>
      </c>
      <c r="AF1051" t="s">
        <v>154</v>
      </c>
      <c r="AG1051" t="s">
        <v>157</v>
      </c>
    </row>
    <row r="1052" spans="1:33">
      <c r="A1052" t="s">
        <v>1203</v>
      </c>
      <c r="B1052">
        <v>45416</v>
      </c>
      <c r="C1052">
        <v>45427</v>
      </c>
      <c r="D1052" t="s">
        <v>23</v>
      </c>
      <c r="E1052">
        <v>150</v>
      </c>
      <c r="F1052">
        <v>1309.7</v>
      </c>
      <c r="G1052">
        <v>0.95</v>
      </c>
      <c r="H1052">
        <v>194588.68</v>
      </c>
      <c r="I1052" t="s">
        <v>1726</v>
      </c>
      <c r="J1052">
        <v>992.44</v>
      </c>
      <c r="K1052">
        <v>148866</v>
      </c>
      <c r="L1052">
        <v>1885.75</v>
      </c>
      <c r="M1052">
        <v>690.56</v>
      </c>
      <c r="N1052">
        <v>3965.81</v>
      </c>
      <c r="O1052">
        <v>155408.12</v>
      </c>
      <c r="P1052">
        <v>45722.68</v>
      </c>
      <c r="Q1052">
        <v>39180.559999999998</v>
      </c>
      <c r="R1052" t="s">
        <v>134</v>
      </c>
      <c r="S1052">
        <v>0</v>
      </c>
      <c r="T1052">
        <v>194588.68</v>
      </c>
      <c r="U1052" t="s">
        <v>73</v>
      </c>
      <c r="V1052" t="s">
        <v>10</v>
      </c>
      <c r="W1052" t="s">
        <v>67</v>
      </c>
      <c r="X1052" t="s">
        <v>205</v>
      </c>
      <c r="Y1052" t="s">
        <v>24</v>
      </c>
      <c r="Z1052">
        <v>1.39</v>
      </c>
      <c r="AA1052">
        <f t="shared" si="48"/>
        <v>39180.559999999998</v>
      </c>
      <c r="AB1052">
        <f t="shared" si="49"/>
        <v>0.20135066438602697</v>
      </c>
      <c r="AC1052">
        <f t="shared" si="50"/>
        <v>0</v>
      </c>
      <c r="AD1052">
        <v>2024</v>
      </c>
      <c r="AE1052">
        <v>5</v>
      </c>
      <c r="AF1052" t="s">
        <v>76</v>
      </c>
      <c r="AG1052" t="s">
        <v>77</v>
      </c>
    </row>
    <row r="1053" spans="1:33">
      <c r="A1053" t="s">
        <v>1204</v>
      </c>
      <c r="B1053">
        <v>45808</v>
      </c>
      <c r="C1053">
        <v>45808</v>
      </c>
      <c r="D1053" t="s">
        <v>23</v>
      </c>
      <c r="E1053">
        <v>500</v>
      </c>
      <c r="F1053">
        <v>1271.1500000000001</v>
      </c>
      <c r="G1053">
        <v>1.41</v>
      </c>
      <c r="H1053">
        <v>626613.39</v>
      </c>
      <c r="I1053" t="s">
        <v>1726</v>
      </c>
      <c r="J1053">
        <v>971.91</v>
      </c>
      <c r="K1053">
        <v>485955</v>
      </c>
      <c r="L1053">
        <v>3495.13</v>
      </c>
      <c r="M1053">
        <v>1926.14</v>
      </c>
      <c r="N1053">
        <v>6667.78</v>
      </c>
      <c r="O1053">
        <v>498044.05</v>
      </c>
      <c r="P1053">
        <v>140658.39000000001</v>
      </c>
      <c r="Q1053">
        <v>128569.34</v>
      </c>
      <c r="R1053" t="s">
        <v>65</v>
      </c>
      <c r="S1053">
        <v>626613.39</v>
      </c>
      <c r="T1053">
        <v>0</v>
      </c>
      <c r="U1053" t="s">
        <v>73</v>
      </c>
      <c r="V1053" t="s">
        <v>14</v>
      </c>
      <c r="W1053" t="s">
        <v>92</v>
      </c>
      <c r="X1053" t="s">
        <v>110</v>
      </c>
      <c r="Y1053" t="s">
        <v>28</v>
      </c>
      <c r="Z1053">
        <v>1.25</v>
      </c>
      <c r="AA1053">
        <f t="shared" si="48"/>
        <v>128569.34</v>
      </c>
      <c r="AB1053">
        <f t="shared" si="49"/>
        <v>0.20518128410885059</v>
      </c>
      <c r="AC1053">
        <f t="shared" si="50"/>
        <v>0</v>
      </c>
      <c r="AD1053">
        <v>2025</v>
      </c>
      <c r="AE1053">
        <v>5</v>
      </c>
      <c r="AF1053" t="s">
        <v>76</v>
      </c>
      <c r="AG1053" t="s">
        <v>94</v>
      </c>
    </row>
    <row r="1054" spans="1:33">
      <c r="A1054" t="s">
        <v>1205</v>
      </c>
      <c r="B1054">
        <v>45477</v>
      </c>
      <c r="C1054">
        <v>45477</v>
      </c>
      <c r="D1054" t="s">
        <v>27</v>
      </c>
      <c r="E1054">
        <v>250</v>
      </c>
      <c r="F1054">
        <v>656.24</v>
      </c>
      <c r="G1054">
        <v>0.51</v>
      </c>
      <c r="H1054">
        <v>163223.29</v>
      </c>
      <c r="I1054" t="s">
        <v>1728</v>
      </c>
      <c r="J1054">
        <v>542.78</v>
      </c>
      <c r="K1054">
        <v>135695</v>
      </c>
      <c r="L1054">
        <v>2646.6</v>
      </c>
      <c r="M1054">
        <v>1364.22</v>
      </c>
      <c r="N1054">
        <v>5118.68</v>
      </c>
      <c r="O1054">
        <v>144824.5</v>
      </c>
      <c r="P1054">
        <v>27528.29</v>
      </c>
      <c r="Q1054">
        <v>18398.79</v>
      </c>
      <c r="R1054" t="s">
        <v>85</v>
      </c>
      <c r="S1054">
        <v>118454.7</v>
      </c>
      <c r="T1054">
        <v>44768.59</v>
      </c>
      <c r="U1054" t="s">
        <v>66</v>
      </c>
      <c r="V1054" t="s">
        <v>16</v>
      </c>
      <c r="W1054" t="s">
        <v>74</v>
      </c>
      <c r="X1054" t="s">
        <v>75</v>
      </c>
      <c r="Y1054" t="s">
        <v>28</v>
      </c>
      <c r="Z1054">
        <v>0.48</v>
      </c>
      <c r="AA1054">
        <f t="shared" si="48"/>
        <v>18398.79</v>
      </c>
      <c r="AB1054">
        <f t="shared" si="49"/>
        <v>0.11272159751221777</v>
      </c>
      <c r="AC1054">
        <f t="shared" si="50"/>
        <v>0</v>
      </c>
      <c r="AD1054">
        <v>2024</v>
      </c>
      <c r="AE1054">
        <v>7</v>
      </c>
      <c r="AF1054" t="s">
        <v>69</v>
      </c>
      <c r="AG1054" t="s">
        <v>70</v>
      </c>
    </row>
    <row r="1055" spans="1:33">
      <c r="A1055" t="s">
        <v>1206</v>
      </c>
      <c r="B1055">
        <v>45825</v>
      </c>
      <c r="D1055" t="s">
        <v>21</v>
      </c>
      <c r="E1055">
        <v>150</v>
      </c>
      <c r="F1055">
        <v>913.75</v>
      </c>
      <c r="G1055">
        <v>2.27</v>
      </c>
      <c r="H1055">
        <v>133951.18</v>
      </c>
      <c r="I1055" t="s">
        <v>1729</v>
      </c>
      <c r="J1055">
        <v>690.31</v>
      </c>
      <c r="K1055">
        <v>103546.5</v>
      </c>
      <c r="L1055">
        <v>877.87</v>
      </c>
      <c r="M1055">
        <v>364.45</v>
      </c>
      <c r="N1055">
        <v>7772.42</v>
      </c>
      <c r="O1055">
        <v>112561.24</v>
      </c>
      <c r="P1055">
        <v>30404.68</v>
      </c>
      <c r="Q1055">
        <v>21389.94</v>
      </c>
      <c r="R1055" t="s">
        <v>65</v>
      </c>
      <c r="S1055">
        <v>133951.18</v>
      </c>
      <c r="T1055">
        <v>0</v>
      </c>
      <c r="U1055" t="s">
        <v>91</v>
      </c>
      <c r="V1055" t="s">
        <v>6</v>
      </c>
      <c r="W1055" t="s">
        <v>67</v>
      </c>
      <c r="X1055" t="s">
        <v>125</v>
      </c>
      <c r="Y1055" t="s">
        <v>24</v>
      </c>
      <c r="Z1055">
        <v>2.48</v>
      </c>
      <c r="AA1055">
        <f t="shared" si="48"/>
        <v>21389.94</v>
      </c>
      <c r="AB1055">
        <f t="shared" si="49"/>
        <v>0.15968459553697101</v>
      </c>
      <c r="AC1055">
        <f t="shared" si="50"/>
        <v>0</v>
      </c>
      <c r="AD1055">
        <v>2025</v>
      </c>
      <c r="AE1055">
        <v>6</v>
      </c>
      <c r="AF1055" t="s">
        <v>111</v>
      </c>
      <c r="AG1055" t="s">
        <v>112</v>
      </c>
    </row>
    <row r="1056" spans="1:33">
      <c r="A1056" t="s">
        <v>1207</v>
      </c>
      <c r="B1056">
        <v>45292</v>
      </c>
      <c r="C1056">
        <v>45304</v>
      </c>
      <c r="D1056" t="s">
        <v>29</v>
      </c>
      <c r="E1056">
        <v>50</v>
      </c>
      <c r="F1056">
        <v>2839.73</v>
      </c>
      <c r="G1056">
        <v>0.4</v>
      </c>
      <c r="H1056">
        <v>141418.54999999999</v>
      </c>
      <c r="I1056" t="s">
        <v>1727</v>
      </c>
      <c r="J1056">
        <v>2228.23</v>
      </c>
      <c r="K1056">
        <v>111411.5</v>
      </c>
      <c r="L1056">
        <v>1063.8699999999999</v>
      </c>
      <c r="M1056">
        <v>153.09</v>
      </c>
      <c r="N1056">
        <v>3099.65</v>
      </c>
      <c r="O1056">
        <v>115728.11</v>
      </c>
      <c r="P1056">
        <v>30007.05</v>
      </c>
      <c r="Q1056">
        <v>25690.44</v>
      </c>
      <c r="R1056" t="s">
        <v>65</v>
      </c>
      <c r="S1056">
        <v>141418.54999999999</v>
      </c>
      <c r="T1056">
        <v>0</v>
      </c>
      <c r="U1056" t="s">
        <v>66</v>
      </c>
      <c r="V1056" t="s">
        <v>14</v>
      </c>
      <c r="W1056" t="s">
        <v>80</v>
      </c>
      <c r="X1056" t="s">
        <v>195</v>
      </c>
      <c r="Y1056" t="s">
        <v>26</v>
      </c>
      <c r="Z1056">
        <v>0.69</v>
      </c>
      <c r="AA1056">
        <f t="shared" si="48"/>
        <v>25690.44</v>
      </c>
      <c r="AB1056">
        <f t="shared" si="49"/>
        <v>0.18166244810175186</v>
      </c>
      <c r="AC1056">
        <f t="shared" si="50"/>
        <v>0</v>
      </c>
      <c r="AD1056">
        <v>2024</v>
      </c>
      <c r="AE1056">
        <v>1</v>
      </c>
      <c r="AF1056" t="s">
        <v>102</v>
      </c>
      <c r="AG1056" t="s">
        <v>103</v>
      </c>
    </row>
    <row r="1057" spans="1:33">
      <c r="A1057" t="s">
        <v>1208</v>
      </c>
      <c r="B1057">
        <v>45893</v>
      </c>
      <c r="C1057">
        <v>45893</v>
      </c>
      <c r="D1057" t="s">
        <v>21</v>
      </c>
      <c r="E1057">
        <v>150</v>
      </c>
      <c r="F1057">
        <v>847.99</v>
      </c>
      <c r="G1057">
        <v>0.13</v>
      </c>
      <c r="H1057">
        <v>127033.14</v>
      </c>
      <c r="I1057" t="s">
        <v>1729</v>
      </c>
      <c r="J1057">
        <v>692.78</v>
      </c>
      <c r="K1057">
        <v>103917</v>
      </c>
      <c r="L1057">
        <v>1476.76</v>
      </c>
      <c r="M1057">
        <v>275.45999999999998</v>
      </c>
      <c r="N1057">
        <v>10233.84</v>
      </c>
      <c r="O1057">
        <v>115903.06</v>
      </c>
      <c r="P1057">
        <v>23116.14</v>
      </c>
      <c r="Q1057">
        <v>11130.08</v>
      </c>
      <c r="R1057" t="s">
        <v>65</v>
      </c>
      <c r="S1057">
        <v>127033.14</v>
      </c>
      <c r="T1057">
        <v>0</v>
      </c>
      <c r="U1057" t="s">
        <v>73</v>
      </c>
      <c r="V1057" t="s">
        <v>12</v>
      </c>
      <c r="W1057" t="s">
        <v>80</v>
      </c>
      <c r="X1057" t="s">
        <v>123</v>
      </c>
      <c r="Y1057" t="s">
        <v>22</v>
      </c>
      <c r="Z1057">
        <v>2.33</v>
      </c>
      <c r="AA1057">
        <f t="shared" si="48"/>
        <v>11130.08</v>
      </c>
      <c r="AB1057">
        <f t="shared" si="49"/>
        <v>8.7615562364277547E-2</v>
      </c>
      <c r="AC1057">
        <f t="shared" si="50"/>
        <v>0</v>
      </c>
      <c r="AD1057">
        <v>2025</v>
      </c>
      <c r="AE1057">
        <v>8</v>
      </c>
      <c r="AF1057" t="s">
        <v>82</v>
      </c>
      <c r="AG1057" t="s">
        <v>87</v>
      </c>
    </row>
    <row r="1058" spans="1:33">
      <c r="A1058" t="s">
        <v>1209</v>
      </c>
      <c r="B1058">
        <v>45498</v>
      </c>
      <c r="C1058">
        <v>45507</v>
      </c>
      <c r="D1058" t="s">
        <v>21</v>
      </c>
      <c r="E1058">
        <v>500</v>
      </c>
      <c r="F1058">
        <v>829.75</v>
      </c>
      <c r="G1058">
        <v>2.61</v>
      </c>
      <c r="H1058">
        <v>404046.76</v>
      </c>
      <c r="I1058" t="s">
        <v>1726</v>
      </c>
      <c r="J1058">
        <v>707.89</v>
      </c>
      <c r="K1058">
        <v>353945</v>
      </c>
      <c r="L1058">
        <v>4897.22</v>
      </c>
      <c r="M1058">
        <v>2463.5300000000002</v>
      </c>
      <c r="N1058">
        <v>11700.36</v>
      </c>
      <c r="O1058">
        <v>373006.11</v>
      </c>
      <c r="P1058">
        <v>50101.760000000002</v>
      </c>
      <c r="Q1058">
        <v>31040.65</v>
      </c>
      <c r="R1058" t="s">
        <v>85</v>
      </c>
      <c r="S1058">
        <v>315556.57</v>
      </c>
      <c r="T1058">
        <v>88490.19</v>
      </c>
      <c r="U1058" t="s">
        <v>66</v>
      </c>
      <c r="V1058" t="s">
        <v>10</v>
      </c>
      <c r="W1058" t="s">
        <v>80</v>
      </c>
      <c r="X1058" t="s">
        <v>81</v>
      </c>
      <c r="Y1058" t="s">
        <v>24</v>
      </c>
      <c r="Z1058">
        <v>2.36</v>
      </c>
      <c r="AA1058">
        <f t="shared" si="48"/>
        <v>31040.65</v>
      </c>
      <c r="AB1058">
        <f t="shared" si="49"/>
        <v>7.6824400225360051E-2</v>
      </c>
      <c r="AC1058">
        <f t="shared" si="50"/>
        <v>0</v>
      </c>
      <c r="AD1058">
        <v>2024</v>
      </c>
      <c r="AE1058">
        <v>7</v>
      </c>
      <c r="AF1058" t="s">
        <v>69</v>
      </c>
      <c r="AG1058" t="s">
        <v>70</v>
      </c>
    </row>
    <row r="1059" spans="1:33">
      <c r="A1059" t="s">
        <v>1210</v>
      </c>
      <c r="B1059">
        <v>45752</v>
      </c>
      <c r="C1059">
        <v>45761</v>
      </c>
      <c r="D1059" t="s">
        <v>23</v>
      </c>
      <c r="E1059">
        <v>50</v>
      </c>
      <c r="F1059">
        <v>1349.71</v>
      </c>
      <c r="G1059">
        <v>2.21</v>
      </c>
      <c r="H1059">
        <v>65994.070000000007</v>
      </c>
      <c r="I1059" t="s">
        <v>1728</v>
      </c>
      <c r="J1059">
        <v>994.57</v>
      </c>
      <c r="K1059">
        <v>49728.5</v>
      </c>
      <c r="L1059">
        <v>1137.26</v>
      </c>
      <c r="M1059">
        <v>213.14</v>
      </c>
      <c r="N1059">
        <v>7698.4</v>
      </c>
      <c r="O1059">
        <v>58777.3</v>
      </c>
      <c r="P1059">
        <v>16265.57</v>
      </c>
      <c r="Q1059">
        <v>7216.77</v>
      </c>
      <c r="R1059" t="s">
        <v>65</v>
      </c>
      <c r="S1059">
        <v>65994.070000000007</v>
      </c>
      <c r="T1059">
        <v>0</v>
      </c>
      <c r="U1059" t="s">
        <v>66</v>
      </c>
      <c r="V1059" t="s">
        <v>14</v>
      </c>
      <c r="W1059" t="s">
        <v>74</v>
      </c>
      <c r="X1059" t="s">
        <v>275</v>
      </c>
      <c r="Y1059" t="s">
        <v>31</v>
      </c>
      <c r="Z1059">
        <v>0.3</v>
      </c>
      <c r="AA1059">
        <f t="shared" si="48"/>
        <v>7216.77</v>
      </c>
      <c r="AB1059">
        <f t="shared" si="49"/>
        <v>0.10935482536536995</v>
      </c>
      <c r="AC1059">
        <f t="shared" si="50"/>
        <v>0</v>
      </c>
      <c r="AD1059">
        <v>2025</v>
      </c>
      <c r="AE1059">
        <v>4</v>
      </c>
      <c r="AF1059" t="s">
        <v>154</v>
      </c>
      <c r="AG1059" t="s">
        <v>155</v>
      </c>
    </row>
    <row r="1060" spans="1:33">
      <c r="A1060" t="s">
        <v>1211</v>
      </c>
      <c r="B1060">
        <v>45905</v>
      </c>
      <c r="D1060" t="s">
        <v>27</v>
      </c>
      <c r="E1060">
        <v>200</v>
      </c>
      <c r="F1060">
        <v>746.93</v>
      </c>
      <c r="G1060">
        <v>2.23</v>
      </c>
      <c r="H1060">
        <v>146054.69</v>
      </c>
      <c r="I1060" t="s">
        <v>1726</v>
      </c>
      <c r="J1060">
        <v>536.54999999999995</v>
      </c>
      <c r="K1060">
        <v>107310</v>
      </c>
      <c r="L1060">
        <v>1002</v>
      </c>
      <c r="M1060">
        <v>927.27</v>
      </c>
      <c r="N1060">
        <v>382.16</v>
      </c>
      <c r="O1060">
        <v>109621.43</v>
      </c>
      <c r="P1060">
        <v>38744.69</v>
      </c>
      <c r="Q1060">
        <v>36433.26</v>
      </c>
      <c r="R1060" t="s">
        <v>65</v>
      </c>
      <c r="S1060">
        <v>146054.69</v>
      </c>
      <c r="T1060">
        <v>0</v>
      </c>
      <c r="U1060" t="s">
        <v>91</v>
      </c>
      <c r="V1060" t="s">
        <v>6</v>
      </c>
      <c r="W1060" t="s">
        <v>74</v>
      </c>
      <c r="X1060" t="s">
        <v>193</v>
      </c>
      <c r="Y1060" t="s">
        <v>30</v>
      </c>
      <c r="Z1060">
        <v>0.1</v>
      </c>
      <c r="AA1060">
        <f t="shared" si="48"/>
        <v>36433.26</v>
      </c>
      <c r="AB1060">
        <f t="shared" si="49"/>
        <v>0.24944943568741271</v>
      </c>
      <c r="AC1060">
        <f t="shared" si="50"/>
        <v>0</v>
      </c>
      <c r="AD1060">
        <v>2025</v>
      </c>
      <c r="AE1060">
        <v>9</v>
      </c>
      <c r="AF1060" t="s">
        <v>131</v>
      </c>
      <c r="AG1060" t="s">
        <v>132</v>
      </c>
    </row>
    <row r="1061" spans="1:33">
      <c r="A1061" t="s">
        <v>1212</v>
      </c>
      <c r="B1061">
        <v>45592</v>
      </c>
      <c r="D1061" t="s">
        <v>23</v>
      </c>
      <c r="E1061">
        <v>500</v>
      </c>
      <c r="F1061">
        <v>1429.8</v>
      </c>
      <c r="G1061">
        <v>1.18</v>
      </c>
      <c r="H1061">
        <v>706464.18</v>
      </c>
      <c r="I1061" t="s">
        <v>1726</v>
      </c>
      <c r="J1061">
        <v>1029.17</v>
      </c>
      <c r="K1061">
        <v>514585</v>
      </c>
      <c r="L1061">
        <v>11578.51</v>
      </c>
      <c r="M1061">
        <v>1703.05</v>
      </c>
      <c r="N1061">
        <v>8929.3799999999992</v>
      </c>
      <c r="O1061">
        <v>536795.93999999994</v>
      </c>
      <c r="P1061">
        <v>191879.18</v>
      </c>
      <c r="Q1061">
        <v>169668.24</v>
      </c>
      <c r="R1061" t="s">
        <v>65</v>
      </c>
      <c r="S1061">
        <v>706464.18</v>
      </c>
      <c r="T1061">
        <v>0</v>
      </c>
      <c r="U1061" t="s">
        <v>91</v>
      </c>
      <c r="V1061" t="s">
        <v>8</v>
      </c>
      <c r="W1061" t="s">
        <v>74</v>
      </c>
      <c r="X1061" t="s">
        <v>75</v>
      </c>
      <c r="Y1061" t="s">
        <v>28</v>
      </c>
      <c r="Z1061">
        <v>0.8</v>
      </c>
      <c r="AA1061">
        <f t="shared" si="48"/>
        <v>169668.24</v>
      </c>
      <c r="AB1061">
        <f t="shared" si="49"/>
        <v>0.24016538248266173</v>
      </c>
      <c r="AC1061">
        <f t="shared" si="50"/>
        <v>0</v>
      </c>
      <c r="AD1061">
        <v>2024</v>
      </c>
      <c r="AE1061">
        <v>10</v>
      </c>
      <c r="AF1061" t="s">
        <v>138</v>
      </c>
      <c r="AG1061" t="s">
        <v>139</v>
      </c>
    </row>
    <row r="1062" spans="1:33">
      <c r="A1062" t="s">
        <v>1213</v>
      </c>
      <c r="B1062">
        <v>45747</v>
      </c>
      <c r="C1062">
        <v>45747</v>
      </c>
      <c r="D1062" t="s">
        <v>23</v>
      </c>
      <c r="E1062">
        <v>500</v>
      </c>
      <c r="F1062">
        <v>1312.03</v>
      </c>
      <c r="G1062">
        <v>3.66</v>
      </c>
      <c r="H1062">
        <v>632004.85</v>
      </c>
      <c r="I1062" t="s">
        <v>1729</v>
      </c>
      <c r="J1062">
        <v>1044.95</v>
      </c>
      <c r="K1062">
        <v>522475</v>
      </c>
      <c r="L1062">
        <v>11890.92</v>
      </c>
      <c r="M1062">
        <v>2381.5500000000002</v>
      </c>
      <c r="N1062">
        <v>9870.69</v>
      </c>
      <c r="O1062">
        <v>546618.16</v>
      </c>
      <c r="P1062">
        <v>109529.85</v>
      </c>
      <c r="Q1062">
        <v>85386.69</v>
      </c>
      <c r="R1062" t="s">
        <v>65</v>
      </c>
      <c r="S1062">
        <v>632004.85</v>
      </c>
      <c r="T1062">
        <v>0</v>
      </c>
      <c r="U1062" t="s">
        <v>66</v>
      </c>
      <c r="V1062" t="s">
        <v>6</v>
      </c>
      <c r="W1062" t="s">
        <v>141</v>
      </c>
      <c r="X1062" t="s">
        <v>123</v>
      </c>
      <c r="Y1062" t="s">
        <v>22</v>
      </c>
      <c r="Z1062">
        <v>1.67</v>
      </c>
      <c r="AA1062">
        <f t="shared" si="48"/>
        <v>85386.69</v>
      </c>
      <c r="AB1062">
        <f t="shared" si="49"/>
        <v>0.13510448535323741</v>
      </c>
      <c r="AC1062">
        <f t="shared" si="50"/>
        <v>0</v>
      </c>
      <c r="AD1062">
        <v>2025</v>
      </c>
      <c r="AE1062">
        <v>3</v>
      </c>
      <c r="AF1062" t="s">
        <v>105</v>
      </c>
      <c r="AG1062" t="s">
        <v>106</v>
      </c>
    </row>
    <row r="1063" spans="1:33">
      <c r="A1063" t="s">
        <v>1214</v>
      </c>
      <c r="B1063">
        <v>45470</v>
      </c>
      <c r="C1063">
        <v>45470</v>
      </c>
      <c r="D1063" t="s">
        <v>21</v>
      </c>
      <c r="E1063">
        <v>250</v>
      </c>
      <c r="F1063">
        <v>855.74</v>
      </c>
      <c r="G1063">
        <v>0.5</v>
      </c>
      <c r="H1063">
        <v>212865.32</v>
      </c>
      <c r="I1063" t="s">
        <v>1728</v>
      </c>
      <c r="J1063">
        <v>710.66</v>
      </c>
      <c r="K1063">
        <v>177665</v>
      </c>
      <c r="L1063">
        <v>2095.0300000000002</v>
      </c>
      <c r="M1063">
        <v>1182.6199999999999</v>
      </c>
      <c r="N1063">
        <v>5596.72</v>
      </c>
      <c r="O1063">
        <v>186539.37</v>
      </c>
      <c r="P1063">
        <v>35200.32</v>
      </c>
      <c r="Q1063">
        <v>26325.95</v>
      </c>
      <c r="R1063" t="s">
        <v>85</v>
      </c>
      <c r="S1063">
        <v>122252.64</v>
      </c>
      <c r="T1063">
        <v>90612.68</v>
      </c>
      <c r="U1063" t="s">
        <v>66</v>
      </c>
      <c r="V1063" t="s">
        <v>6</v>
      </c>
      <c r="W1063" t="s">
        <v>92</v>
      </c>
      <c r="X1063" t="s">
        <v>147</v>
      </c>
      <c r="Y1063" t="s">
        <v>28</v>
      </c>
      <c r="Z1063">
        <v>0.9</v>
      </c>
      <c r="AA1063">
        <f t="shared" si="48"/>
        <v>26325.95</v>
      </c>
      <c r="AB1063">
        <f t="shared" si="49"/>
        <v>0.12367420864986368</v>
      </c>
      <c r="AC1063">
        <f t="shared" si="50"/>
        <v>0</v>
      </c>
      <c r="AD1063">
        <v>2024</v>
      </c>
      <c r="AE1063">
        <v>6</v>
      </c>
      <c r="AF1063" t="s">
        <v>111</v>
      </c>
      <c r="AG1063" t="s">
        <v>148</v>
      </c>
    </row>
    <row r="1064" spans="1:33">
      <c r="A1064" t="s">
        <v>1215</v>
      </c>
      <c r="B1064">
        <v>45821</v>
      </c>
      <c r="C1064">
        <v>45828</v>
      </c>
      <c r="D1064" t="s">
        <v>21</v>
      </c>
      <c r="E1064">
        <v>1000</v>
      </c>
      <c r="F1064">
        <v>862.03</v>
      </c>
      <c r="G1064">
        <v>2.23</v>
      </c>
      <c r="H1064">
        <v>842806.73</v>
      </c>
      <c r="I1064" t="s">
        <v>1728</v>
      </c>
      <c r="J1064">
        <v>709.51</v>
      </c>
      <c r="K1064">
        <v>709510</v>
      </c>
      <c r="L1064">
        <v>6254.74</v>
      </c>
      <c r="M1064">
        <v>5588.2</v>
      </c>
      <c r="N1064">
        <v>6262.63</v>
      </c>
      <c r="O1064">
        <v>727615.57</v>
      </c>
      <c r="P1064">
        <v>133296.73000000001</v>
      </c>
      <c r="Q1064">
        <v>115191.16</v>
      </c>
      <c r="R1064" t="s">
        <v>65</v>
      </c>
      <c r="S1064">
        <v>842806.73</v>
      </c>
      <c r="T1064">
        <v>0</v>
      </c>
      <c r="U1064" t="s">
        <v>73</v>
      </c>
      <c r="V1064" t="s">
        <v>16</v>
      </c>
      <c r="W1064" t="s">
        <v>74</v>
      </c>
      <c r="X1064" t="s">
        <v>115</v>
      </c>
      <c r="Y1064" t="s">
        <v>22</v>
      </c>
      <c r="Z1064">
        <v>0.65</v>
      </c>
      <c r="AA1064">
        <f t="shared" si="48"/>
        <v>115191.16</v>
      </c>
      <c r="AB1064">
        <f t="shared" si="49"/>
        <v>0.13667565279171418</v>
      </c>
      <c r="AC1064">
        <f t="shared" si="50"/>
        <v>0</v>
      </c>
      <c r="AD1064">
        <v>2025</v>
      </c>
      <c r="AE1064">
        <v>6</v>
      </c>
      <c r="AF1064" t="s">
        <v>111</v>
      </c>
      <c r="AG1064" t="s">
        <v>112</v>
      </c>
    </row>
    <row r="1065" spans="1:33">
      <c r="A1065" t="s">
        <v>1216</v>
      </c>
      <c r="B1065">
        <v>45782</v>
      </c>
      <c r="C1065">
        <v>45787</v>
      </c>
      <c r="D1065" t="s">
        <v>21</v>
      </c>
      <c r="E1065">
        <v>1000</v>
      </c>
      <c r="F1065">
        <v>839.59</v>
      </c>
      <c r="G1065">
        <v>3.14</v>
      </c>
      <c r="H1065">
        <v>813226.87</v>
      </c>
      <c r="I1065" t="s">
        <v>1726</v>
      </c>
      <c r="J1065">
        <v>682.88</v>
      </c>
      <c r="K1065">
        <v>682880</v>
      </c>
      <c r="L1065">
        <v>22795.43</v>
      </c>
      <c r="M1065">
        <v>1877.6</v>
      </c>
      <c r="N1065">
        <v>986.22</v>
      </c>
      <c r="O1065">
        <v>708539.25</v>
      </c>
      <c r="P1065">
        <v>130346.87</v>
      </c>
      <c r="Q1065">
        <v>104687.62</v>
      </c>
      <c r="R1065" t="s">
        <v>65</v>
      </c>
      <c r="S1065">
        <v>813226.87</v>
      </c>
      <c r="T1065">
        <v>0</v>
      </c>
      <c r="U1065" t="s">
        <v>66</v>
      </c>
      <c r="V1065" t="s">
        <v>6</v>
      </c>
      <c r="W1065" t="s">
        <v>74</v>
      </c>
      <c r="X1065" t="s">
        <v>145</v>
      </c>
      <c r="Y1065" t="s">
        <v>30</v>
      </c>
      <c r="Z1065">
        <v>2.2599999999999998</v>
      </c>
      <c r="AA1065">
        <f t="shared" si="48"/>
        <v>104687.62</v>
      </c>
      <c r="AB1065">
        <f t="shared" si="49"/>
        <v>0.12873113747458934</v>
      </c>
      <c r="AC1065">
        <f t="shared" si="50"/>
        <v>0</v>
      </c>
      <c r="AD1065">
        <v>2025</v>
      </c>
      <c r="AE1065">
        <v>5</v>
      </c>
      <c r="AF1065" t="s">
        <v>76</v>
      </c>
      <c r="AG1065" t="s">
        <v>94</v>
      </c>
    </row>
    <row r="1066" spans="1:33">
      <c r="A1066" t="s">
        <v>1217</v>
      </c>
      <c r="B1066">
        <v>45601</v>
      </c>
      <c r="C1066">
        <v>45608</v>
      </c>
      <c r="D1066" t="s">
        <v>21</v>
      </c>
      <c r="E1066">
        <v>50</v>
      </c>
      <c r="F1066">
        <v>948.97</v>
      </c>
      <c r="G1066">
        <v>0.09</v>
      </c>
      <c r="H1066">
        <v>47405.8</v>
      </c>
      <c r="I1066" t="s">
        <v>1727</v>
      </c>
      <c r="J1066">
        <v>690.12</v>
      </c>
      <c r="K1066">
        <v>34506</v>
      </c>
      <c r="L1066">
        <v>477.31</v>
      </c>
      <c r="M1066">
        <v>255.25</v>
      </c>
      <c r="N1066">
        <v>2838.09</v>
      </c>
      <c r="O1066">
        <v>38076.65</v>
      </c>
      <c r="P1066">
        <v>12899.8</v>
      </c>
      <c r="Q1066">
        <v>9329.15</v>
      </c>
      <c r="R1066" t="s">
        <v>85</v>
      </c>
      <c r="S1066">
        <v>38130.33</v>
      </c>
      <c r="T1066">
        <v>9275.4699999999993</v>
      </c>
      <c r="U1066" t="s">
        <v>66</v>
      </c>
      <c r="V1066" t="s">
        <v>6</v>
      </c>
      <c r="W1066" t="s">
        <v>67</v>
      </c>
      <c r="X1066" t="s">
        <v>127</v>
      </c>
      <c r="Y1066" t="s">
        <v>22</v>
      </c>
      <c r="Z1066">
        <v>0.38</v>
      </c>
      <c r="AA1066">
        <f t="shared" si="48"/>
        <v>9329.15</v>
      </c>
      <c r="AB1066">
        <f t="shared" si="49"/>
        <v>0.19679343033974744</v>
      </c>
      <c r="AC1066">
        <f t="shared" si="50"/>
        <v>0</v>
      </c>
      <c r="AD1066">
        <v>2024</v>
      </c>
      <c r="AE1066">
        <v>11</v>
      </c>
      <c r="AF1066" t="s">
        <v>128</v>
      </c>
      <c r="AG1066" t="s">
        <v>129</v>
      </c>
    </row>
    <row r="1067" spans="1:33">
      <c r="A1067" t="s">
        <v>1218</v>
      </c>
      <c r="B1067">
        <v>46002</v>
      </c>
      <c r="C1067">
        <v>46002</v>
      </c>
      <c r="D1067" t="s">
        <v>21</v>
      </c>
      <c r="E1067">
        <v>100</v>
      </c>
      <c r="F1067">
        <v>931.31</v>
      </c>
      <c r="G1067">
        <v>2.4</v>
      </c>
      <c r="H1067">
        <v>90895.86</v>
      </c>
      <c r="I1067" t="s">
        <v>1726</v>
      </c>
      <c r="J1067">
        <v>720.4</v>
      </c>
      <c r="K1067">
        <v>72040</v>
      </c>
      <c r="L1067">
        <v>1090.5999999999999</v>
      </c>
      <c r="M1067">
        <v>328.73</v>
      </c>
      <c r="N1067">
        <v>3041.25</v>
      </c>
      <c r="O1067">
        <v>76500.58</v>
      </c>
      <c r="P1067">
        <v>18855.86</v>
      </c>
      <c r="Q1067">
        <v>14395.28</v>
      </c>
      <c r="R1067" t="s">
        <v>134</v>
      </c>
      <c r="S1067">
        <v>0</v>
      </c>
      <c r="T1067">
        <v>90895.86</v>
      </c>
      <c r="U1067" t="s">
        <v>73</v>
      </c>
      <c r="V1067" t="s">
        <v>6</v>
      </c>
      <c r="W1067" t="s">
        <v>74</v>
      </c>
      <c r="X1067" t="s">
        <v>275</v>
      </c>
      <c r="Y1067" t="s">
        <v>31</v>
      </c>
      <c r="Z1067">
        <v>1.39</v>
      </c>
      <c r="AA1067">
        <f t="shared" si="48"/>
        <v>14395.28</v>
      </c>
      <c r="AB1067">
        <f t="shared" si="49"/>
        <v>0.15837112933416331</v>
      </c>
      <c r="AC1067">
        <f t="shared" si="50"/>
        <v>0</v>
      </c>
      <c r="AD1067">
        <v>2025</v>
      </c>
      <c r="AE1067">
        <v>12</v>
      </c>
      <c r="AF1067" t="s">
        <v>98</v>
      </c>
      <c r="AG1067" t="s">
        <v>168</v>
      </c>
    </row>
    <row r="1068" spans="1:33">
      <c r="A1068" t="s">
        <v>1219</v>
      </c>
      <c r="B1068">
        <v>45805</v>
      </c>
      <c r="C1068">
        <v>45808</v>
      </c>
      <c r="D1068" t="s">
        <v>23</v>
      </c>
      <c r="E1068">
        <v>100</v>
      </c>
      <c r="F1068">
        <v>1210.22</v>
      </c>
      <c r="G1068">
        <v>1.05</v>
      </c>
      <c r="H1068">
        <v>119751.27</v>
      </c>
      <c r="I1068" t="s">
        <v>1726</v>
      </c>
      <c r="J1068">
        <v>1019.02</v>
      </c>
      <c r="K1068">
        <v>101902</v>
      </c>
      <c r="L1068">
        <v>1148.4000000000001</v>
      </c>
      <c r="M1068">
        <v>190.29</v>
      </c>
      <c r="N1068">
        <v>3251.49</v>
      </c>
      <c r="O1068">
        <v>106492.18</v>
      </c>
      <c r="P1068">
        <v>17849.27</v>
      </c>
      <c r="Q1068">
        <v>13259.09</v>
      </c>
      <c r="R1068" t="s">
        <v>65</v>
      </c>
      <c r="S1068">
        <v>119751.27</v>
      </c>
      <c r="T1068">
        <v>0</v>
      </c>
      <c r="U1068" t="s">
        <v>66</v>
      </c>
      <c r="V1068" t="s">
        <v>12</v>
      </c>
      <c r="W1068" t="s">
        <v>67</v>
      </c>
      <c r="X1068" t="s">
        <v>230</v>
      </c>
      <c r="Y1068" t="s">
        <v>31</v>
      </c>
      <c r="Z1068">
        <v>2.21</v>
      </c>
      <c r="AA1068">
        <f t="shared" si="48"/>
        <v>13259.09</v>
      </c>
      <c r="AB1068">
        <f t="shared" si="49"/>
        <v>0.11072191551705464</v>
      </c>
      <c r="AC1068">
        <f t="shared" si="50"/>
        <v>0</v>
      </c>
      <c r="AD1068">
        <v>2025</v>
      </c>
      <c r="AE1068">
        <v>5</v>
      </c>
      <c r="AF1068" t="s">
        <v>76</v>
      </c>
      <c r="AG1068" t="s">
        <v>94</v>
      </c>
    </row>
    <row r="1069" spans="1:33">
      <c r="A1069" t="s">
        <v>1220</v>
      </c>
      <c r="B1069">
        <v>45349</v>
      </c>
      <c r="C1069">
        <v>45356</v>
      </c>
      <c r="D1069" t="s">
        <v>21</v>
      </c>
      <c r="E1069">
        <v>750</v>
      </c>
      <c r="F1069">
        <v>877.91</v>
      </c>
      <c r="G1069">
        <v>0.08</v>
      </c>
      <c r="H1069">
        <v>657905.75</v>
      </c>
      <c r="I1069" t="s">
        <v>1727</v>
      </c>
      <c r="J1069">
        <v>731.43</v>
      </c>
      <c r="K1069">
        <v>548572.5</v>
      </c>
      <c r="L1069">
        <v>4118.74</v>
      </c>
      <c r="M1069">
        <v>3914.69</v>
      </c>
      <c r="N1069">
        <v>6314.89</v>
      </c>
      <c r="O1069">
        <v>562920.81999999995</v>
      </c>
      <c r="P1069">
        <v>109333.25</v>
      </c>
      <c r="Q1069">
        <v>94984.93</v>
      </c>
      <c r="R1069" t="s">
        <v>65</v>
      </c>
      <c r="S1069">
        <v>657905.75</v>
      </c>
      <c r="T1069">
        <v>0</v>
      </c>
      <c r="U1069" t="s">
        <v>66</v>
      </c>
      <c r="V1069" t="s">
        <v>10</v>
      </c>
      <c r="W1069" t="s">
        <v>141</v>
      </c>
      <c r="X1069" t="s">
        <v>162</v>
      </c>
      <c r="Y1069" t="s">
        <v>26</v>
      </c>
      <c r="Z1069">
        <v>1.45</v>
      </c>
      <c r="AA1069">
        <f t="shared" si="48"/>
        <v>94984.93</v>
      </c>
      <c r="AB1069">
        <f t="shared" si="49"/>
        <v>0.14437467676791088</v>
      </c>
      <c r="AC1069">
        <f t="shared" si="50"/>
        <v>0</v>
      </c>
      <c r="AD1069">
        <v>2024</v>
      </c>
      <c r="AE1069">
        <v>2</v>
      </c>
      <c r="AF1069" t="s">
        <v>172</v>
      </c>
      <c r="AG1069" t="s">
        <v>173</v>
      </c>
    </row>
    <row r="1070" spans="1:33">
      <c r="A1070" t="s">
        <v>1221</v>
      </c>
      <c r="B1070">
        <v>45451</v>
      </c>
      <c r="C1070">
        <v>45464</v>
      </c>
      <c r="D1070" t="s">
        <v>21</v>
      </c>
      <c r="E1070">
        <v>300</v>
      </c>
      <c r="F1070">
        <v>836.88</v>
      </c>
      <c r="G1070">
        <v>2.14</v>
      </c>
      <c r="H1070">
        <v>245691.23</v>
      </c>
      <c r="I1070" t="s">
        <v>1728</v>
      </c>
      <c r="J1070">
        <v>744.55</v>
      </c>
      <c r="K1070">
        <v>223365</v>
      </c>
      <c r="L1070">
        <v>5703.77</v>
      </c>
      <c r="M1070">
        <v>1200.6099999999999</v>
      </c>
      <c r="N1070">
        <v>7376.11</v>
      </c>
      <c r="O1070">
        <v>237645.49</v>
      </c>
      <c r="P1070">
        <v>22326.23</v>
      </c>
      <c r="Q1070">
        <v>8045.74</v>
      </c>
      <c r="R1070" t="s">
        <v>134</v>
      </c>
      <c r="S1070">
        <v>0</v>
      </c>
      <c r="T1070">
        <v>245691.23</v>
      </c>
      <c r="U1070" t="s">
        <v>66</v>
      </c>
      <c r="V1070" t="s">
        <v>6</v>
      </c>
      <c r="W1070" t="s">
        <v>67</v>
      </c>
      <c r="X1070" t="s">
        <v>108</v>
      </c>
      <c r="Y1070" t="s">
        <v>22</v>
      </c>
      <c r="Z1070">
        <v>1.8</v>
      </c>
      <c r="AA1070">
        <f t="shared" si="48"/>
        <v>8045.74</v>
      </c>
      <c r="AB1070">
        <f t="shared" si="49"/>
        <v>3.2747363428478907E-2</v>
      </c>
      <c r="AC1070">
        <f t="shared" si="50"/>
        <v>0</v>
      </c>
      <c r="AD1070">
        <v>2024</v>
      </c>
      <c r="AE1070">
        <v>6</v>
      </c>
      <c r="AF1070" t="s">
        <v>111</v>
      </c>
      <c r="AG1070" t="s">
        <v>148</v>
      </c>
    </row>
    <row r="1071" spans="1:33">
      <c r="A1071" t="s">
        <v>1222</v>
      </c>
      <c r="B1071">
        <v>45975</v>
      </c>
      <c r="C1071">
        <v>45980</v>
      </c>
      <c r="D1071" t="s">
        <v>29</v>
      </c>
      <c r="E1071">
        <v>500</v>
      </c>
      <c r="F1071">
        <v>2841.81</v>
      </c>
      <c r="G1071">
        <v>1.1299999999999999</v>
      </c>
      <c r="H1071">
        <v>1404848.77</v>
      </c>
      <c r="I1071" t="s">
        <v>1726</v>
      </c>
      <c r="J1071">
        <v>2167.6799999999998</v>
      </c>
      <c r="K1071">
        <v>1083840</v>
      </c>
      <c r="L1071">
        <v>4519.46</v>
      </c>
      <c r="M1071">
        <v>1453.5</v>
      </c>
      <c r="N1071">
        <v>99.62</v>
      </c>
      <c r="O1071">
        <v>1089912.58</v>
      </c>
      <c r="P1071">
        <v>321008.77</v>
      </c>
      <c r="Q1071">
        <v>314936.19</v>
      </c>
      <c r="R1071" t="s">
        <v>65</v>
      </c>
      <c r="S1071">
        <v>1404848.77</v>
      </c>
      <c r="T1071">
        <v>0</v>
      </c>
      <c r="U1071" t="s">
        <v>66</v>
      </c>
      <c r="V1071" t="s">
        <v>16</v>
      </c>
      <c r="W1071" t="s">
        <v>80</v>
      </c>
      <c r="X1071" t="s">
        <v>205</v>
      </c>
      <c r="Y1071" t="s">
        <v>24</v>
      </c>
      <c r="Z1071">
        <v>1.28</v>
      </c>
      <c r="AA1071">
        <f t="shared" si="48"/>
        <v>314936.19</v>
      </c>
      <c r="AB1071">
        <f t="shared" si="49"/>
        <v>0.22417800173608723</v>
      </c>
      <c r="AC1071">
        <f t="shared" si="50"/>
        <v>0</v>
      </c>
      <c r="AD1071">
        <v>2025</v>
      </c>
      <c r="AE1071">
        <v>11</v>
      </c>
      <c r="AF1071" t="s">
        <v>128</v>
      </c>
      <c r="AG1071" t="s">
        <v>135</v>
      </c>
    </row>
    <row r="1072" spans="1:33">
      <c r="A1072" t="s">
        <v>1223</v>
      </c>
      <c r="B1072">
        <v>45426</v>
      </c>
      <c r="C1072">
        <v>45438</v>
      </c>
      <c r="D1072" t="s">
        <v>21</v>
      </c>
      <c r="E1072">
        <v>150</v>
      </c>
      <c r="F1072">
        <v>924.68</v>
      </c>
      <c r="G1072">
        <v>2.36</v>
      </c>
      <c r="H1072">
        <v>135428.63</v>
      </c>
      <c r="I1072" t="s">
        <v>1728</v>
      </c>
      <c r="J1072">
        <v>671.16</v>
      </c>
      <c r="K1072">
        <v>100674</v>
      </c>
      <c r="L1072">
        <v>3305.28</v>
      </c>
      <c r="M1072">
        <v>735.72</v>
      </c>
      <c r="N1072">
        <v>2262.5</v>
      </c>
      <c r="O1072">
        <v>106977.5</v>
      </c>
      <c r="P1072">
        <v>34754.629999999997</v>
      </c>
      <c r="Q1072">
        <v>28451.13</v>
      </c>
      <c r="R1072" t="s">
        <v>134</v>
      </c>
      <c r="S1072">
        <v>0</v>
      </c>
      <c r="T1072">
        <v>135428.63</v>
      </c>
      <c r="U1072" t="s">
        <v>66</v>
      </c>
      <c r="V1072" t="s">
        <v>12</v>
      </c>
      <c r="W1072" t="s">
        <v>80</v>
      </c>
      <c r="X1072" t="s">
        <v>108</v>
      </c>
      <c r="Y1072" t="s">
        <v>22</v>
      </c>
      <c r="Z1072">
        <v>2.0699999999999998</v>
      </c>
      <c r="AA1072">
        <f t="shared" si="48"/>
        <v>28451.13</v>
      </c>
      <c r="AB1072">
        <f t="shared" si="49"/>
        <v>0.21008209268601477</v>
      </c>
      <c r="AC1072">
        <f t="shared" si="50"/>
        <v>0</v>
      </c>
      <c r="AD1072">
        <v>2024</v>
      </c>
      <c r="AE1072">
        <v>5</v>
      </c>
      <c r="AF1072" t="s">
        <v>76</v>
      </c>
      <c r="AG1072" t="s">
        <v>77</v>
      </c>
    </row>
    <row r="1073" spans="1:33">
      <c r="A1073" t="s">
        <v>1224</v>
      </c>
      <c r="B1073">
        <v>45796</v>
      </c>
      <c r="C1073">
        <v>45798</v>
      </c>
      <c r="D1073" t="s">
        <v>29</v>
      </c>
      <c r="E1073">
        <v>50</v>
      </c>
      <c r="F1073">
        <v>2729.07</v>
      </c>
      <c r="G1073">
        <v>1.04</v>
      </c>
      <c r="H1073">
        <v>135034.38</v>
      </c>
      <c r="I1073" t="s">
        <v>1726</v>
      </c>
      <c r="J1073">
        <v>2214.5</v>
      </c>
      <c r="K1073">
        <v>110725</v>
      </c>
      <c r="L1073">
        <v>957.42</v>
      </c>
      <c r="M1073">
        <v>115.77</v>
      </c>
      <c r="N1073">
        <v>3094.71</v>
      </c>
      <c r="O1073">
        <v>114892.9</v>
      </c>
      <c r="P1073">
        <v>24309.38</v>
      </c>
      <c r="Q1073">
        <v>20141.48</v>
      </c>
      <c r="R1073" t="s">
        <v>65</v>
      </c>
      <c r="S1073">
        <v>135034.38</v>
      </c>
      <c r="T1073">
        <v>0</v>
      </c>
      <c r="U1073" t="s">
        <v>66</v>
      </c>
      <c r="V1073" t="s">
        <v>6</v>
      </c>
      <c r="W1073" t="s">
        <v>80</v>
      </c>
      <c r="X1073" t="s">
        <v>110</v>
      </c>
      <c r="Y1073" t="s">
        <v>28</v>
      </c>
      <c r="Z1073">
        <v>2.27</v>
      </c>
      <c r="AA1073">
        <f t="shared" si="48"/>
        <v>20141.48</v>
      </c>
      <c r="AB1073">
        <f t="shared" si="49"/>
        <v>0.14915816253608896</v>
      </c>
      <c r="AC1073">
        <f t="shared" si="50"/>
        <v>0</v>
      </c>
      <c r="AD1073">
        <v>2025</v>
      </c>
      <c r="AE1073">
        <v>5</v>
      </c>
      <c r="AF1073" t="s">
        <v>76</v>
      </c>
      <c r="AG1073" t="s">
        <v>94</v>
      </c>
    </row>
    <row r="1074" spans="1:33">
      <c r="A1074" t="s">
        <v>1225</v>
      </c>
      <c r="B1074">
        <v>45490</v>
      </c>
      <c r="D1074" t="s">
        <v>23</v>
      </c>
      <c r="E1074">
        <v>250</v>
      </c>
      <c r="F1074">
        <v>1288.29</v>
      </c>
      <c r="G1074">
        <v>1.9</v>
      </c>
      <c r="H1074">
        <v>0</v>
      </c>
      <c r="I1074" t="s">
        <v>1727</v>
      </c>
      <c r="J1074">
        <v>1007.52</v>
      </c>
      <c r="K1074">
        <v>0</v>
      </c>
      <c r="L1074">
        <v>0</v>
      </c>
      <c r="M1074">
        <v>0</v>
      </c>
      <c r="N1074">
        <v>0</v>
      </c>
      <c r="O1074">
        <v>0</v>
      </c>
      <c r="P1074">
        <v>0</v>
      </c>
      <c r="Q1074">
        <v>0</v>
      </c>
      <c r="R1074" t="s">
        <v>85</v>
      </c>
      <c r="S1074">
        <v>0</v>
      </c>
      <c r="T1074">
        <v>0</v>
      </c>
      <c r="U1074" t="s">
        <v>117</v>
      </c>
      <c r="V1074" t="s">
        <v>6</v>
      </c>
      <c r="W1074" t="s">
        <v>141</v>
      </c>
      <c r="X1074" t="s">
        <v>101</v>
      </c>
      <c r="Y1074" t="s">
        <v>22</v>
      </c>
      <c r="Z1074">
        <v>0.75</v>
      </c>
      <c r="AA1074">
        <f t="shared" si="48"/>
        <v>0</v>
      </c>
      <c r="AB1074" t="e">
        <f t="shared" si="49"/>
        <v>#DIV/0!</v>
      </c>
      <c r="AC1074">
        <f t="shared" si="50"/>
        <v>0</v>
      </c>
      <c r="AD1074">
        <v>2024</v>
      </c>
      <c r="AE1074">
        <v>7</v>
      </c>
      <c r="AF1074" t="s">
        <v>69</v>
      </c>
      <c r="AG1074" t="s">
        <v>70</v>
      </c>
    </row>
    <row r="1075" spans="1:33">
      <c r="A1075" t="s">
        <v>1226</v>
      </c>
      <c r="B1075">
        <v>45504</v>
      </c>
      <c r="C1075">
        <v>45512</v>
      </c>
      <c r="D1075" t="s">
        <v>21</v>
      </c>
      <c r="E1075">
        <v>100</v>
      </c>
      <c r="F1075">
        <v>912.92</v>
      </c>
      <c r="G1075">
        <v>2.34</v>
      </c>
      <c r="H1075">
        <v>89155.77</v>
      </c>
      <c r="I1075" t="s">
        <v>1727</v>
      </c>
      <c r="J1075">
        <v>711.06</v>
      </c>
      <c r="K1075">
        <v>71106</v>
      </c>
      <c r="L1075">
        <v>1267.47</v>
      </c>
      <c r="M1075">
        <v>164.31</v>
      </c>
      <c r="N1075">
        <v>2393.9299999999998</v>
      </c>
      <c r="O1075">
        <v>74931.710000000006</v>
      </c>
      <c r="P1075">
        <v>18049.77</v>
      </c>
      <c r="Q1075">
        <v>14224.06</v>
      </c>
      <c r="R1075" t="s">
        <v>65</v>
      </c>
      <c r="S1075">
        <v>89155.77</v>
      </c>
      <c r="T1075">
        <v>0</v>
      </c>
      <c r="U1075" t="s">
        <v>73</v>
      </c>
      <c r="V1075" t="s">
        <v>16</v>
      </c>
      <c r="W1075" t="s">
        <v>92</v>
      </c>
      <c r="X1075" t="s">
        <v>81</v>
      </c>
      <c r="Y1075" t="s">
        <v>24</v>
      </c>
      <c r="Z1075">
        <v>0.63</v>
      </c>
      <c r="AA1075">
        <f t="shared" si="48"/>
        <v>14224.06</v>
      </c>
      <c r="AB1075">
        <f t="shared" si="49"/>
        <v>0.15954166511040171</v>
      </c>
      <c r="AC1075">
        <f t="shared" si="50"/>
        <v>0</v>
      </c>
      <c r="AD1075">
        <v>2024</v>
      </c>
      <c r="AE1075">
        <v>7</v>
      </c>
      <c r="AF1075" t="s">
        <v>69</v>
      </c>
      <c r="AG1075" t="s">
        <v>70</v>
      </c>
    </row>
    <row r="1076" spans="1:33">
      <c r="A1076" t="s">
        <v>1227</v>
      </c>
      <c r="B1076">
        <v>45327</v>
      </c>
      <c r="C1076">
        <v>45332</v>
      </c>
      <c r="D1076" t="s">
        <v>29</v>
      </c>
      <c r="E1076">
        <v>200</v>
      </c>
      <c r="F1076">
        <v>2908.11</v>
      </c>
      <c r="G1076">
        <v>0.02</v>
      </c>
      <c r="H1076">
        <v>581505.68000000005</v>
      </c>
      <c r="I1076" t="s">
        <v>1727</v>
      </c>
      <c r="J1076">
        <v>2172.17</v>
      </c>
      <c r="K1076">
        <v>434434</v>
      </c>
      <c r="L1076">
        <v>2923.49</v>
      </c>
      <c r="M1076">
        <v>967.88</v>
      </c>
      <c r="N1076">
        <v>11526.35</v>
      </c>
      <c r="O1076">
        <v>449851.72</v>
      </c>
      <c r="P1076">
        <v>147071.67999999999</v>
      </c>
      <c r="Q1076">
        <v>131653.96</v>
      </c>
      <c r="R1076" t="s">
        <v>65</v>
      </c>
      <c r="S1076">
        <v>581505.68000000005</v>
      </c>
      <c r="T1076">
        <v>0</v>
      </c>
      <c r="U1076" t="s">
        <v>73</v>
      </c>
      <c r="V1076" t="s">
        <v>12</v>
      </c>
      <c r="W1076" t="s">
        <v>92</v>
      </c>
      <c r="X1076" t="s">
        <v>86</v>
      </c>
      <c r="Y1076" t="s">
        <v>30</v>
      </c>
      <c r="Z1076">
        <v>2.09</v>
      </c>
      <c r="AA1076">
        <f t="shared" si="48"/>
        <v>131653.96</v>
      </c>
      <c r="AB1076">
        <f t="shared" si="49"/>
        <v>0.22640184701205324</v>
      </c>
      <c r="AC1076">
        <f t="shared" si="50"/>
        <v>0</v>
      </c>
      <c r="AD1076">
        <v>2024</v>
      </c>
      <c r="AE1076">
        <v>2</v>
      </c>
      <c r="AF1076" t="s">
        <v>172</v>
      </c>
      <c r="AG1076" t="s">
        <v>173</v>
      </c>
    </row>
    <row r="1077" spans="1:33">
      <c r="A1077" t="s">
        <v>1228</v>
      </c>
      <c r="B1077">
        <v>45532</v>
      </c>
      <c r="C1077">
        <v>45537</v>
      </c>
      <c r="D1077" t="s">
        <v>23</v>
      </c>
      <c r="E1077">
        <v>500</v>
      </c>
      <c r="F1077">
        <v>1380.68</v>
      </c>
      <c r="G1077">
        <v>0.1</v>
      </c>
      <c r="H1077">
        <v>689649.66</v>
      </c>
      <c r="I1077" t="s">
        <v>1726</v>
      </c>
      <c r="J1077">
        <v>1001.86</v>
      </c>
      <c r="K1077">
        <v>500930</v>
      </c>
      <c r="L1077">
        <v>3224</v>
      </c>
      <c r="M1077">
        <v>1884.55</v>
      </c>
      <c r="N1077">
        <v>6986.56</v>
      </c>
      <c r="O1077">
        <v>513025.11</v>
      </c>
      <c r="P1077">
        <v>188719.66</v>
      </c>
      <c r="Q1077">
        <v>176624.55</v>
      </c>
      <c r="R1077" t="s">
        <v>65</v>
      </c>
      <c r="S1077">
        <v>689649.66</v>
      </c>
      <c r="T1077">
        <v>0</v>
      </c>
      <c r="U1077" t="s">
        <v>66</v>
      </c>
      <c r="V1077" t="s">
        <v>8</v>
      </c>
      <c r="W1077" t="s">
        <v>74</v>
      </c>
      <c r="X1077" t="s">
        <v>327</v>
      </c>
      <c r="Y1077" t="s">
        <v>26</v>
      </c>
      <c r="Z1077">
        <v>2.35</v>
      </c>
      <c r="AA1077">
        <f t="shared" si="48"/>
        <v>176624.55</v>
      </c>
      <c r="AB1077">
        <f t="shared" si="49"/>
        <v>0.25610764456840301</v>
      </c>
      <c r="AC1077">
        <f t="shared" si="50"/>
        <v>0</v>
      </c>
      <c r="AD1077">
        <v>2024</v>
      </c>
      <c r="AE1077">
        <v>8</v>
      </c>
      <c r="AF1077" t="s">
        <v>82</v>
      </c>
      <c r="AG1077" t="s">
        <v>83</v>
      </c>
    </row>
    <row r="1078" spans="1:33">
      <c r="A1078" t="s">
        <v>1229</v>
      </c>
      <c r="B1078">
        <v>45666</v>
      </c>
      <c r="C1078">
        <v>45670</v>
      </c>
      <c r="D1078" t="s">
        <v>21</v>
      </c>
      <c r="E1078">
        <v>100</v>
      </c>
      <c r="F1078">
        <v>829.12</v>
      </c>
      <c r="G1078">
        <v>0.59</v>
      </c>
      <c r="H1078">
        <v>82422.820000000007</v>
      </c>
      <c r="I1078" t="s">
        <v>1728</v>
      </c>
      <c r="J1078">
        <v>747.28</v>
      </c>
      <c r="K1078">
        <v>74728</v>
      </c>
      <c r="L1078">
        <v>565.49</v>
      </c>
      <c r="M1078">
        <v>305.58999999999997</v>
      </c>
      <c r="N1078">
        <v>5448.47</v>
      </c>
      <c r="O1078">
        <v>81047.55</v>
      </c>
      <c r="P1078">
        <v>7694.82</v>
      </c>
      <c r="Q1078">
        <v>1375.27</v>
      </c>
      <c r="R1078" t="s">
        <v>65</v>
      </c>
      <c r="S1078">
        <v>82422.820000000007</v>
      </c>
      <c r="T1078">
        <v>0</v>
      </c>
      <c r="U1078" t="s">
        <v>66</v>
      </c>
      <c r="V1078" t="s">
        <v>12</v>
      </c>
      <c r="W1078" t="s">
        <v>74</v>
      </c>
      <c r="X1078" t="s">
        <v>147</v>
      </c>
      <c r="Y1078" t="s">
        <v>28</v>
      </c>
      <c r="Z1078">
        <v>1.2</v>
      </c>
      <c r="AA1078">
        <f t="shared" si="48"/>
        <v>1375.27</v>
      </c>
      <c r="AB1078">
        <f t="shared" si="49"/>
        <v>1.668554897781949E-2</v>
      </c>
      <c r="AC1078">
        <f t="shared" si="50"/>
        <v>0</v>
      </c>
      <c r="AD1078">
        <v>2025</v>
      </c>
      <c r="AE1078">
        <v>1</v>
      </c>
      <c r="AF1078" t="s">
        <v>102</v>
      </c>
      <c r="AG1078" t="s">
        <v>118</v>
      </c>
    </row>
    <row r="1079" spans="1:33">
      <c r="A1079" t="s">
        <v>1230</v>
      </c>
      <c r="B1079">
        <v>45967</v>
      </c>
      <c r="C1079">
        <v>45967</v>
      </c>
      <c r="D1079" t="s">
        <v>27</v>
      </c>
      <c r="E1079">
        <v>1200</v>
      </c>
      <c r="F1079">
        <v>751.83</v>
      </c>
      <c r="G1079">
        <v>4.78</v>
      </c>
      <c r="H1079">
        <v>859071.03</v>
      </c>
      <c r="I1079" t="s">
        <v>1726</v>
      </c>
      <c r="J1079">
        <v>556.38</v>
      </c>
      <c r="K1079">
        <v>667656</v>
      </c>
      <c r="L1079">
        <v>11615.09</v>
      </c>
      <c r="M1079">
        <v>4807.38</v>
      </c>
      <c r="N1079">
        <v>171.15</v>
      </c>
      <c r="O1079">
        <v>684249.62</v>
      </c>
      <c r="P1079">
        <v>191415.03</v>
      </c>
      <c r="Q1079">
        <v>174821.41</v>
      </c>
      <c r="R1079" t="s">
        <v>65</v>
      </c>
      <c r="S1079">
        <v>859071.03</v>
      </c>
      <c r="T1079">
        <v>0</v>
      </c>
      <c r="U1079" t="s">
        <v>73</v>
      </c>
      <c r="V1079" t="s">
        <v>10</v>
      </c>
      <c r="W1079" t="s">
        <v>67</v>
      </c>
      <c r="X1079" t="s">
        <v>195</v>
      </c>
      <c r="Y1079" t="s">
        <v>26</v>
      </c>
      <c r="Z1079">
        <v>1.86</v>
      </c>
      <c r="AA1079">
        <f t="shared" si="48"/>
        <v>174821.41</v>
      </c>
      <c r="AB1079">
        <f t="shared" si="49"/>
        <v>0.20350053010168437</v>
      </c>
      <c r="AC1079">
        <f t="shared" si="50"/>
        <v>0</v>
      </c>
      <c r="AD1079">
        <v>2025</v>
      </c>
      <c r="AE1079">
        <v>11</v>
      </c>
      <c r="AF1079" t="s">
        <v>128</v>
      </c>
      <c r="AG1079" t="s">
        <v>135</v>
      </c>
    </row>
    <row r="1080" spans="1:33">
      <c r="A1080" t="s">
        <v>1231</v>
      </c>
      <c r="B1080">
        <v>45801</v>
      </c>
      <c r="C1080">
        <v>45806</v>
      </c>
      <c r="D1080" t="s">
        <v>27</v>
      </c>
      <c r="E1080">
        <v>300</v>
      </c>
      <c r="F1080">
        <v>684.95</v>
      </c>
      <c r="G1080">
        <v>0.86</v>
      </c>
      <c r="H1080">
        <v>203717.83</v>
      </c>
      <c r="I1080" t="s">
        <v>1727</v>
      </c>
      <c r="J1080">
        <v>606</v>
      </c>
      <c r="K1080">
        <v>181800</v>
      </c>
      <c r="L1080">
        <v>7123.83</v>
      </c>
      <c r="M1080">
        <v>954.07</v>
      </c>
      <c r="N1080">
        <v>1471.18</v>
      </c>
      <c r="O1080">
        <v>191349.08</v>
      </c>
      <c r="P1080">
        <v>21917.83</v>
      </c>
      <c r="Q1080">
        <v>12368.75</v>
      </c>
      <c r="R1080" t="s">
        <v>65</v>
      </c>
      <c r="S1080">
        <v>203717.83</v>
      </c>
      <c r="T1080">
        <v>0</v>
      </c>
      <c r="U1080" t="s">
        <v>66</v>
      </c>
      <c r="V1080" t="s">
        <v>8</v>
      </c>
      <c r="W1080" t="s">
        <v>67</v>
      </c>
      <c r="X1080" t="s">
        <v>115</v>
      </c>
      <c r="Y1080" t="s">
        <v>22</v>
      </c>
      <c r="Z1080">
        <v>0.38</v>
      </c>
      <c r="AA1080">
        <f t="shared" si="48"/>
        <v>12368.75</v>
      </c>
      <c r="AB1080">
        <f t="shared" si="49"/>
        <v>6.0715107754682057E-2</v>
      </c>
      <c r="AC1080">
        <f t="shared" si="50"/>
        <v>0</v>
      </c>
      <c r="AD1080">
        <v>2025</v>
      </c>
      <c r="AE1080">
        <v>5</v>
      </c>
      <c r="AF1080" t="s">
        <v>76</v>
      </c>
      <c r="AG1080" t="s">
        <v>94</v>
      </c>
    </row>
    <row r="1081" spans="1:33">
      <c r="A1081" t="s">
        <v>1232</v>
      </c>
      <c r="B1081">
        <v>45710</v>
      </c>
      <c r="C1081">
        <v>45714</v>
      </c>
      <c r="D1081" t="s">
        <v>21</v>
      </c>
      <c r="E1081">
        <v>500</v>
      </c>
      <c r="F1081">
        <v>822.97</v>
      </c>
      <c r="G1081">
        <v>0.83</v>
      </c>
      <c r="H1081">
        <v>408069.67</v>
      </c>
      <c r="I1081" t="s">
        <v>1726</v>
      </c>
      <c r="J1081">
        <v>735.85</v>
      </c>
      <c r="K1081">
        <v>367925</v>
      </c>
      <c r="L1081">
        <v>3683.64</v>
      </c>
      <c r="M1081">
        <v>2120.0100000000002</v>
      </c>
      <c r="N1081">
        <v>6560.05</v>
      </c>
      <c r="O1081">
        <v>380288.7</v>
      </c>
      <c r="P1081">
        <v>40144.67</v>
      </c>
      <c r="Q1081">
        <v>27780.97</v>
      </c>
      <c r="R1081" t="s">
        <v>65</v>
      </c>
      <c r="S1081">
        <v>408069.67</v>
      </c>
      <c r="T1081">
        <v>0</v>
      </c>
      <c r="U1081" t="s">
        <v>66</v>
      </c>
      <c r="V1081" t="s">
        <v>6</v>
      </c>
      <c r="W1081" t="s">
        <v>67</v>
      </c>
      <c r="X1081" t="s">
        <v>327</v>
      </c>
      <c r="Y1081" t="s">
        <v>26</v>
      </c>
      <c r="Z1081">
        <v>1.0900000000000001</v>
      </c>
      <c r="AA1081">
        <f t="shared" si="48"/>
        <v>27780.97</v>
      </c>
      <c r="AB1081">
        <f t="shared" si="49"/>
        <v>6.8078987590525913E-2</v>
      </c>
      <c r="AC1081">
        <f t="shared" si="50"/>
        <v>0</v>
      </c>
      <c r="AD1081">
        <v>2025</v>
      </c>
      <c r="AE1081">
        <v>2</v>
      </c>
      <c r="AF1081" t="s">
        <v>172</v>
      </c>
      <c r="AG1081" t="s">
        <v>244</v>
      </c>
    </row>
    <row r="1082" spans="1:33">
      <c r="A1082" t="s">
        <v>1233</v>
      </c>
      <c r="B1082">
        <v>45801</v>
      </c>
      <c r="C1082">
        <v>45806</v>
      </c>
      <c r="D1082" t="s">
        <v>23</v>
      </c>
      <c r="E1082">
        <v>300</v>
      </c>
      <c r="F1082">
        <v>1216.0899999999999</v>
      </c>
      <c r="G1082">
        <v>1.46</v>
      </c>
      <c r="H1082">
        <v>359500.53</v>
      </c>
      <c r="I1082" t="s">
        <v>1726</v>
      </c>
      <c r="J1082">
        <v>1006.68</v>
      </c>
      <c r="K1082">
        <v>302004</v>
      </c>
      <c r="L1082">
        <v>5467.69</v>
      </c>
      <c r="M1082">
        <v>895.12</v>
      </c>
      <c r="N1082">
        <v>5907.39</v>
      </c>
      <c r="O1082">
        <v>314274.2</v>
      </c>
      <c r="P1082">
        <v>57496.53</v>
      </c>
      <c r="Q1082">
        <v>45226.33</v>
      </c>
      <c r="R1082" t="s">
        <v>65</v>
      </c>
      <c r="S1082">
        <v>359500.53</v>
      </c>
      <c r="T1082">
        <v>0</v>
      </c>
      <c r="U1082" t="s">
        <v>73</v>
      </c>
      <c r="V1082" t="s">
        <v>10</v>
      </c>
      <c r="W1082" t="s">
        <v>67</v>
      </c>
      <c r="X1082" t="s">
        <v>195</v>
      </c>
      <c r="Y1082" t="s">
        <v>26</v>
      </c>
      <c r="Z1082">
        <v>1.45</v>
      </c>
      <c r="AA1082">
        <f t="shared" si="48"/>
        <v>45226.33</v>
      </c>
      <c r="AB1082">
        <f t="shared" si="49"/>
        <v>0.12580323595072307</v>
      </c>
      <c r="AC1082">
        <f t="shared" si="50"/>
        <v>0</v>
      </c>
      <c r="AD1082">
        <v>2025</v>
      </c>
      <c r="AE1082">
        <v>5</v>
      </c>
      <c r="AF1082" t="s">
        <v>76</v>
      </c>
      <c r="AG1082" t="s">
        <v>94</v>
      </c>
    </row>
    <row r="1083" spans="1:33">
      <c r="A1083" t="s">
        <v>1234</v>
      </c>
      <c r="B1083">
        <v>45321</v>
      </c>
      <c r="D1083" t="s">
        <v>21</v>
      </c>
      <c r="E1083">
        <v>200</v>
      </c>
      <c r="F1083">
        <v>860.55</v>
      </c>
      <c r="G1083">
        <v>7.0000000000000007E-2</v>
      </c>
      <c r="H1083">
        <v>0</v>
      </c>
      <c r="I1083" t="s">
        <v>1726</v>
      </c>
      <c r="J1083">
        <v>692.12</v>
      </c>
      <c r="K1083">
        <v>0</v>
      </c>
      <c r="L1083">
        <v>0</v>
      </c>
      <c r="M1083">
        <v>0</v>
      </c>
      <c r="N1083">
        <v>0</v>
      </c>
      <c r="O1083">
        <v>0</v>
      </c>
      <c r="P1083">
        <v>0</v>
      </c>
      <c r="Q1083">
        <v>0</v>
      </c>
      <c r="R1083" t="s">
        <v>65</v>
      </c>
      <c r="S1083">
        <v>0</v>
      </c>
      <c r="T1083">
        <v>0</v>
      </c>
      <c r="U1083" t="s">
        <v>117</v>
      </c>
      <c r="V1083" t="s">
        <v>16</v>
      </c>
      <c r="W1083" t="s">
        <v>80</v>
      </c>
      <c r="X1083" t="s">
        <v>285</v>
      </c>
      <c r="Y1083" t="s">
        <v>28</v>
      </c>
      <c r="Z1083">
        <v>1.44</v>
      </c>
      <c r="AA1083">
        <f t="shared" si="48"/>
        <v>0</v>
      </c>
      <c r="AB1083" t="e">
        <f t="shared" si="49"/>
        <v>#DIV/0!</v>
      </c>
      <c r="AC1083">
        <f t="shared" si="50"/>
        <v>0</v>
      </c>
      <c r="AD1083">
        <v>2024</v>
      </c>
      <c r="AE1083">
        <v>1</v>
      </c>
      <c r="AF1083" t="s">
        <v>102</v>
      </c>
      <c r="AG1083" t="s">
        <v>103</v>
      </c>
    </row>
    <row r="1084" spans="1:33">
      <c r="A1084" t="s">
        <v>1235</v>
      </c>
      <c r="B1084">
        <v>45956</v>
      </c>
      <c r="D1084" t="s">
        <v>21</v>
      </c>
      <c r="E1084">
        <v>150</v>
      </c>
      <c r="F1084">
        <v>926.49</v>
      </c>
      <c r="G1084">
        <v>0.32</v>
      </c>
      <c r="H1084">
        <v>138528.78</v>
      </c>
      <c r="I1084" t="s">
        <v>1726</v>
      </c>
      <c r="J1084">
        <v>736.04</v>
      </c>
      <c r="K1084">
        <v>110406</v>
      </c>
      <c r="L1084">
        <v>3071.73</v>
      </c>
      <c r="M1084">
        <v>475.97</v>
      </c>
      <c r="N1084">
        <v>6349.26</v>
      </c>
      <c r="O1084">
        <v>120302.96</v>
      </c>
      <c r="P1084">
        <v>28122.78</v>
      </c>
      <c r="Q1084">
        <v>18225.82</v>
      </c>
      <c r="R1084" t="s">
        <v>85</v>
      </c>
      <c r="S1084">
        <v>41771.97</v>
      </c>
      <c r="T1084">
        <v>96756.81</v>
      </c>
      <c r="U1084" t="s">
        <v>91</v>
      </c>
      <c r="V1084" t="s">
        <v>16</v>
      </c>
      <c r="W1084" t="s">
        <v>92</v>
      </c>
      <c r="X1084" t="s">
        <v>375</v>
      </c>
      <c r="Y1084" t="s">
        <v>30</v>
      </c>
      <c r="Z1084">
        <v>1.26</v>
      </c>
      <c r="AA1084">
        <f t="shared" si="48"/>
        <v>18225.82</v>
      </c>
      <c r="AB1084">
        <f t="shared" si="49"/>
        <v>0.13156702888742686</v>
      </c>
      <c r="AC1084">
        <f t="shared" si="50"/>
        <v>0</v>
      </c>
      <c r="AD1084">
        <v>2025</v>
      </c>
      <c r="AE1084">
        <v>10</v>
      </c>
      <c r="AF1084" t="s">
        <v>138</v>
      </c>
      <c r="AG1084" t="s">
        <v>160</v>
      </c>
    </row>
    <row r="1085" spans="1:33">
      <c r="A1085" t="s">
        <v>1236</v>
      </c>
      <c r="B1085">
        <v>45563</v>
      </c>
      <c r="C1085">
        <v>45571</v>
      </c>
      <c r="D1085" t="s">
        <v>27</v>
      </c>
      <c r="E1085">
        <v>200</v>
      </c>
      <c r="F1085">
        <v>777.23</v>
      </c>
      <c r="G1085">
        <v>2.35</v>
      </c>
      <c r="H1085">
        <v>151793.01999999999</v>
      </c>
      <c r="I1085" t="s">
        <v>1726</v>
      </c>
      <c r="J1085">
        <v>605.59</v>
      </c>
      <c r="K1085">
        <v>121118</v>
      </c>
      <c r="L1085">
        <v>1578.07</v>
      </c>
      <c r="M1085">
        <v>359.33</v>
      </c>
      <c r="N1085">
        <v>1187.1300000000001</v>
      </c>
      <c r="O1085">
        <v>124242.53</v>
      </c>
      <c r="P1085">
        <v>30675.02</v>
      </c>
      <c r="Q1085">
        <v>27550.49</v>
      </c>
      <c r="R1085" t="s">
        <v>65</v>
      </c>
      <c r="S1085">
        <v>151793.01999999999</v>
      </c>
      <c r="T1085">
        <v>0</v>
      </c>
      <c r="U1085" t="s">
        <v>66</v>
      </c>
      <c r="V1085" t="s">
        <v>14</v>
      </c>
      <c r="W1085" t="s">
        <v>74</v>
      </c>
      <c r="X1085" t="s">
        <v>108</v>
      </c>
      <c r="Y1085" t="s">
        <v>22</v>
      </c>
      <c r="Z1085">
        <v>1.33</v>
      </c>
      <c r="AA1085">
        <f t="shared" si="48"/>
        <v>27550.49</v>
      </c>
      <c r="AB1085">
        <f t="shared" si="49"/>
        <v>0.1815003746549084</v>
      </c>
      <c r="AC1085">
        <f t="shared" si="50"/>
        <v>0</v>
      </c>
      <c r="AD1085">
        <v>2024</v>
      </c>
      <c r="AE1085">
        <v>9</v>
      </c>
      <c r="AF1085" t="s">
        <v>131</v>
      </c>
      <c r="AG1085" t="s">
        <v>188</v>
      </c>
    </row>
    <row r="1086" spans="1:33">
      <c r="A1086" t="s">
        <v>1237</v>
      </c>
      <c r="B1086">
        <v>45313</v>
      </c>
      <c r="C1086">
        <v>45323</v>
      </c>
      <c r="D1086" t="s">
        <v>23</v>
      </c>
      <c r="E1086">
        <v>50</v>
      </c>
      <c r="F1086">
        <v>1287.55</v>
      </c>
      <c r="G1086">
        <v>2.4900000000000002</v>
      </c>
      <c r="H1086">
        <v>62774.5</v>
      </c>
      <c r="I1086" t="s">
        <v>1728</v>
      </c>
      <c r="J1086">
        <v>996.25</v>
      </c>
      <c r="K1086">
        <v>49812.5</v>
      </c>
      <c r="L1086">
        <v>1093.06</v>
      </c>
      <c r="M1086">
        <v>108.53</v>
      </c>
      <c r="N1086">
        <v>8944.2199999999993</v>
      </c>
      <c r="O1086">
        <v>59958.31</v>
      </c>
      <c r="P1086">
        <v>12962</v>
      </c>
      <c r="Q1086">
        <v>2816.19</v>
      </c>
      <c r="R1086" t="s">
        <v>65</v>
      </c>
      <c r="S1086">
        <v>62774.5</v>
      </c>
      <c r="T1086">
        <v>0</v>
      </c>
      <c r="U1086" t="s">
        <v>73</v>
      </c>
      <c r="V1086" t="s">
        <v>6</v>
      </c>
      <c r="W1086" t="s">
        <v>80</v>
      </c>
      <c r="X1086" t="s">
        <v>239</v>
      </c>
      <c r="Y1086" t="s">
        <v>28</v>
      </c>
      <c r="Z1086">
        <v>2.48</v>
      </c>
      <c r="AA1086">
        <f t="shared" si="48"/>
        <v>2816.19</v>
      </c>
      <c r="AB1086">
        <f t="shared" si="49"/>
        <v>4.4862006069343444E-2</v>
      </c>
      <c r="AC1086">
        <f t="shared" si="50"/>
        <v>0</v>
      </c>
      <c r="AD1086">
        <v>2024</v>
      </c>
      <c r="AE1086">
        <v>1</v>
      </c>
      <c r="AF1086" t="s">
        <v>102</v>
      </c>
      <c r="AG1086" t="s">
        <v>103</v>
      </c>
    </row>
    <row r="1087" spans="1:33">
      <c r="A1087" t="s">
        <v>1238</v>
      </c>
      <c r="B1087">
        <v>45822</v>
      </c>
      <c r="C1087">
        <v>45832</v>
      </c>
      <c r="D1087" t="s">
        <v>21</v>
      </c>
      <c r="E1087">
        <v>200</v>
      </c>
      <c r="F1087">
        <v>875.11</v>
      </c>
      <c r="G1087">
        <v>1.64</v>
      </c>
      <c r="H1087">
        <v>172151.64</v>
      </c>
      <c r="I1087" t="s">
        <v>1726</v>
      </c>
      <c r="J1087">
        <v>710.3</v>
      </c>
      <c r="K1087">
        <v>142060</v>
      </c>
      <c r="L1087">
        <v>3486.34</v>
      </c>
      <c r="M1087">
        <v>524.07000000000005</v>
      </c>
      <c r="N1087">
        <v>2430.71</v>
      </c>
      <c r="O1087">
        <v>148501.12</v>
      </c>
      <c r="P1087">
        <v>30091.64</v>
      </c>
      <c r="Q1087">
        <v>23650.52</v>
      </c>
      <c r="R1087" t="s">
        <v>65</v>
      </c>
      <c r="S1087">
        <v>172151.64</v>
      </c>
      <c r="T1087">
        <v>0</v>
      </c>
      <c r="U1087" t="s">
        <v>66</v>
      </c>
      <c r="V1087" t="s">
        <v>6</v>
      </c>
      <c r="W1087" t="s">
        <v>67</v>
      </c>
      <c r="X1087" t="s">
        <v>108</v>
      </c>
      <c r="Y1087" t="s">
        <v>22</v>
      </c>
      <c r="Z1087">
        <v>1.97</v>
      </c>
      <c r="AA1087">
        <f t="shared" si="48"/>
        <v>23650.52</v>
      </c>
      <c r="AB1087">
        <f t="shared" si="49"/>
        <v>0.13738190353574325</v>
      </c>
      <c r="AC1087">
        <f t="shared" si="50"/>
        <v>0</v>
      </c>
      <c r="AD1087">
        <v>2025</v>
      </c>
      <c r="AE1087">
        <v>6</v>
      </c>
      <c r="AF1087" t="s">
        <v>111</v>
      </c>
      <c r="AG1087" t="s">
        <v>112</v>
      </c>
    </row>
    <row r="1088" spans="1:33">
      <c r="A1088" t="s">
        <v>1239</v>
      </c>
      <c r="B1088">
        <v>45954</v>
      </c>
      <c r="C1088">
        <v>45957</v>
      </c>
      <c r="D1088" t="s">
        <v>23</v>
      </c>
      <c r="E1088">
        <v>250</v>
      </c>
      <c r="F1088">
        <v>1384.6</v>
      </c>
      <c r="G1088">
        <v>2.2000000000000002</v>
      </c>
      <c r="H1088">
        <v>338534.7</v>
      </c>
      <c r="I1088" t="s">
        <v>1726</v>
      </c>
      <c r="J1088">
        <v>1025.7</v>
      </c>
      <c r="K1088">
        <v>256425</v>
      </c>
      <c r="L1088">
        <v>2585.13</v>
      </c>
      <c r="M1088">
        <v>1365.77</v>
      </c>
      <c r="N1088">
        <v>4730.21</v>
      </c>
      <c r="O1088">
        <v>265106.11</v>
      </c>
      <c r="P1088">
        <v>82109.7</v>
      </c>
      <c r="Q1088">
        <v>73428.59</v>
      </c>
      <c r="R1088" t="s">
        <v>65</v>
      </c>
      <c r="S1088">
        <v>338534.7</v>
      </c>
      <c r="T1088">
        <v>0</v>
      </c>
      <c r="U1088" t="s">
        <v>66</v>
      </c>
      <c r="V1088" t="s">
        <v>6</v>
      </c>
      <c r="W1088" t="s">
        <v>67</v>
      </c>
      <c r="X1088" t="s">
        <v>224</v>
      </c>
      <c r="Y1088" t="s">
        <v>31</v>
      </c>
      <c r="Z1088">
        <v>1</v>
      </c>
      <c r="AA1088">
        <f t="shared" si="48"/>
        <v>73428.59</v>
      </c>
      <c r="AB1088">
        <f t="shared" si="49"/>
        <v>0.21690122164729345</v>
      </c>
      <c r="AC1088">
        <f t="shared" si="50"/>
        <v>0</v>
      </c>
      <c r="AD1088">
        <v>2025</v>
      </c>
      <c r="AE1088">
        <v>10</v>
      </c>
      <c r="AF1088" t="s">
        <v>138</v>
      </c>
      <c r="AG1088" t="s">
        <v>160</v>
      </c>
    </row>
    <row r="1089" spans="1:33">
      <c r="A1089" t="s">
        <v>1240</v>
      </c>
      <c r="B1089">
        <v>46015</v>
      </c>
      <c r="C1089">
        <v>46020</v>
      </c>
      <c r="D1089" t="s">
        <v>25</v>
      </c>
      <c r="E1089">
        <v>500</v>
      </c>
      <c r="F1089">
        <v>1020.81</v>
      </c>
      <c r="G1089">
        <v>2.2400000000000002</v>
      </c>
      <c r="H1089">
        <v>498971.93</v>
      </c>
      <c r="I1089" t="s">
        <v>1729</v>
      </c>
      <c r="J1089">
        <v>779.43</v>
      </c>
      <c r="K1089">
        <v>389715</v>
      </c>
      <c r="L1089">
        <v>9591.0300000000007</v>
      </c>
      <c r="M1089">
        <v>1431.82</v>
      </c>
      <c r="N1089">
        <v>436.71</v>
      </c>
      <c r="O1089">
        <v>401174.56</v>
      </c>
      <c r="P1089">
        <v>109256.93</v>
      </c>
      <c r="Q1089">
        <v>97797.37</v>
      </c>
      <c r="R1089" t="s">
        <v>65</v>
      </c>
      <c r="S1089">
        <v>498971.93</v>
      </c>
      <c r="T1089">
        <v>0</v>
      </c>
      <c r="U1089" t="s">
        <v>66</v>
      </c>
      <c r="V1089" t="s">
        <v>8</v>
      </c>
      <c r="W1089" t="s">
        <v>80</v>
      </c>
      <c r="X1089" t="s">
        <v>145</v>
      </c>
      <c r="Y1089" t="s">
        <v>30</v>
      </c>
      <c r="Z1089">
        <v>2.2000000000000002</v>
      </c>
      <c r="AA1089">
        <f t="shared" si="48"/>
        <v>97797.37</v>
      </c>
      <c r="AB1089">
        <f t="shared" si="49"/>
        <v>0.19599773879063698</v>
      </c>
      <c r="AC1089">
        <f t="shared" si="50"/>
        <v>0</v>
      </c>
      <c r="AD1089">
        <v>2025</v>
      </c>
      <c r="AE1089">
        <v>12</v>
      </c>
      <c r="AF1089" t="s">
        <v>98</v>
      </c>
      <c r="AG1089" t="s">
        <v>168</v>
      </c>
    </row>
    <row r="1090" spans="1:33">
      <c r="A1090" t="s">
        <v>1241</v>
      </c>
      <c r="B1090">
        <v>45845</v>
      </c>
      <c r="D1090" t="s">
        <v>29</v>
      </c>
      <c r="E1090">
        <v>1000</v>
      </c>
      <c r="F1090">
        <v>2842.56</v>
      </c>
      <c r="G1090">
        <v>0.31</v>
      </c>
      <c r="H1090">
        <v>0</v>
      </c>
      <c r="I1090" t="s">
        <v>1726</v>
      </c>
      <c r="J1090">
        <v>2168.4899999999998</v>
      </c>
      <c r="K1090">
        <v>0</v>
      </c>
      <c r="L1090">
        <v>0</v>
      </c>
      <c r="M1090">
        <v>0</v>
      </c>
      <c r="N1090">
        <v>0</v>
      </c>
      <c r="O1090">
        <v>0</v>
      </c>
      <c r="P1090">
        <v>0</v>
      </c>
      <c r="Q1090">
        <v>0</v>
      </c>
      <c r="R1090" t="s">
        <v>65</v>
      </c>
      <c r="S1090">
        <v>0</v>
      </c>
      <c r="T1090">
        <v>0</v>
      </c>
      <c r="U1090" t="s">
        <v>117</v>
      </c>
      <c r="V1090" t="s">
        <v>6</v>
      </c>
      <c r="W1090" t="s">
        <v>74</v>
      </c>
      <c r="X1090" t="s">
        <v>193</v>
      </c>
      <c r="Y1090" t="s">
        <v>30</v>
      </c>
      <c r="Z1090">
        <v>1.55</v>
      </c>
      <c r="AA1090">
        <f t="shared" ref="AA1090:AA1153" si="51">ROUND(H1090-O1090,2)</f>
        <v>0</v>
      </c>
      <c r="AB1090" t="e">
        <f t="shared" ref="AB1090:AB1153" si="52">AA1090/H1090</f>
        <v>#DIV/0!</v>
      </c>
      <c r="AC1090">
        <f t="shared" ref="AC1090:AC1153" si="53">ROUND(AA1090-Q1090,2)</f>
        <v>0</v>
      </c>
      <c r="AD1090">
        <v>2025</v>
      </c>
      <c r="AE1090">
        <v>7</v>
      </c>
      <c r="AF1090" t="s">
        <v>69</v>
      </c>
      <c r="AG1090" t="s">
        <v>151</v>
      </c>
    </row>
    <row r="1091" spans="1:33">
      <c r="A1091" t="s">
        <v>1242</v>
      </c>
      <c r="B1091">
        <v>45935</v>
      </c>
      <c r="C1091">
        <v>45945</v>
      </c>
      <c r="D1091" t="s">
        <v>21</v>
      </c>
      <c r="E1091">
        <v>250</v>
      </c>
      <c r="F1091">
        <v>851.85</v>
      </c>
      <c r="G1091">
        <v>0.2</v>
      </c>
      <c r="H1091">
        <v>212536.58</v>
      </c>
      <c r="I1091" t="s">
        <v>1729</v>
      </c>
      <c r="J1091">
        <v>714.46</v>
      </c>
      <c r="K1091">
        <v>178615</v>
      </c>
      <c r="L1091">
        <v>4619.6499999999996</v>
      </c>
      <c r="M1091">
        <v>908.34</v>
      </c>
      <c r="N1091">
        <v>8832.44</v>
      </c>
      <c r="O1091">
        <v>192975.43</v>
      </c>
      <c r="P1091">
        <v>33921.58</v>
      </c>
      <c r="Q1091">
        <v>19561.150000000001</v>
      </c>
      <c r="R1091" t="s">
        <v>65</v>
      </c>
      <c r="S1091">
        <v>212536.58</v>
      </c>
      <c r="T1091">
        <v>0</v>
      </c>
      <c r="U1091" t="s">
        <v>66</v>
      </c>
      <c r="V1091" t="s">
        <v>8</v>
      </c>
      <c r="W1091" t="s">
        <v>80</v>
      </c>
      <c r="X1091" t="s">
        <v>115</v>
      </c>
      <c r="Y1091" t="s">
        <v>22</v>
      </c>
      <c r="Z1091">
        <v>2.33</v>
      </c>
      <c r="AA1091">
        <f t="shared" si="51"/>
        <v>19561.150000000001</v>
      </c>
      <c r="AB1091">
        <f t="shared" si="52"/>
        <v>9.2036627294934378E-2</v>
      </c>
      <c r="AC1091">
        <f t="shared" si="53"/>
        <v>0</v>
      </c>
      <c r="AD1091">
        <v>2025</v>
      </c>
      <c r="AE1091">
        <v>10</v>
      </c>
      <c r="AF1091" t="s">
        <v>138</v>
      </c>
      <c r="AG1091" t="s">
        <v>160</v>
      </c>
    </row>
    <row r="1092" spans="1:33">
      <c r="A1092" t="s">
        <v>1243</v>
      </c>
      <c r="B1092">
        <v>46012</v>
      </c>
      <c r="D1092" t="s">
        <v>21</v>
      </c>
      <c r="E1092">
        <v>1000</v>
      </c>
      <c r="F1092">
        <v>937.2</v>
      </c>
      <c r="G1092">
        <v>4.83</v>
      </c>
      <c r="H1092">
        <v>891933.24</v>
      </c>
      <c r="I1092" t="s">
        <v>1728</v>
      </c>
      <c r="J1092">
        <v>680.42</v>
      </c>
      <c r="K1092">
        <v>680420</v>
      </c>
      <c r="L1092">
        <v>16825.27</v>
      </c>
      <c r="M1092">
        <v>2543.91</v>
      </c>
      <c r="N1092">
        <v>1390.38</v>
      </c>
      <c r="O1092">
        <v>701179.56</v>
      </c>
      <c r="P1092">
        <v>211513.24</v>
      </c>
      <c r="Q1092">
        <v>190753.68</v>
      </c>
      <c r="R1092" t="s">
        <v>65</v>
      </c>
      <c r="S1092">
        <v>891933.24</v>
      </c>
      <c r="T1092">
        <v>0</v>
      </c>
      <c r="U1092" t="s">
        <v>91</v>
      </c>
      <c r="V1092" t="s">
        <v>14</v>
      </c>
      <c r="W1092" t="s">
        <v>74</v>
      </c>
      <c r="X1092" t="s">
        <v>110</v>
      </c>
      <c r="Y1092" t="s">
        <v>28</v>
      </c>
      <c r="Z1092">
        <v>1.57</v>
      </c>
      <c r="AA1092">
        <f t="shared" si="51"/>
        <v>190753.68</v>
      </c>
      <c r="AB1092">
        <f t="shared" si="52"/>
        <v>0.21386542338079023</v>
      </c>
      <c r="AC1092">
        <f t="shared" si="53"/>
        <v>0</v>
      </c>
      <c r="AD1092">
        <v>2025</v>
      </c>
      <c r="AE1092">
        <v>12</v>
      </c>
      <c r="AF1092" t="s">
        <v>98</v>
      </c>
      <c r="AG1092" t="s">
        <v>168</v>
      </c>
    </row>
    <row r="1093" spans="1:33">
      <c r="A1093" t="s">
        <v>1244</v>
      </c>
      <c r="B1093">
        <v>45878</v>
      </c>
      <c r="C1093">
        <v>45880</v>
      </c>
      <c r="D1093" t="s">
        <v>21</v>
      </c>
      <c r="E1093">
        <v>150</v>
      </c>
      <c r="F1093">
        <v>810.16</v>
      </c>
      <c r="G1093">
        <v>0.35</v>
      </c>
      <c r="H1093">
        <v>121098.67</v>
      </c>
      <c r="I1093" t="s">
        <v>1728</v>
      </c>
      <c r="J1093">
        <v>665.09</v>
      </c>
      <c r="K1093">
        <v>99763.5</v>
      </c>
      <c r="L1093">
        <v>1353.9</v>
      </c>
      <c r="M1093">
        <v>515.37</v>
      </c>
      <c r="N1093">
        <v>2238.3200000000002</v>
      </c>
      <c r="O1093">
        <v>103871.09</v>
      </c>
      <c r="P1093">
        <v>21335.17</v>
      </c>
      <c r="Q1093">
        <v>17227.580000000002</v>
      </c>
      <c r="R1093" t="s">
        <v>65</v>
      </c>
      <c r="S1093">
        <v>121098.67</v>
      </c>
      <c r="T1093">
        <v>0</v>
      </c>
      <c r="U1093" t="s">
        <v>66</v>
      </c>
      <c r="V1093" t="s">
        <v>6</v>
      </c>
      <c r="W1093" t="s">
        <v>74</v>
      </c>
      <c r="X1093" t="s">
        <v>371</v>
      </c>
      <c r="Y1093" t="s">
        <v>26</v>
      </c>
      <c r="Z1093">
        <v>0.96</v>
      </c>
      <c r="AA1093">
        <f t="shared" si="51"/>
        <v>17227.580000000002</v>
      </c>
      <c r="AB1093">
        <f t="shared" si="52"/>
        <v>0.14226068709094825</v>
      </c>
      <c r="AC1093">
        <f t="shared" si="53"/>
        <v>0</v>
      </c>
      <c r="AD1093">
        <v>2025</v>
      </c>
      <c r="AE1093">
        <v>8</v>
      </c>
      <c r="AF1093" t="s">
        <v>82</v>
      </c>
      <c r="AG1093" t="s">
        <v>87</v>
      </c>
    </row>
    <row r="1094" spans="1:33">
      <c r="A1094" t="s">
        <v>1245</v>
      </c>
      <c r="B1094">
        <v>45970</v>
      </c>
      <c r="C1094">
        <v>45982</v>
      </c>
      <c r="D1094" t="s">
        <v>23</v>
      </c>
      <c r="E1094">
        <v>300</v>
      </c>
      <c r="F1094">
        <v>1343.09</v>
      </c>
      <c r="G1094">
        <v>1.31</v>
      </c>
      <c r="H1094">
        <v>397648.66</v>
      </c>
      <c r="I1094" t="s">
        <v>1728</v>
      </c>
      <c r="J1094">
        <v>1107.07</v>
      </c>
      <c r="K1094">
        <v>332121</v>
      </c>
      <c r="L1094">
        <v>6389.88</v>
      </c>
      <c r="M1094">
        <v>1457.42</v>
      </c>
      <c r="N1094">
        <v>2211.9699999999998</v>
      </c>
      <c r="O1094">
        <v>342180.27</v>
      </c>
      <c r="P1094">
        <v>65527.66</v>
      </c>
      <c r="Q1094">
        <v>55468.39</v>
      </c>
      <c r="R1094" t="s">
        <v>65</v>
      </c>
      <c r="S1094">
        <v>397648.66</v>
      </c>
      <c r="T1094">
        <v>0</v>
      </c>
      <c r="U1094" t="s">
        <v>66</v>
      </c>
      <c r="V1094" t="s">
        <v>16</v>
      </c>
      <c r="W1094" t="s">
        <v>74</v>
      </c>
      <c r="X1094" t="s">
        <v>97</v>
      </c>
      <c r="Y1094" t="s">
        <v>24</v>
      </c>
      <c r="Z1094">
        <v>1.7</v>
      </c>
      <c r="AA1094">
        <f t="shared" si="51"/>
        <v>55468.39</v>
      </c>
      <c r="AB1094">
        <f t="shared" si="52"/>
        <v>0.13949095163554681</v>
      </c>
      <c r="AC1094">
        <f t="shared" si="53"/>
        <v>0</v>
      </c>
      <c r="AD1094">
        <v>2025</v>
      </c>
      <c r="AE1094">
        <v>11</v>
      </c>
      <c r="AF1094" t="s">
        <v>128</v>
      </c>
      <c r="AG1094" t="s">
        <v>135</v>
      </c>
    </row>
    <row r="1095" spans="1:33">
      <c r="A1095" t="s">
        <v>1246</v>
      </c>
      <c r="B1095">
        <v>45992</v>
      </c>
      <c r="C1095">
        <v>46000</v>
      </c>
      <c r="D1095" t="s">
        <v>21</v>
      </c>
      <c r="E1095">
        <v>1000</v>
      </c>
      <c r="F1095">
        <v>911.5</v>
      </c>
      <c r="G1095">
        <v>0.54</v>
      </c>
      <c r="H1095">
        <v>906577.9</v>
      </c>
      <c r="I1095" t="s">
        <v>1726</v>
      </c>
      <c r="J1095">
        <v>683.23</v>
      </c>
      <c r="K1095">
        <v>683230</v>
      </c>
      <c r="L1095">
        <v>13517.33</v>
      </c>
      <c r="M1095">
        <v>2489.9699999999998</v>
      </c>
      <c r="N1095">
        <v>10711.44</v>
      </c>
      <c r="O1095">
        <v>709948.74</v>
      </c>
      <c r="P1095">
        <v>223347.9</v>
      </c>
      <c r="Q1095">
        <v>196629.16</v>
      </c>
      <c r="R1095" t="s">
        <v>65</v>
      </c>
      <c r="S1095">
        <v>906577.9</v>
      </c>
      <c r="T1095">
        <v>0</v>
      </c>
      <c r="U1095" t="s">
        <v>73</v>
      </c>
      <c r="V1095" t="s">
        <v>16</v>
      </c>
      <c r="W1095" t="s">
        <v>74</v>
      </c>
      <c r="X1095" t="s">
        <v>375</v>
      </c>
      <c r="Y1095" t="s">
        <v>30</v>
      </c>
      <c r="Z1095">
        <v>2</v>
      </c>
      <c r="AA1095">
        <f t="shared" si="51"/>
        <v>196629.16</v>
      </c>
      <c r="AB1095">
        <f t="shared" si="52"/>
        <v>0.21689163170644243</v>
      </c>
      <c r="AC1095">
        <f t="shared" si="53"/>
        <v>0</v>
      </c>
      <c r="AD1095">
        <v>2025</v>
      </c>
      <c r="AE1095">
        <v>12</v>
      </c>
      <c r="AF1095" t="s">
        <v>98</v>
      </c>
      <c r="AG1095" t="s">
        <v>168</v>
      </c>
    </row>
    <row r="1096" spans="1:33">
      <c r="A1096" t="s">
        <v>1247</v>
      </c>
      <c r="B1096">
        <v>45742</v>
      </c>
      <c r="C1096">
        <v>45752</v>
      </c>
      <c r="D1096" t="s">
        <v>23</v>
      </c>
      <c r="E1096">
        <v>300</v>
      </c>
      <c r="F1096">
        <v>1341.68</v>
      </c>
      <c r="G1096">
        <v>1.1000000000000001</v>
      </c>
      <c r="H1096">
        <v>398076.46</v>
      </c>
      <c r="I1096" t="s">
        <v>1728</v>
      </c>
      <c r="J1096">
        <v>1037.8800000000001</v>
      </c>
      <c r="K1096">
        <v>311364</v>
      </c>
      <c r="L1096">
        <v>3515.91</v>
      </c>
      <c r="M1096">
        <v>1343.47</v>
      </c>
      <c r="N1096">
        <v>8214.09</v>
      </c>
      <c r="O1096">
        <v>324437.46999999997</v>
      </c>
      <c r="P1096">
        <v>86712.46</v>
      </c>
      <c r="Q1096">
        <v>73638.990000000005</v>
      </c>
      <c r="R1096" t="s">
        <v>65</v>
      </c>
      <c r="S1096">
        <v>398076.46</v>
      </c>
      <c r="T1096">
        <v>0</v>
      </c>
      <c r="U1096" t="s">
        <v>73</v>
      </c>
      <c r="V1096" t="s">
        <v>10</v>
      </c>
      <c r="W1096" t="s">
        <v>74</v>
      </c>
      <c r="X1096" t="s">
        <v>162</v>
      </c>
      <c r="Y1096" t="s">
        <v>26</v>
      </c>
      <c r="Z1096">
        <v>1.63</v>
      </c>
      <c r="AA1096">
        <f t="shared" si="51"/>
        <v>73638.990000000005</v>
      </c>
      <c r="AB1096">
        <f t="shared" si="52"/>
        <v>0.1849870499752736</v>
      </c>
      <c r="AC1096">
        <f t="shared" si="53"/>
        <v>0</v>
      </c>
      <c r="AD1096">
        <v>2025</v>
      </c>
      <c r="AE1096">
        <v>3</v>
      </c>
      <c r="AF1096" t="s">
        <v>105</v>
      </c>
      <c r="AG1096" t="s">
        <v>106</v>
      </c>
    </row>
    <row r="1097" spans="1:33">
      <c r="A1097" t="s">
        <v>1248</v>
      </c>
      <c r="B1097">
        <v>45591</v>
      </c>
      <c r="D1097" t="s">
        <v>23</v>
      </c>
      <c r="E1097">
        <v>100</v>
      </c>
      <c r="F1097">
        <v>1363.83</v>
      </c>
      <c r="G1097">
        <v>1.66</v>
      </c>
      <c r="H1097">
        <v>134119.04000000001</v>
      </c>
      <c r="I1097" t="s">
        <v>1726</v>
      </c>
      <c r="J1097">
        <v>1027.6600000000001</v>
      </c>
      <c r="K1097">
        <v>102766</v>
      </c>
      <c r="L1097">
        <v>511.25</v>
      </c>
      <c r="M1097">
        <v>492.23</v>
      </c>
      <c r="N1097">
        <v>762.93</v>
      </c>
      <c r="O1097">
        <v>104532.41</v>
      </c>
      <c r="P1097">
        <v>31353.040000000001</v>
      </c>
      <c r="Q1097">
        <v>29586.63</v>
      </c>
      <c r="R1097" t="s">
        <v>65</v>
      </c>
      <c r="S1097">
        <v>134119.04000000001</v>
      </c>
      <c r="T1097">
        <v>0</v>
      </c>
      <c r="U1097" t="s">
        <v>91</v>
      </c>
      <c r="V1097" t="s">
        <v>6</v>
      </c>
      <c r="W1097" t="s">
        <v>67</v>
      </c>
      <c r="X1097" t="s">
        <v>97</v>
      </c>
      <c r="Y1097" t="s">
        <v>24</v>
      </c>
      <c r="Z1097">
        <v>0.43</v>
      </c>
      <c r="AA1097">
        <f t="shared" si="51"/>
        <v>29586.63</v>
      </c>
      <c r="AB1097">
        <f t="shared" si="52"/>
        <v>0.22059977464795452</v>
      </c>
      <c r="AC1097">
        <f t="shared" si="53"/>
        <v>0</v>
      </c>
      <c r="AD1097">
        <v>2024</v>
      </c>
      <c r="AE1097">
        <v>10</v>
      </c>
      <c r="AF1097" t="s">
        <v>138</v>
      </c>
      <c r="AG1097" t="s">
        <v>139</v>
      </c>
    </row>
    <row r="1098" spans="1:33">
      <c r="A1098" t="s">
        <v>1249</v>
      </c>
      <c r="B1098">
        <v>45320</v>
      </c>
      <c r="D1098" t="s">
        <v>25</v>
      </c>
      <c r="E1098">
        <v>150</v>
      </c>
      <c r="F1098">
        <v>995.45</v>
      </c>
      <c r="G1098">
        <v>0.22</v>
      </c>
      <c r="H1098">
        <v>0</v>
      </c>
      <c r="I1098" t="s">
        <v>1728</v>
      </c>
      <c r="J1098">
        <v>807.41</v>
      </c>
      <c r="K1098">
        <v>0</v>
      </c>
      <c r="L1098">
        <v>0</v>
      </c>
      <c r="M1098">
        <v>0</v>
      </c>
      <c r="N1098">
        <v>0</v>
      </c>
      <c r="O1098">
        <v>0</v>
      </c>
      <c r="P1098">
        <v>0</v>
      </c>
      <c r="Q1098">
        <v>0</v>
      </c>
      <c r="R1098" t="s">
        <v>65</v>
      </c>
      <c r="S1098">
        <v>0</v>
      </c>
      <c r="T1098">
        <v>0</v>
      </c>
      <c r="U1098" t="s">
        <v>117</v>
      </c>
      <c r="V1098" t="s">
        <v>14</v>
      </c>
      <c r="W1098" t="s">
        <v>80</v>
      </c>
      <c r="X1098" t="s">
        <v>115</v>
      </c>
      <c r="Y1098" t="s">
        <v>22</v>
      </c>
      <c r="Z1098">
        <v>1.96</v>
      </c>
      <c r="AA1098">
        <f t="shared" si="51"/>
        <v>0</v>
      </c>
      <c r="AB1098" t="e">
        <f t="shared" si="52"/>
        <v>#DIV/0!</v>
      </c>
      <c r="AC1098">
        <f t="shared" si="53"/>
        <v>0</v>
      </c>
      <c r="AD1098">
        <v>2024</v>
      </c>
      <c r="AE1098">
        <v>1</v>
      </c>
      <c r="AF1098" t="s">
        <v>102</v>
      </c>
      <c r="AG1098" t="s">
        <v>103</v>
      </c>
    </row>
    <row r="1099" spans="1:33">
      <c r="A1099" t="s">
        <v>1250</v>
      </c>
      <c r="B1099">
        <v>45300</v>
      </c>
      <c r="C1099">
        <v>45311</v>
      </c>
      <c r="D1099" t="s">
        <v>21</v>
      </c>
      <c r="E1099">
        <v>50</v>
      </c>
      <c r="F1099">
        <v>862.01</v>
      </c>
      <c r="G1099">
        <v>1.39</v>
      </c>
      <c r="H1099">
        <v>42501.4</v>
      </c>
      <c r="I1099" t="s">
        <v>1726</v>
      </c>
      <c r="J1099">
        <v>663.97</v>
      </c>
      <c r="K1099">
        <v>33198.5</v>
      </c>
      <c r="L1099">
        <v>786.24</v>
      </c>
      <c r="M1099">
        <v>159.69</v>
      </c>
      <c r="N1099">
        <v>10051.44</v>
      </c>
      <c r="O1099">
        <v>44195.87</v>
      </c>
      <c r="P1099">
        <v>9302.9</v>
      </c>
      <c r="Q1099">
        <v>-1694.47</v>
      </c>
      <c r="R1099" t="s">
        <v>85</v>
      </c>
      <c r="S1099">
        <v>13588.69</v>
      </c>
      <c r="T1099">
        <v>28912.71</v>
      </c>
      <c r="U1099" t="s">
        <v>66</v>
      </c>
      <c r="V1099" t="s">
        <v>12</v>
      </c>
      <c r="W1099" t="s">
        <v>141</v>
      </c>
      <c r="X1099" t="s">
        <v>93</v>
      </c>
      <c r="Y1099" t="s">
        <v>26</v>
      </c>
      <c r="Z1099">
        <v>2.41</v>
      </c>
      <c r="AA1099">
        <f t="shared" si="51"/>
        <v>-1694.47</v>
      </c>
      <c r="AB1099">
        <f t="shared" si="52"/>
        <v>-3.9868569035372954E-2</v>
      </c>
      <c r="AC1099">
        <f t="shared" si="53"/>
        <v>0</v>
      </c>
      <c r="AD1099">
        <v>2024</v>
      </c>
      <c r="AE1099">
        <v>1</v>
      </c>
      <c r="AF1099" t="s">
        <v>102</v>
      </c>
      <c r="AG1099" t="s">
        <v>103</v>
      </c>
    </row>
    <row r="1100" spans="1:33">
      <c r="A1100" t="s">
        <v>1251</v>
      </c>
      <c r="B1100">
        <v>45559</v>
      </c>
      <c r="C1100">
        <v>45569</v>
      </c>
      <c r="D1100" t="s">
        <v>21</v>
      </c>
      <c r="E1100">
        <v>150</v>
      </c>
      <c r="F1100">
        <v>923.65</v>
      </c>
      <c r="G1100">
        <v>2.35</v>
      </c>
      <c r="H1100">
        <v>135291.63</v>
      </c>
      <c r="I1100" t="s">
        <v>1728</v>
      </c>
      <c r="J1100">
        <v>731.29</v>
      </c>
      <c r="K1100">
        <v>109693.5</v>
      </c>
      <c r="L1100">
        <v>1472.63</v>
      </c>
      <c r="M1100">
        <v>525.45000000000005</v>
      </c>
      <c r="N1100">
        <v>647.01</v>
      </c>
      <c r="O1100">
        <v>112338.59</v>
      </c>
      <c r="P1100">
        <v>25598.13</v>
      </c>
      <c r="Q1100">
        <v>22953.040000000001</v>
      </c>
      <c r="R1100" t="s">
        <v>65</v>
      </c>
      <c r="S1100">
        <v>135291.63</v>
      </c>
      <c r="T1100">
        <v>0</v>
      </c>
      <c r="U1100" t="s">
        <v>66</v>
      </c>
      <c r="V1100" t="s">
        <v>12</v>
      </c>
      <c r="W1100" t="s">
        <v>74</v>
      </c>
      <c r="X1100" t="s">
        <v>176</v>
      </c>
      <c r="Y1100" t="s">
        <v>22</v>
      </c>
      <c r="Z1100">
        <v>0.79</v>
      </c>
      <c r="AA1100">
        <f t="shared" si="51"/>
        <v>22953.040000000001</v>
      </c>
      <c r="AB1100">
        <f t="shared" si="52"/>
        <v>0.16965602380575945</v>
      </c>
      <c r="AC1100">
        <f t="shared" si="53"/>
        <v>0</v>
      </c>
      <c r="AD1100">
        <v>2024</v>
      </c>
      <c r="AE1100">
        <v>9</v>
      </c>
      <c r="AF1100" t="s">
        <v>131</v>
      </c>
      <c r="AG1100" t="s">
        <v>188</v>
      </c>
    </row>
    <row r="1101" spans="1:33">
      <c r="A1101" t="s">
        <v>1252</v>
      </c>
      <c r="B1101">
        <v>45816</v>
      </c>
      <c r="C1101">
        <v>45823</v>
      </c>
      <c r="D1101" t="s">
        <v>21</v>
      </c>
      <c r="E1101">
        <v>200</v>
      </c>
      <c r="F1101">
        <v>906.8</v>
      </c>
      <c r="G1101">
        <v>2.04</v>
      </c>
      <c r="H1101">
        <v>177660.26</v>
      </c>
      <c r="I1101" t="s">
        <v>1727</v>
      </c>
      <c r="J1101">
        <v>686.62</v>
      </c>
      <c r="K1101">
        <v>137324</v>
      </c>
      <c r="L1101">
        <v>4570.25</v>
      </c>
      <c r="M1101">
        <v>323.32</v>
      </c>
      <c r="N1101">
        <v>11682.51</v>
      </c>
      <c r="O1101">
        <v>153900.07999999999</v>
      </c>
      <c r="P1101">
        <v>40336.26</v>
      </c>
      <c r="Q1101">
        <v>23760.18</v>
      </c>
      <c r="R1101" t="s">
        <v>65</v>
      </c>
      <c r="S1101">
        <v>177660.26</v>
      </c>
      <c r="T1101">
        <v>0</v>
      </c>
      <c r="U1101" t="s">
        <v>66</v>
      </c>
      <c r="V1101" t="s">
        <v>8</v>
      </c>
      <c r="W1101" t="s">
        <v>80</v>
      </c>
      <c r="X1101" t="s">
        <v>127</v>
      </c>
      <c r="Y1101" t="s">
        <v>22</v>
      </c>
      <c r="Z1101">
        <v>2.1800000000000002</v>
      </c>
      <c r="AA1101">
        <f t="shared" si="51"/>
        <v>23760.18</v>
      </c>
      <c r="AB1101">
        <f t="shared" si="52"/>
        <v>0.13373941927136659</v>
      </c>
      <c r="AC1101">
        <f t="shared" si="53"/>
        <v>0</v>
      </c>
      <c r="AD1101">
        <v>2025</v>
      </c>
      <c r="AE1101">
        <v>6</v>
      </c>
      <c r="AF1101" t="s">
        <v>111</v>
      </c>
      <c r="AG1101" t="s">
        <v>112</v>
      </c>
    </row>
    <row r="1102" spans="1:33">
      <c r="A1102" t="s">
        <v>1253</v>
      </c>
      <c r="B1102">
        <v>45427</v>
      </c>
      <c r="C1102">
        <v>45432</v>
      </c>
      <c r="D1102" t="s">
        <v>21</v>
      </c>
      <c r="E1102">
        <v>200</v>
      </c>
      <c r="F1102">
        <v>856.62</v>
      </c>
      <c r="G1102">
        <v>1.99</v>
      </c>
      <c r="H1102">
        <v>167914.65</v>
      </c>
      <c r="I1102" t="s">
        <v>1727</v>
      </c>
      <c r="J1102">
        <v>670.94</v>
      </c>
      <c r="K1102">
        <v>134188</v>
      </c>
      <c r="L1102">
        <v>3490.18</v>
      </c>
      <c r="M1102">
        <v>526.78</v>
      </c>
      <c r="N1102">
        <v>1128.8499999999999</v>
      </c>
      <c r="O1102">
        <v>139333.81</v>
      </c>
      <c r="P1102">
        <v>33726.65</v>
      </c>
      <c r="Q1102">
        <v>28580.84</v>
      </c>
      <c r="R1102" t="s">
        <v>65</v>
      </c>
      <c r="S1102">
        <v>167914.65</v>
      </c>
      <c r="T1102">
        <v>0</v>
      </c>
      <c r="U1102" t="s">
        <v>66</v>
      </c>
      <c r="V1102" t="s">
        <v>8</v>
      </c>
      <c r="W1102" t="s">
        <v>67</v>
      </c>
      <c r="X1102" t="s">
        <v>205</v>
      </c>
      <c r="Y1102" t="s">
        <v>24</v>
      </c>
      <c r="Z1102">
        <v>0.63</v>
      </c>
      <c r="AA1102">
        <f t="shared" si="51"/>
        <v>28580.84</v>
      </c>
      <c r="AB1102">
        <f t="shared" si="52"/>
        <v>0.17021052064248118</v>
      </c>
      <c r="AC1102">
        <f t="shared" si="53"/>
        <v>0</v>
      </c>
      <c r="AD1102">
        <v>2024</v>
      </c>
      <c r="AE1102">
        <v>5</v>
      </c>
      <c r="AF1102" t="s">
        <v>76</v>
      </c>
      <c r="AG1102" t="s">
        <v>77</v>
      </c>
    </row>
    <row r="1103" spans="1:33">
      <c r="A1103" t="s">
        <v>1254</v>
      </c>
      <c r="B1103">
        <v>45760</v>
      </c>
      <c r="C1103">
        <v>45773</v>
      </c>
      <c r="D1103" t="s">
        <v>21</v>
      </c>
      <c r="E1103">
        <v>100</v>
      </c>
      <c r="F1103">
        <v>892.78</v>
      </c>
      <c r="G1103">
        <v>0.89</v>
      </c>
      <c r="H1103">
        <v>88483.43</v>
      </c>
      <c r="I1103" t="s">
        <v>1728</v>
      </c>
      <c r="J1103">
        <v>737.92</v>
      </c>
      <c r="K1103">
        <v>73792</v>
      </c>
      <c r="L1103">
        <v>1063.21</v>
      </c>
      <c r="M1103">
        <v>288.01</v>
      </c>
      <c r="N1103">
        <v>10435.290000000001</v>
      </c>
      <c r="O1103">
        <v>85578.51</v>
      </c>
      <c r="P1103">
        <v>14691.43</v>
      </c>
      <c r="Q1103">
        <v>2904.92</v>
      </c>
      <c r="R1103" t="s">
        <v>134</v>
      </c>
      <c r="S1103">
        <v>0</v>
      </c>
      <c r="T1103">
        <v>88483.43</v>
      </c>
      <c r="U1103" t="s">
        <v>73</v>
      </c>
      <c r="V1103" t="s">
        <v>8</v>
      </c>
      <c r="W1103" t="s">
        <v>74</v>
      </c>
      <c r="X1103" t="s">
        <v>375</v>
      </c>
      <c r="Y1103" t="s">
        <v>30</v>
      </c>
      <c r="Z1103">
        <v>0.05</v>
      </c>
      <c r="AA1103">
        <f t="shared" si="51"/>
        <v>2904.92</v>
      </c>
      <c r="AB1103">
        <f t="shared" si="52"/>
        <v>3.2830101635978624E-2</v>
      </c>
      <c r="AC1103">
        <f t="shared" si="53"/>
        <v>0</v>
      </c>
      <c r="AD1103">
        <v>2025</v>
      </c>
      <c r="AE1103">
        <v>4</v>
      </c>
      <c r="AF1103" t="s">
        <v>154</v>
      </c>
      <c r="AG1103" t="s">
        <v>155</v>
      </c>
    </row>
    <row r="1104" spans="1:33">
      <c r="A1104" t="s">
        <v>1255</v>
      </c>
      <c r="B1104">
        <v>45570</v>
      </c>
      <c r="C1104">
        <v>45580</v>
      </c>
      <c r="D1104" t="s">
        <v>23</v>
      </c>
      <c r="E1104">
        <v>300</v>
      </c>
      <c r="F1104">
        <v>1297.8499999999999</v>
      </c>
      <c r="G1104">
        <v>0.11</v>
      </c>
      <c r="H1104">
        <v>388926.71</v>
      </c>
      <c r="I1104" t="s">
        <v>1726</v>
      </c>
      <c r="J1104">
        <v>1099.25</v>
      </c>
      <c r="K1104">
        <v>329775</v>
      </c>
      <c r="L1104">
        <v>5108.07</v>
      </c>
      <c r="M1104">
        <v>712.13</v>
      </c>
      <c r="N1104">
        <v>9441.49</v>
      </c>
      <c r="O1104">
        <v>345036.69</v>
      </c>
      <c r="P1104">
        <v>59151.71</v>
      </c>
      <c r="Q1104">
        <v>43890.02</v>
      </c>
      <c r="R1104" t="s">
        <v>134</v>
      </c>
      <c r="S1104">
        <v>0</v>
      </c>
      <c r="T1104">
        <v>388926.71</v>
      </c>
      <c r="U1104" t="s">
        <v>73</v>
      </c>
      <c r="V1104" t="s">
        <v>14</v>
      </c>
      <c r="W1104" t="s">
        <v>141</v>
      </c>
      <c r="X1104" t="s">
        <v>127</v>
      </c>
      <c r="Y1104" t="s">
        <v>22</v>
      </c>
      <c r="Z1104">
        <v>1.33</v>
      </c>
      <c r="AA1104">
        <f t="shared" si="51"/>
        <v>43890.02</v>
      </c>
      <c r="AB1104">
        <f t="shared" si="52"/>
        <v>0.11284907637225532</v>
      </c>
      <c r="AC1104">
        <f t="shared" si="53"/>
        <v>0</v>
      </c>
      <c r="AD1104">
        <v>2024</v>
      </c>
      <c r="AE1104">
        <v>10</v>
      </c>
      <c r="AF1104" t="s">
        <v>138</v>
      </c>
      <c r="AG1104" t="s">
        <v>139</v>
      </c>
    </row>
    <row r="1105" spans="1:33">
      <c r="A1105" t="s">
        <v>1256</v>
      </c>
      <c r="B1105">
        <v>45626</v>
      </c>
      <c r="C1105">
        <v>45629</v>
      </c>
      <c r="D1105" t="s">
        <v>29</v>
      </c>
      <c r="E1105">
        <v>1200</v>
      </c>
      <c r="F1105">
        <v>3258.95</v>
      </c>
      <c r="G1105">
        <v>0.72</v>
      </c>
      <c r="H1105">
        <v>3882582.67</v>
      </c>
      <c r="I1105" t="s">
        <v>1726</v>
      </c>
      <c r="J1105">
        <v>2295.0500000000002</v>
      </c>
      <c r="K1105">
        <v>2754060</v>
      </c>
      <c r="L1105">
        <v>22680.52</v>
      </c>
      <c r="M1105">
        <v>6859.45</v>
      </c>
      <c r="N1105">
        <v>10494.78</v>
      </c>
      <c r="O1105">
        <v>2794094.75</v>
      </c>
      <c r="P1105">
        <v>1128522.67</v>
      </c>
      <c r="Q1105">
        <v>1088487.92</v>
      </c>
      <c r="R1105" t="s">
        <v>65</v>
      </c>
      <c r="S1105">
        <v>3882582.67</v>
      </c>
      <c r="T1105">
        <v>0</v>
      </c>
      <c r="U1105" t="s">
        <v>73</v>
      </c>
      <c r="V1105" t="s">
        <v>8</v>
      </c>
      <c r="W1105" t="s">
        <v>67</v>
      </c>
      <c r="X1105" t="s">
        <v>239</v>
      </c>
      <c r="Y1105" t="s">
        <v>28</v>
      </c>
      <c r="Z1105">
        <v>1.65</v>
      </c>
      <c r="AA1105">
        <f t="shared" si="51"/>
        <v>1088487.92</v>
      </c>
      <c r="AB1105">
        <f t="shared" si="52"/>
        <v>0.28035151148500848</v>
      </c>
      <c r="AC1105">
        <f t="shared" si="53"/>
        <v>0</v>
      </c>
      <c r="AD1105">
        <v>2024</v>
      </c>
      <c r="AE1105">
        <v>11</v>
      </c>
      <c r="AF1105" t="s">
        <v>128</v>
      </c>
      <c r="AG1105" t="s">
        <v>129</v>
      </c>
    </row>
    <row r="1106" spans="1:33">
      <c r="A1106" t="s">
        <v>1257</v>
      </c>
      <c r="B1106">
        <v>45358</v>
      </c>
      <c r="C1106">
        <v>45368</v>
      </c>
      <c r="D1106" t="s">
        <v>21</v>
      </c>
      <c r="E1106">
        <v>300</v>
      </c>
      <c r="F1106">
        <v>830.15</v>
      </c>
      <c r="G1106">
        <v>0.02</v>
      </c>
      <c r="H1106">
        <v>248995.19</v>
      </c>
      <c r="I1106" t="s">
        <v>1726</v>
      </c>
      <c r="J1106">
        <v>691.63</v>
      </c>
      <c r="K1106">
        <v>207489</v>
      </c>
      <c r="L1106">
        <v>7021.89</v>
      </c>
      <c r="M1106">
        <v>844.01</v>
      </c>
      <c r="N1106">
        <v>1248.43</v>
      </c>
      <c r="O1106">
        <v>216603.33</v>
      </c>
      <c r="P1106">
        <v>41506.19</v>
      </c>
      <c r="Q1106">
        <v>32391.86</v>
      </c>
      <c r="R1106" t="s">
        <v>65</v>
      </c>
      <c r="S1106">
        <v>248995.19</v>
      </c>
      <c r="T1106">
        <v>0</v>
      </c>
      <c r="U1106" t="s">
        <v>73</v>
      </c>
      <c r="V1106" t="s">
        <v>6</v>
      </c>
      <c r="W1106" t="s">
        <v>80</v>
      </c>
      <c r="X1106" t="s">
        <v>115</v>
      </c>
      <c r="Y1106" t="s">
        <v>22</v>
      </c>
      <c r="Z1106">
        <v>0.96</v>
      </c>
      <c r="AA1106">
        <f t="shared" si="51"/>
        <v>32391.86</v>
      </c>
      <c r="AB1106">
        <f t="shared" si="52"/>
        <v>0.13009030415406819</v>
      </c>
      <c r="AC1106">
        <f t="shared" si="53"/>
        <v>0</v>
      </c>
      <c r="AD1106">
        <v>2024</v>
      </c>
      <c r="AE1106">
        <v>3</v>
      </c>
      <c r="AF1106" t="s">
        <v>105</v>
      </c>
      <c r="AG1106" t="s">
        <v>120</v>
      </c>
    </row>
    <row r="1107" spans="1:33">
      <c r="A1107" t="s">
        <v>1258</v>
      </c>
      <c r="B1107">
        <v>45774</v>
      </c>
      <c r="C1107">
        <v>45781</v>
      </c>
      <c r="D1107" t="s">
        <v>27</v>
      </c>
      <c r="E1107">
        <v>250</v>
      </c>
      <c r="F1107">
        <v>725.07</v>
      </c>
      <c r="G1107">
        <v>2.0299999999999998</v>
      </c>
      <c r="H1107">
        <v>177587.77</v>
      </c>
      <c r="I1107" t="s">
        <v>1728</v>
      </c>
      <c r="J1107">
        <v>546.27</v>
      </c>
      <c r="K1107">
        <v>136567.5</v>
      </c>
      <c r="L1107">
        <v>1269.45</v>
      </c>
      <c r="M1107">
        <v>1378.65</v>
      </c>
      <c r="N1107">
        <v>2533.23</v>
      </c>
      <c r="O1107">
        <v>141748.82999999999</v>
      </c>
      <c r="P1107">
        <v>41020.269999999997</v>
      </c>
      <c r="Q1107">
        <v>35838.94</v>
      </c>
      <c r="R1107" t="s">
        <v>134</v>
      </c>
      <c r="S1107">
        <v>0</v>
      </c>
      <c r="T1107">
        <v>177587.77</v>
      </c>
      <c r="U1107" t="s">
        <v>66</v>
      </c>
      <c r="V1107" t="s">
        <v>16</v>
      </c>
      <c r="W1107" t="s">
        <v>141</v>
      </c>
      <c r="X1107" t="s">
        <v>159</v>
      </c>
      <c r="Y1107" t="s">
        <v>30</v>
      </c>
      <c r="Z1107">
        <v>0.9</v>
      </c>
      <c r="AA1107">
        <f t="shared" si="51"/>
        <v>35838.94</v>
      </c>
      <c r="AB1107">
        <f t="shared" si="52"/>
        <v>0.20180973047862477</v>
      </c>
      <c r="AC1107">
        <f t="shared" si="53"/>
        <v>0</v>
      </c>
      <c r="AD1107">
        <v>2025</v>
      </c>
      <c r="AE1107">
        <v>4</v>
      </c>
      <c r="AF1107" t="s">
        <v>154</v>
      </c>
      <c r="AG1107" t="s">
        <v>155</v>
      </c>
    </row>
    <row r="1108" spans="1:33">
      <c r="A1108" t="s">
        <v>1259</v>
      </c>
      <c r="B1108">
        <v>45330</v>
      </c>
      <c r="C1108">
        <v>45330</v>
      </c>
      <c r="D1108" t="s">
        <v>21</v>
      </c>
      <c r="E1108">
        <v>50</v>
      </c>
      <c r="F1108">
        <v>893.65</v>
      </c>
      <c r="G1108">
        <v>1.92</v>
      </c>
      <c r="H1108">
        <v>43824.6</v>
      </c>
      <c r="I1108" t="s">
        <v>1728</v>
      </c>
      <c r="J1108">
        <v>681.85</v>
      </c>
      <c r="K1108">
        <v>34092.5</v>
      </c>
      <c r="L1108">
        <v>995.79</v>
      </c>
      <c r="M1108">
        <v>228.16</v>
      </c>
      <c r="N1108">
        <v>3354.02</v>
      </c>
      <c r="O1108">
        <v>38670.47</v>
      </c>
      <c r="P1108">
        <v>9732.1</v>
      </c>
      <c r="Q1108">
        <v>5154.13</v>
      </c>
      <c r="R1108" t="s">
        <v>65</v>
      </c>
      <c r="S1108">
        <v>43824.6</v>
      </c>
      <c r="T1108">
        <v>0</v>
      </c>
      <c r="U1108" t="s">
        <v>66</v>
      </c>
      <c r="V1108" t="s">
        <v>6</v>
      </c>
      <c r="W1108" t="s">
        <v>92</v>
      </c>
      <c r="X1108" t="s">
        <v>205</v>
      </c>
      <c r="Y1108" t="s">
        <v>24</v>
      </c>
      <c r="Z1108">
        <v>0.24</v>
      </c>
      <c r="AA1108">
        <f t="shared" si="51"/>
        <v>5154.13</v>
      </c>
      <c r="AB1108">
        <f t="shared" si="52"/>
        <v>0.11760814702244858</v>
      </c>
      <c r="AC1108">
        <f t="shared" si="53"/>
        <v>0</v>
      </c>
      <c r="AD1108">
        <v>2024</v>
      </c>
      <c r="AE1108">
        <v>2</v>
      </c>
      <c r="AF1108" t="s">
        <v>172</v>
      </c>
      <c r="AG1108" t="s">
        <v>173</v>
      </c>
    </row>
    <row r="1109" spans="1:33">
      <c r="A1109" t="s">
        <v>1260</v>
      </c>
      <c r="B1109">
        <v>45602</v>
      </c>
      <c r="C1109">
        <v>45605</v>
      </c>
      <c r="D1109" t="s">
        <v>27</v>
      </c>
      <c r="E1109">
        <v>1000</v>
      </c>
      <c r="F1109">
        <v>746.26</v>
      </c>
      <c r="G1109">
        <v>2.83</v>
      </c>
      <c r="H1109">
        <v>725140.84</v>
      </c>
      <c r="I1109" t="s">
        <v>1728</v>
      </c>
      <c r="J1109">
        <v>553.30999999999995</v>
      </c>
      <c r="K1109">
        <v>553310</v>
      </c>
      <c r="L1109">
        <v>12678.61</v>
      </c>
      <c r="M1109">
        <v>3453.97</v>
      </c>
      <c r="N1109">
        <v>3892.48</v>
      </c>
      <c r="O1109">
        <v>573335.06000000006</v>
      </c>
      <c r="P1109">
        <v>171830.84</v>
      </c>
      <c r="Q1109">
        <v>151805.78</v>
      </c>
      <c r="R1109" t="s">
        <v>65</v>
      </c>
      <c r="S1109">
        <v>725140.84</v>
      </c>
      <c r="T1109">
        <v>0</v>
      </c>
      <c r="U1109" t="s">
        <v>66</v>
      </c>
      <c r="V1109" t="s">
        <v>12</v>
      </c>
      <c r="W1109" t="s">
        <v>80</v>
      </c>
      <c r="X1109" t="s">
        <v>164</v>
      </c>
      <c r="Y1109" t="s">
        <v>24</v>
      </c>
      <c r="Z1109">
        <v>0.17</v>
      </c>
      <c r="AA1109">
        <f t="shared" si="51"/>
        <v>151805.78</v>
      </c>
      <c r="AB1109">
        <f t="shared" si="52"/>
        <v>0.20934661465212745</v>
      </c>
      <c r="AC1109">
        <f t="shared" si="53"/>
        <v>0</v>
      </c>
      <c r="AD1109">
        <v>2024</v>
      </c>
      <c r="AE1109">
        <v>11</v>
      </c>
      <c r="AF1109" t="s">
        <v>128</v>
      </c>
      <c r="AG1109" t="s">
        <v>129</v>
      </c>
    </row>
    <row r="1110" spans="1:33">
      <c r="A1110" t="s">
        <v>1261</v>
      </c>
      <c r="B1110">
        <v>45463</v>
      </c>
      <c r="C1110">
        <v>45474</v>
      </c>
      <c r="D1110" t="s">
        <v>27</v>
      </c>
      <c r="E1110">
        <v>200</v>
      </c>
      <c r="F1110">
        <v>664.47</v>
      </c>
      <c r="G1110">
        <v>1.99</v>
      </c>
      <c r="H1110">
        <v>130249.41</v>
      </c>
      <c r="I1110" t="s">
        <v>1728</v>
      </c>
      <c r="J1110">
        <v>540.13</v>
      </c>
      <c r="K1110">
        <v>108026</v>
      </c>
      <c r="L1110">
        <v>3830.94</v>
      </c>
      <c r="M1110">
        <v>713.49</v>
      </c>
      <c r="N1110">
        <v>1401.85</v>
      </c>
      <c r="O1110">
        <v>113972.28</v>
      </c>
      <c r="P1110">
        <v>22223.41</v>
      </c>
      <c r="Q1110">
        <v>16277.13</v>
      </c>
      <c r="R1110" t="s">
        <v>65</v>
      </c>
      <c r="S1110">
        <v>130249.41</v>
      </c>
      <c r="T1110">
        <v>0</v>
      </c>
      <c r="U1110" t="s">
        <v>66</v>
      </c>
      <c r="V1110" t="s">
        <v>6</v>
      </c>
      <c r="W1110" t="s">
        <v>141</v>
      </c>
      <c r="X1110" t="s">
        <v>224</v>
      </c>
      <c r="Y1110" t="s">
        <v>31</v>
      </c>
      <c r="Z1110">
        <v>1.27</v>
      </c>
      <c r="AA1110">
        <f t="shared" si="51"/>
        <v>16277.13</v>
      </c>
      <c r="AB1110">
        <f t="shared" si="52"/>
        <v>0.12496893460016439</v>
      </c>
      <c r="AC1110">
        <f t="shared" si="53"/>
        <v>0</v>
      </c>
      <c r="AD1110">
        <v>2024</v>
      </c>
      <c r="AE1110">
        <v>6</v>
      </c>
      <c r="AF1110" t="s">
        <v>111</v>
      </c>
      <c r="AG1110" t="s">
        <v>148</v>
      </c>
    </row>
    <row r="1111" spans="1:33">
      <c r="A1111" t="s">
        <v>1262</v>
      </c>
      <c r="B1111">
        <v>46012</v>
      </c>
      <c r="C1111">
        <v>46018</v>
      </c>
      <c r="D1111" t="s">
        <v>23</v>
      </c>
      <c r="E1111">
        <v>50</v>
      </c>
      <c r="F1111">
        <v>1449.56</v>
      </c>
      <c r="G1111">
        <v>0.87</v>
      </c>
      <c r="H1111">
        <v>71847.44</v>
      </c>
      <c r="I1111" t="s">
        <v>1726</v>
      </c>
      <c r="J1111">
        <v>998.72</v>
      </c>
      <c r="K1111">
        <v>49936</v>
      </c>
      <c r="L1111">
        <v>645.97</v>
      </c>
      <c r="M1111">
        <v>184.58</v>
      </c>
      <c r="N1111">
        <v>9674.9</v>
      </c>
      <c r="O1111">
        <v>60441.45</v>
      </c>
      <c r="P1111">
        <v>21911.439999999999</v>
      </c>
      <c r="Q1111">
        <v>11405.99</v>
      </c>
      <c r="R1111" t="s">
        <v>134</v>
      </c>
      <c r="S1111">
        <v>0</v>
      </c>
      <c r="T1111">
        <v>71847.44</v>
      </c>
      <c r="U1111" t="s">
        <v>73</v>
      </c>
      <c r="V1111" t="s">
        <v>6</v>
      </c>
      <c r="W1111" t="s">
        <v>80</v>
      </c>
      <c r="X1111" t="s">
        <v>127</v>
      </c>
      <c r="Y1111" t="s">
        <v>22</v>
      </c>
      <c r="Z1111">
        <v>2.15</v>
      </c>
      <c r="AA1111">
        <f t="shared" si="51"/>
        <v>11405.99</v>
      </c>
      <c r="AB1111">
        <f t="shared" si="52"/>
        <v>0.15875290754966356</v>
      </c>
      <c r="AC1111">
        <f t="shared" si="53"/>
        <v>0</v>
      </c>
      <c r="AD1111">
        <v>2025</v>
      </c>
      <c r="AE1111">
        <v>12</v>
      </c>
      <c r="AF1111" t="s">
        <v>98</v>
      </c>
      <c r="AG1111" t="s">
        <v>168</v>
      </c>
    </row>
    <row r="1112" spans="1:33">
      <c r="A1112" t="s">
        <v>1263</v>
      </c>
      <c r="B1112">
        <v>45502</v>
      </c>
      <c r="C1112">
        <v>45509</v>
      </c>
      <c r="D1112" t="s">
        <v>27</v>
      </c>
      <c r="E1112">
        <v>150</v>
      </c>
      <c r="F1112">
        <v>736.37</v>
      </c>
      <c r="G1112">
        <v>2.17</v>
      </c>
      <c r="H1112">
        <v>108058.62</v>
      </c>
      <c r="I1112" t="s">
        <v>1729</v>
      </c>
      <c r="J1112">
        <v>588.21</v>
      </c>
      <c r="K1112">
        <v>88231.5</v>
      </c>
      <c r="L1112">
        <v>2384.04</v>
      </c>
      <c r="M1112">
        <v>573.42999999999995</v>
      </c>
      <c r="N1112">
        <v>7872.03</v>
      </c>
      <c r="O1112">
        <v>99061</v>
      </c>
      <c r="P1112">
        <v>19827.12</v>
      </c>
      <c r="Q1112">
        <v>8997.6200000000008</v>
      </c>
      <c r="R1112" t="s">
        <v>65</v>
      </c>
      <c r="S1112">
        <v>108058.62</v>
      </c>
      <c r="T1112">
        <v>0</v>
      </c>
      <c r="U1112" t="s">
        <v>73</v>
      </c>
      <c r="V1112" t="s">
        <v>10</v>
      </c>
      <c r="W1112" t="s">
        <v>74</v>
      </c>
      <c r="X1112" t="s">
        <v>123</v>
      </c>
      <c r="Y1112" t="s">
        <v>22</v>
      </c>
      <c r="Z1112">
        <v>0.21</v>
      </c>
      <c r="AA1112">
        <f t="shared" si="51"/>
        <v>8997.6200000000008</v>
      </c>
      <c r="AB1112">
        <f t="shared" si="52"/>
        <v>8.3266101306864751E-2</v>
      </c>
      <c r="AC1112">
        <f t="shared" si="53"/>
        <v>0</v>
      </c>
      <c r="AD1112">
        <v>2024</v>
      </c>
      <c r="AE1112">
        <v>7</v>
      </c>
      <c r="AF1112" t="s">
        <v>69</v>
      </c>
      <c r="AG1112" t="s">
        <v>70</v>
      </c>
    </row>
    <row r="1113" spans="1:33">
      <c r="A1113" t="s">
        <v>1264</v>
      </c>
      <c r="B1113">
        <v>45613</v>
      </c>
      <c r="C1113">
        <v>45616</v>
      </c>
      <c r="D1113" t="s">
        <v>23</v>
      </c>
      <c r="E1113">
        <v>200</v>
      </c>
      <c r="F1113">
        <v>1263.19</v>
      </c>
      <c r="G1113">
        <v>1.03</v>
      </c>
      <c r="H1113">
        <v>250035.83</v>
      </c>
      <c r="I1113" t="s">
        <v>1727</v>
      </c>
      <c r="J1113">
        <v>1118.48</v>
      </c>
      <c r="K1113">
        <v>223696</v>
      </c>
      <c r="L1113">
        <v>3618.89</v>
      </c>
      <c r="M1113">
        <v>883.72</v>
      </c>
      <c r="N1113">
        <v>10067.780000000001</v>
      </c>
      <c r="O1113">
        <v>238266.39</v>
      </c>
      <c r="P1113">
        <v>26339.83</v>
      </c>
      <c r="Q1113">
        <v>11769.44</v>
      </c>
      <c r="R1113" t="s">
        <v>65</v>
      </c>
      <c r="S1113">
        <v>250035.83</v>
      </c>
      <c r="T1113">
        <v>0</v>
      </c>
      <c r="U1113" t="s">
        <v>66</v>
      </c>
      <c r="V1113" t="s">
        <v>16</v>
      </c>
      <c r="W1113" t="s">
        <v>141</v>
      </c>
      <c r="X1113" t="s">
        <v>93</v>
      </c>
      <c r="Y1113" t="s">
        <v>26</v>
      </c>
      <c r="Z1113">
        <v>1.95</v>
      </c>
      <c r="AA1113">
        <f t="shared" si="51"/>
        <v>11769.44</v>
      </c>
      <c r="AB1113">
        <f t="shared" si="52"/>
        <v>4.7071013782304723E-2</v>
      </c>
      <c r="AC1113">
        <f t="shared" si="53"/>
        <v>0</v>
      </c>
      <c r="AD1113">
        <v>2024</v>
      </c>
      <c r="AE1113">
        <v>11</v>
      </c>
      <c r="AF1113" t="s">
        <v>128</v>
      </c>
      <c r="AG1113" t="s">
        <v>129</v>
      </c>
    </row>
    <row r="1114" spans="1:33">
      <c r="A1114" t="s">
        <v>1265</v>
      </c>
      <c r="B1114">
        <v>45975</v>
      </c>
      <c r="D1114" t="s">
        <v>29</v>
      </c>
      <c r="E1114">
        <v>500</v>
      </c>
      <c r="F1114">
        <v>2929.44</v>
      </c>
      <c r="G1114">
        <v>3.12</v>
      </c>
      <c r="H1114">
        <v>1419020.74</v>
      </c>
      <c r="I1114" t="s">
        <v>1726</v>
      </c>
      <c r="J1114">
        <v>2311.5700000000002</v>
      </c>
      <c r="K1114">
        <v>1155785</v>
      </c>
      <c r="L1114">
        <v>7369.6</v>
      </c>
      <c r="M1114">
        <v>2249.81</v>
      </c>
      <c r="N1114">
        <v>11178.63</v>
      </c>
      <c r="O1114">
        <v>1176583.04</v>
      </c>
      <c r="P1114">
        <v>263235.74</v>
      </c>
      <c r="Q1114">
        <v>242437.7</v>
      </c>
      <c r="R1114" t="s">
        <v>65</v>
      </c>
      <c r="S1114">
        <v>1419020.74</v>
      </c>
      <c r="T1114">
        <v>0</v>
      </c>
      <c r="U1114" t="s">
        <v>91</v>
      </c>
      <c r="V1114" t="s">
        <v>14</v>
      </c>
      <c r="W1114" t="s">
        <v>92</v>
      </c>
      <c r="X1114" t="s">
        <v>230</v>
      </c>
      <c r="Y1114" t="s">
        <v>31</v>
      </c>
      <c r="Z1114">
        <v>1.84</v>
      </c>
      <c r="AA1114">
        <f t="shared" si="51"/>
        <v>242437.7</v>
      </c>
      <c r="AB1114">
        <f t="shared" si="52"/>
        <v>0.17084859520798831</v>
      </c>
      <c r="AC1114">
        <f t="shared" si="53"/>
        <v>0</v>
      </c>
      <c r="AD1114">
        <v>2025</v>
      </c>
      <c r="AE1114">
        <v>11</v>
      </c>
      <c r="AF1114" t="s">
        <v>128</v>
      </c>
      <c r="AG1114" t="s">
        <v>135</v>
      </c>
    </row>
    <row r="1115" spans="1:33">
      <c r="A1115" t="s">
        <v>1266</v>
      </c>
      <c r="B1115">
        <v>45476</v>
      </c>
      <c r="C1115">
        <v>45481</v>
      </c>
      <c r="D1115" t="s">
        <v>21</v>
      </c>
      <c r="E1115">
        <v>250</v>
      </c>
      <c r="F1115">
        <v>872.2</v>
      </c>
      <c r="G1115">
        <v>0.33</v>
      </c>
      <c r="H1115">
        <v>217330.44</v>
      </c>
      <c r="I1115" t="s">
        <v>1729</v>
      </c>
      <c r="J1115">
        <v>660.08</v>
      </c>
      <c r="K1115">
        <v>165020</v>
      </c>
      <c r="L1115">
        <v>2940.3</v>
      </c>
      <c r="M1115">
        <v>648.17999999999995</v>
      </c>
      <c r="N1115">
        <v>1075.02</v>
      </c>
      <c r="O1115">
        <v>169683.5</v>
      </c>
      <c r="P1115">
        <v>52310.44</v>
      </c>
      <c r="Q1115">
        <v>47646.94</v>
      </c>
      <c r="R1115" t="s">
        <v>134</v>
      </c>
      <c r="S1115">
        <v>0</v>
      </c>
      <c r="T1115">
        <v>217330.44</v>
      </c>
      <c r="U1115" t="s">
        <v>66</v>
      </c>
      <c r="V1115" t="s">
        <v>16</v>
      </c>
      <c r="W1115" t="s">
        <v>80</v>
      </c>
      <c r="X1115" t="s">
        <v>101</v>
      </c>
      <c r="Y1115" t="s">
        <v>22</v>
      </c>
      <c r="Z1115">
        <v>1.02</v>
      </c>
      <c r="AA1115">
        <f t="shared" si="51"/>
        <v>47646.94</v>
      </c>
      <c r="AB1115">
        <f t="shared" si="52"/>
        <v>0.21923730518375614</v>
      </c>
      <c r="AC1115">
        <f t="shared" si="53"/>
        <v>0</v>
      </c>
      <c r="AD1115">
        <v>2024</v>
      </c>
      <c r="AE1115">
        <v>7</v>
      </c>
      <c r="AF1115" t="s">
        <v>69</v>
      </c>
      <c r="AG1115" t="s">
        <v>70</v>
      </c>
    </row>
    <row r="1116" spans="1:33">
      <c r="A1116" t="s">
        <v>1267</v>
      </c>
      <c r="B1116">
        <v>45983</v>
      </c>
      <c r="C1116">
        <v>45989</v>
      </c>
      <c r="D1116" t="s">
        <v>21</v>
      </c>
      <c r="E1116">
        <v>500</v>
      </c>
      <c r="F1116">
        <v>945.23</v>
      </c>
      <c r="G1116">
        <v>3.02</v>
      </c>
      <c r="H1116">
        <v>458342.03</v>
      </c>
      <c r="I1116" t="s">
        <v>1727</v>
      </c>
      <c r="J1116">
        <v>681.27</v>
      </c>
      <c r="K1116">
        <v>340635</v>
      </c>
      <c r="L1116">
        <v>5265.4</v>
      </c>
      <c r="M1116">
        <v>2657.86</v>
      </c>
      <c r="N1116">
        <v>3480.61</v>
      </c>
      <c r="O1116">
        <v>352038.87</v>
      </c>
      <c r="P1116">
        <v>117707.03</v>
      </c>
      <c r="Q1116">
        <v>106303.16</v>
      </c>
      <c r="R1116" t="s">
        <v>85</v>
      </c>
      <c r="S1116">
        <v>310695.78999999998</v>
      </c>
      <c r="T1116">
        <v>147646.24</v>
      </c>
      <c r="U1116" t="s">
        <v>66</v>
      </c>
      <c r="V1116" t="s">
        <v>12</v>
      </c>
      <c r="W1116" t="s">
        <v>74</v>
      </c>
      <c r="X1116" t="s">
        <v>127</v>
      </c>
      <c r="Y1116" t="s">
        <v>22</v>
      </c>
      <c r="Z1116">
        <v>2.42</v>
      </c>
      <c r="AA1116">
        <f t="shared" si="51"/>
        <v>106303.16</v>
      </c>
      <c r="AB1116">
        <f t="shared" si="52"/>
        <v>0.23192976651083033</v>
      </c>
      <c r="AC1116">
        <f t="shared" si="53"/>
        <v>0</v>
      </c>
      <c r="AD1116">
        <v>2025</v>
      </c>
      <c r="AE1116">
        <v>11</v>
      </c>
      <c r="AF1116" t="s">
        <v>128</v>
      </c>
      <c r="AG1116" t="s">
        <v>135</v>
      </c>
    </row>
    <row r="1117" spans="1:33">
      <c r="A1117" t="s">
        <v>1268</v>
      </c>
      <c r="B1117">
        <v>45928</v>
      </c>
      <c r="D1117" t="s">
        <v>21</v>
      </c>
      <c r="E1117">
        <v>50</v>
      </c>
      <c r="F1117">
        <v>930.03</v>
      </c>
      <c r="G1117">
        <v>2.06</v>
      </c>
      <c r="H1117">
        <v>45543.57</v>
      </c>
      <c r="I1117" t="s">
        <v>1727</v>
      </c>
      <c r="J1117">
        <v>689.69</v>
      </c>
      <c r="K1117">
        <v>34484.5</v>
      </c>
      <c r="L1117">
        <v>302.19</v>
      </c>
      <c r="M1117">
        <v>118.5</v>
      </c>
      <c r="N1117">
        <v>9591.9699999999993</v>
      </c>
      <c r="O1117">
        <v>44497.16</v>
      </c>
      <c r="P1117">
        <v>11059.07</v>
      </c>
      <c r="Q1117">
        <v>1046.4100000000001</v>
      </c>
      <c r="R1117" t="s">
        <v>65</v>
      </c>
      <c r="S1117">
        <v>45543.57</v>
      </c>
      <c r="T1117">
        <v>0</v>
      </c>
      <c r="U1117" t="s">
        <v>91</v>
      </c>
      <c r="V1117" t="s">
        <v>6</v>
      </c>
      <c r="W1117" t="s">
        <v>92</v>
      </c>
      <c r="X1117" t="s">
        <v>93</v>
      </c>
      <c r="Y1117" t="s">
        <v>26</v>
      </c>
      <c r="Z1117">
        <v>1.66</v>
      </c>
      <c r="AA1117">
        <f t="shared" si="51"/>
        <v>1046.4100000000001</v>
      </c>
      <c r="AB1117">
        <f t="shared" si="52"/>
        <v>2.297602054472234E-2</v>
      </c>
      <c r="AC1117">
        <f t="shared" si="53"/>
        <v>0</v>
      </c>
      <c r="AD1117">
        <v>2025</v>
      </c>
      <c r="AE1117">
        <v>9</v>
      </c>
      <c r="AF1117" t="s">
        <v>131</v>
      </c>
      <c r="AG1117" t="s">
        <v>132</v>
      </c>
    </row>
    <row r="1118" spans="1:33">
      <c r="A1118" t="s">
        <v>1269</v>
      </c>
      <c r="B1118">
        <v>45489</v>
      </c>
      <c r="C1118">
        <v>45502</v>
      </c>
      <c r="D1118" t="s">
        <v>21</v>
      </c>
      <c r="E1118">
        <v>200</v>
      </c>
      <c r="F1118">
        <v>797.59</v>
      </c>
      <c r="G1118">
        <v>1.1000000000000001</v>
      </c>
      <c r="H1118">
        <v>157763.29999999999</v>
      </c>
      <c r="I1118" t="s">
        <v>1728</v>
      </c>
      <c r="J1118">
        <v>736.93</v>
      </c>
      <c r="K1118">
        <v>147386</v>
      </c>
      <c r="L1118">
        <v>4219.83</v>
      </c>
      <c r="M1118">
        <v>674.77</v>
      </c>
      <c r="N1118">
        <v>8930.06</v>
      </c>
      <c r="O1118">
        <v>161210.66</v>
      </c>
      <c r="P1118">
        <v>10377.299999999999</v>
      </c>
      <c r="Q1118">
        <v>-3447.36</v>
      </c>
      <c r="R1118" t="s">
        <v>65</v>
      </c>
      <c r="S1118">
        <v>157763.29999999999</v>
      </c>
      <c r="T1118">
        <v>0</v>
      </c>
      <c r="U1118" t="s">
        <v>66</v>
      </c>
      <c r="V1118" t="s">
        <v>6</v>
      </c>
      <c r="W1118" t="s">
        <v>92</v>
      </c>
      <c r="X1118" t="s">
        <v>142</v>
      </c>
      <c r="Y1118" t="s">
        <v>28</v>
      </c>
      <c r="Z1118">
        <v>0.15</v>
      </c>
      <c r="AA1118">
        <f t="shared" si="51"/>
        <v>-3447.36</v>
      </c>
      <c r="AB1118">
        <f t="shared" si="52"/>
        <v>-2.1851469891920366E-2</v>
      </c>
      <c r="AC1118">
        <f t="shared" si="53"/>
        <v>0</v>
      </c>
      <c r="AD1118">
        <v>2024</v>
      </c>
      <c r="AE1118">
        <v>7</v>
      </c>
      <c r="AF1118" t="s">
        <v>69</v>
      </c>
      <c r="AG1118" t="s">
        <v>70</v>
      </c>
    </row>
    <row r="1119" spans="1:33">
      <c r="A1119" t="s">
        <v>1270</v>
      </c>
      <c r="B1119">
        <v>45588</v>
      </c>
      <c r="C1119">
        <v>45589</v>
      </c>
      <c r="D1119" t="s">
        <v>23</v>
      </c>
      <c r="E1119">
        <v>100</v>
      </c>
      <c r="F1119">
        <v>1395.65</v>
      </c>
      <c r="G1119">
        <v>0.09</v>
      </c>
      <c r="H1119">
        <v>139439.39000000001</v>
      </c>
      <c r="I1119" t="s">
        <v>1727</v>
      </c>
      <c r="J1119">
        <v>1038.71</v>
      </c>
      <c r="K1119">
        <v>103871</v>
      </c>
      <c r="L1119">
        <v>2286.2399999999998</v>
      </c>
      <c r="M1119">
        <v>341.49</v>
      </c>
      <c r="N1119">
        <v>4495.04</v>
      </c>
      <c r="O1119">
        <v>110993.77</v>
      </c>
      <c r="P1119">
        <v>35568.39</v>
      </c>
      <c r="Q1119">
        <v>28445.62</v>
      </c>
      <c r="R1119" t="s">
        <v>134</v>
      </c>
      <c r="S1119">
        <v>0</v>
      </c>
      <c r="T1119">
        <v>139439.39000000001</v>
      </c>
      <c r="U1119" t="s">
        <v>66</v>
      </c>
      <c r="V1119" t="s">
        <v>6</v>
      </c>
      <c r="W1119" t="s">
        <v>80</v>
      </c>
      <c r="X1119" t="s">
        <v>127</v>
      </c>
      <c r="Y1119" t="s">
        <v>22</v>
      </c>
      <c r="Z1119">
        <v>0.17</v>
      </c>
      <c r="AA1119">
        <f t="shared" si="51"/>
        <v>28445.62</v>
      </c>
      <c r="AB1119">
        <f t="shared" si="52"/>
        <v>0.20399988841029781</v>
      </c>
      <c r="AC1119">
        <f t="shared" si="53"/>
        <v>0</v>
      </c>
      <c r="AD1119">
        <v>2024</v>
      </c>
      <c r="AE1119">
        <v>10</v>
      </c>
      <c r="AF1119" t="s">
        <v>138</v>
      </c>
      <c r="AG1119" t="s">
        <v>139</v>
      </c>
    </row>
    <row r="1120" spans="1:33">
      <c r="A1120" t="s">
        <v>1271</v>
      </c>
      <c r="B1120">
        <v>45844</v>
      </c>
      <c r="C1120">
        <v>45853</v>
      </c>
      <c r="D1120" t="s">
        <v>27</v>
      </c>
      <c r="E1120">
        <v>150</v>
      </c>
      <c r="F1120">
        <v>681</v>
      </c>
      <c r="G1120">
        <v>0.51</v>
      </c>
      <c r="H1120">
        <v>101629.04</v>
      </c>
      <c r="I1120" t="s">
        <v>1727</v>
      </c>
      <c r="J1120">
        <v>554.88</v>
      </c>
      <c r="K1120">
        <v>83232</v>
      </c>
      <c r="L1120">
        <v>1835.79</v>
      </c>
      <c r="M1120">
        <v>491.4</v>
      </c>
      <c r="N1120">
        <v>8544.31</v>
      </c>
      <c r="O1120">
        <v>94103.5</v>
      </c>
      <c r="P1120">
        <v>18397.04</v>
      </c>
      <c r="Q1120">
        <v>7525.54</v>
      </c>
      <c r="R1120" t="s">
        <v>65</v>
      </c>
      <c r="S1120">
        <v>101629.04</v>
      </c>
      <c r="T1120">
        <v>0</v>
      </c>
      <c r="U1120" t="s">
        <v>73</v>
      </c>
      <c r="V1120" t="s">
        <v>8</v>
      </c>
      <c r="W1120" t="s">
        <v>141</v>
      </c>
      <c r="X1120" t="s">
        <v>125</v>
      </c>
      <c r="Y1120" t="s">
        <v>24</v>
      </c>
      <c r="Z1120">
        <v>0.53</v>
      </c>
      <c r="AA1120">
        <f t="shared" si="51"/>
        <v>7525.54</v>
      </c>
      <c r="AB1120">
        <f t="shared" si="52"/>
        <v>7.4049110372389634E-2</v>
      </c>
      <c r="AC1120">
        <f t="shared" si="53"/>
        <v>0</v>
      </c>
      <c r="AD1120">
        <v>2025</v>
      </c>
      <c r="AE1120">
        <v>7</v>
      </c>
      <c r="AF1120" t="s">
        <v>69</v>
      </c>
      <c r="AG1120" t="s">
        <v>151</v>
      </c>
    </row>
    <row r="1121" spans="1:33">
      <c r="A1121" t="s">
        <v>1272</v>
      </c>
      <c r="B1121">
        <v>45536</v>
      </c>
      <c r="C1121">
        <v>45539</v>
      </c>
      <c r="D1121" t="s">
        <v>21</v>
      </c>
      <c r="E1121">
        <v>500</v>
      </c>
      <c r="F1121">
        <v>861.23</v>
      </c>
      <c r="G1121">
        <v>0.24</v>
      </c>
      <c r="H1121">
        <v>429581.52</v>
      </c>
      <c r="I1121" t="s">
        <v>1726</v>
      </c>
      <c r="J1121">
        <v>681.35</v>
      </c>
      <c r="K1121">
        <v>340675</v>
      </c>
      <c r="L1121">
        <v>10089.75</v>
      </c>
      <c r="M1121">
        <v>2259.02</v>
      </c>
      <c r="N1121">
        <v>6069.78</v>
      </c>
      <c r="O1121">
        <v>359093.55</v>
      </c>
      <c r="P1121">
        <v>88906.52</v>
      </c>
      <c r="Q1121">
        <v>70487.97</v>
      </c>
      <c r="R1121" t="s">
        <v>65</v>
      </c>
      <c r="S1121">
        <v>429581.52</v>
      </c>
      <c r="T1121">
        <v>0</v>
      </c>
      <c r="U1121" t="s">
        <v>66</v>
      </c>
      <c r="V1121" t="s">
        <v>6</v>
      </c>
      <c r="W1121" t="s">
        <v>67</v>
      </c>
      <c r="X1121" t="s">
        <v>115</v>
      </c>
      <c r="Y1121" t="s">
        <v>22</v>
      </c>
      <c r="Z1121">
        <v>1.48</v>
      </c>
      <c r="AA1121">
        <f t="shared" si="51"/>
        <v>70487.97</v>
      </c>
      <c r="AB1121">
        <f t="shared" si="52"/>
        <v>0.16408520087176934</v>
      </c>
      <c r="AC1121">
        <f t="shared" si="53"/>
        <v>0</v>
      </c>
      <c r="AD1121">
        <v>2024</v>
      </c>
      <c r="AE1121">
        <v>9</v>
      </c>
      <c r="AF1121" t="s">
        <v>131</v>
      </c>
      <c r="AG1121" t="s">
        <v>188</v>
      </c>
    </row>
    <row r="1122" spans="1:33">
      <c r="A1122" t="s">
        <v>1273</v>
      </c>
      <c r="B1122">
        <v>45451</v>
      </c>
      <c r="C1122">
        <v>45457</v>
      </c>
      <c r="D1122" t="s">
        <v>21</v>
      </c>
      <c r="E1122">
        <v>100</v>
      </c>
      <c r="F1122">
        <v>869.11</v>
      </c>
      <c r="G1122">
        <v>1.98</v>
      </c>
      <c r="H1122">
        <v>85190.16</v>
      </c>
      <c r="I1122" t="s">
        <v>1727</v>
      </c>
      <c r="J1122">
        <v>697.43</v>
      </c>
      <c r="K1122">
        <v>69743</v>
      </c>
      <c r="L1122">
        <v>1011.73</v>
      </c>
      <c r="M1122">
        <v>571.08000000000004</v>
      </c>
      <c r="N1122">
        <v>9589.39</v>
      </c>
      <c r="O1122">
        <v>80915.199999999997</v>
      </c>
      <c r="P1122">
        <v>15447.16</v>
      </c>
      <c r="Q1122">
        <v>4274.96</v>
      </c>
      <c r="R1122" t="s">
        <v>85</v>
      </c>
      <c r="S1122">
        <v>23679.99</v>
      </c>
      <c r="T1122">
        <v>61510.17</v>
      </c>
      <c r="U1122" t="s">
        <v>73</v>
      </c>
      <c r="V1122" t="s">
        <v>12</v>
      </c>
      <c r="W1122" t="s">
        <v>74</v>
      </c>
      <c r="X1122" t="s">
        <v>176</v>
      </c>
      <c r="Y1122" t="s">
        <v>22</v>
      </c>
      <c r="Z1122">
        <v>1.22</v>
      </c>
      <c r="AA1122">
        <f t="shared" si="51"/>
        <v>4274.96</v>
      </c>
      <c r="AB1122">
        <f t="shared" si="52"/>
        <v>5.0181382450743134E-2</v>
      </c>
      <c r="AC1122">
        <f t="shared" si="53"/>
        <v>0</v>
      </c>
      <c r="AD1122">
        <v>2024</v>
      </c>
      <c r="AE1122">
        <v>6</v>
      </c>
      <c r="AF1122" t="s">
        <v>111</v>
      </c>
      <c r="AG1122" t="s">
        <v>148</v>
      </c>
    </row>
    <row r="1123" spans="1:33">
      <c r="A1123" t="s">
        <v>1274</v>
      </c>
      <c r="B1123">
        <v>45782</v>
      </c>
      <c r="C1123">
        <v>45795</v>
      </c>
      <c r="D1123" t="s">
        <v>21</v>
      </c>
      <c r="E1123">
        <v>150</v>
      </c>
      <c r="F1123">
        <v>920.3</v>
      </c>
      <c r="G1123">
        <v>2.16</v>
      </c>
      <c r="H1123">
        <v>135063.23000000001</v>
      </c>
      <c r="I1123" t="s">
        <v>1727</v>
      </c>
      <c r="J1123">
        <v>706.12</v>
      </c>
      <c r="K1123">
        <v>105918</v>
      </c>
      <c r="L1123">
        <v>981.76</v>
      </c>
      <c r="M1123">
        <v>323.16000000000003</v>
      </c>
      <c r="N1123">
        <v>9201.15</v>
      </c>
      <c r="O1123">
        <v>116424.07</v>
      </c>
      <c r="P1123">
        <v>29145.23</v>
      </c>
      <c r="Q1123">
        <v>18639.16</v>
      </c>
      <c r="R1123" t="s">
        <v>134</v>
      </c>
      <c r="S1123">
        <v>0</v>
      </c>
      <c r="T1123">
        <v>135063.23000000001</v>
      </c>
      <c r="U1123" t="s">
        <v>73</v>
      </c>
      <c r="V1123" t="s">
        <v>14</v>
      </c>
      <c r="W1123" t="s">
        <v>67</v>
      </c>
      <c r="X1123" t="s">
        <v>115</v>
      </c>
      <c r="Y1123" t="s">
        <v>22</v>
      </c>
      <c r="Z1123">
        <v>0.4</v>
      </c>
      <c r="AA1123">
        <f t="shared" si="51"/>
        <v>18639.16</v>
      </c>
      <c r="AB1123">
        <f t="shared" si="52"/>
        <v>0.13800321523482001</v>
      </c>
      <c r="AC1123">
        <f t="shared" si="53"/>
        <v>0</v>
      </c>
      <c r="AD1123">
        <v>2025</v>
      </c>
      <c r="AE1123">
        <v>5</v>
      </c>
      <c r="AF1123" t="s">
        <v>76</v>
      </c>
      <c r="AG1123" t="s">
        <v>94</v>
      </c>
    </row>
    <row r="1124" spans="1:33">
      <c r="A1124" t="s">
        <v>1275</v>
      </c>
      <c r="B1124">
        <v>45472</v>
      </c>
      <c r="C1124">
        <v>45478</v>
      </c>
      <c r="D1124" t="s">
        <v>21</v>
      </c>
      <c r="E1124">
        <v>300</v>
      </c>
      <c r="F1124">
        <v>806.37</v>
      </c>
      <c r="G1124">
        <v>0.33</v>
      </c>
      <c r="H1124">
        <v>241112.69</v>
      </c>
      <c r="I1124" t="s">
        <v>1727</v>
      </c>
      <c r="J1124">
        <v>715.94</v>
      </c>
      <c r="K1124">
        <v>214782</v>
      </c>
      <c r="L1124">
        <v>2029.01</v>
      </c>
      <c r="M1124">
        <v>1190.28</v>
      </c>
      <c r="N1124">
        <v>4621.1400000000003</v>
      </c>
      <c r="O1124">
        <v>222622.43</v>
      </c>
      <c r="P1124">
        <v>26330.69</v>
      </c>
      <c r="Q1124">
        <v>18490.259999999998</v>
      </c>
      <c r="R1124" t="s">
        <v>65</v>
      </c>
      <c r="S1124">
        <v>241112.69</v>
      </c>
      <c r="T1124">
        <v>0</v>
      </c>
      <c r="U1124" t="s">
        <v>66</v>
      </c>
      <c r="V1124" t="s">
        <v>12</v>
      </c>
      <c r="W1124" t="s">
        <v>74</v>
      </c>
      <c r="X1124" t="s">
        <v>147</v>
      </c>
      <c r="Y1124" t="s">
        <v>28</v>
      </c>
      <c r="Z1124">
        <v>1.19</v>
      </c>
      <c r="AA1124">
        <f t="shared" si="51"/>
        <v>18490.259999999998</v>
      </c>
      <c r="AB1124">
        <f t="shared" si="52"/>
        <v>7.6687212108164024E-2</v>
      </c>
      <c r="AC1124">
        <f t="shared" si="53"/>
        <v>0</v>
      </c>
      <c r="AD1124">
        <v>2024</v>
      </c>
      <c r="AE1124">
        <v>6</v>
      </c>
      <c r="AF1124" t="s">
        <v>111</v>
      </c>
      <c r="AG1124" t="s">
        <v>148</v>
      </c>
    </row>
    <row r="1125" spans="1:33">
      <c r="A1125" t="s">
        <v>1276</v>
      </c>
      <c r="B1125">
        <v>45456</v>
      </c>
      <c r="C1125">
        <v>45458</v>
      </c>
      <c r="D1125" t="s">
        <v>21</v>
      </c>
      <c r="E1125">
        <v>1000</v>
      </c>
      <c r="F1125">
        <v>810.42</v>
      </c>
      <c r="G1125">
        <v>4.55</v>
      </c>
      <c r="H1125">
        <v>773545.89</v>
      </c>
      <c r="I1125" t="s">
        <v>1727</v>
      </c>
      <c r="J1125">
        <v>748.17</v>
      </c>
      <c r="K1125">
        <v>748170</v>
      </c>
      <c r="L1125">
        <v>10316.61</v>
      </c>
      <c r="M1125">
        <v>5618</v>
      </c>
      <c r="N1125">
        <v>2042.47</v>
      </c>
      <c r="O1125">
        <v>766147.08</v>
      </c>
      <c r="P1125">
        <v>25375.89</v>
      </c>
      <c r="Q1125">
        <v>7398.81</v>
      </c>
      <c r="R1125" t="s">
        <v>65</v>
      </c>
      <c r="S1125">
        <v>773545.89</v>
      </c>
      <c r="T1125">
        <v>0</v>
      </c>
      <c r="U1125" t="s">
        <v>66</v>
      </c>
      <c r="V1125" t="s">
        <v>10</v>
      </c>
      <c r="W1125" t="s">
        <v>80</v>
      </c>
      <c r="X1125" t="s">
        <v>182</v>
      </c>
      <c r="Y1125" t="s">
        <v>26</v>
      </c>
      <c r="Z1125">
        <v>1.07</v>
      </c>
      <c r="AA1125">
        <f t="shared" si="51"/>
        <v>7398.81</v>
      </c>
      <c r="AB1125">
        <f t="shared" si="52"/>
        <v>9.5647977652625112E-3</v>
      </c>
      <c r="AC1125">
        <f t="shared" si="53"/>
        <v>0</v>
      </c>
      <c r="AD1125">
        <v>2024</v>
      </c>
      <c r="AE1125">
        <v>6</v>
      </c>
      <c r="AF1125" t="s">
        <v>111</v>
      </c>
      <c r="AG1125" t="s">
        <v>148</v>
      </c>
    </row>
    <row r="1126" spans="1:33">
      <c r="A1126" t="s">
        <v>1277</v>
      </c>
      <c r="B1126">
        <v>45505</v>
      </c>
      <c r="C1126">
        <v>45518</v>
      </c>
      <c r="D1126" t="s">
        <v>29</v>
      </c>
      <c r="E1126">
        <v>750</v>
      </c>
      <c r="F1126">
        <v>2849.75</v>
      </c>
      <c r="G1126">
        <v>2.5499999999999998</v>
      </c>
      <c r="H1126">
        <v>2082811.03</v>
      </c>
      <c r="I1126" t="s">
        <v>1728</v>
      </c>
      <c r="J1126">
        <v>2422.85</v>
      </c>
      <c r="K1126">
        <v>1817137.5</v>
      </c>
      <c r="L1126">
        <v>9472.94</v>
      </c>
      <c r="M1126">
        <v>1783.93</v>
      </c>
      <c r="N1126">
        <v>10617.27</v>
      </c>
      <c r="O1126">
        <v>1839011.64</v>
      </c>
      <c r="P1126">
        <v>265673.53000000003</v>
      </c>
      <c r="Q1126">
        <v>243799.39</v>
      </c>
      <c r="R1126" t="s">
        <v>65</v>
      </c>
      <c r="S1126">
        <v>2082811.03</v>
      </c>
      <c r="T1126">
        <v>0</v>
      </c>
      <c r="U1126" t="s">
        <v>66</v>
      </c>
      <c r="V1126" t="s">
        <v>12</v>
      </c>
      <c r="W1126" t="s">
        <v>80</v>
      </c>
      <c r="X1126" t="s">
        <v>327</v>
      </c>
      <c r="Y1126" t="s">
        <v>26</v>
      </c>
      <c r="Z1126">
        <v>2.2000000000000002</v>
      </c>
      <c r="AA1126">
        <f t="shared" si="51"/>
        <v>243799.39</v>
      </c>
      <c r="AB1126">
        <f t="shared" si="52"/>
        <v>0.11705305305589822</v>
      </c>
      <c r="AC1126">
        <f t="shared" si="53"/>
        <v>0</v>
      </c>
      <c r="AD1126">
        <v>2024</v>
      </c>
      <c r="AE1126">
        <v>8</v>
      </c>
      <c r="AF1126" t="s">
        <v>82</v>
      </c>
      <c r="AG1126" t="s">
        <v>83</v>
      </c>
    </row>
    <row r="1127" spans="1:33">
      <c r="A1127" t="s">
        <v>1278</v>
      </c>
      <c r="B1127">
        <v>45410</v>
      </c>
      <c r="C1127">
        <v>45419</v>
      </c>
      <c r="D1127" t="s">
        <v>23</v>
      </c>
      <c r="E1127">
        <v>100</v>
      </c>
      <c r="F1127">
        <v>1305.23</v>
      </c>
      <c r="G1127">
        <v>0.13</v>
      </c>
      <c r="H1127">
        <v>130353.32</v>
      </c>
      <c r="I1127" t="s">
        <v>1726</v>
      </c>
      <c r="J1127">
        <v>974.99</v>
      </c>
      <c r="K1127">
        <v>97499</v>
      </c>
      <c r="L1127">
        <v>1773.65</v>
      </c>
      <c r="M1127">
        <v>553.92999999999995</v>
      </c>
      <c r="N1127">
        <v>6231.31</v>
      </c>
      <c r="O1127">
        <v>106057.89</v>
      </c>
      <c r="P1127">
        <v>32854.32</v>
      </c>
      <c r="Q1127">
        <v>24295.43</v>
      </c>
      <c r="R1127" t="s">
        <v>65</v>
      </c>
      <c r="S1127">
        <v>130353.32</v>
      </c>
      <c r="T1127">
        <v>0</v>
      </c>
      <c r="U1127" t="s">
        <v>66</v>
      </c>
      <c r="V1127" t="s">
        <v>10</v>
      </c>
      <c r="W1127" t="s">
        <v>67</v>
      </c>
      <c r="X1127" t="s">
        <v>89</v>
      </c>
      <c r="Y1127" t="s">
        <v>28</v>
      </c>
      <c r="Z1127">
        <v>0.49</v>
      </c>
      <c r="AA1127">
        <f t="shared" si="51"/>
        <v>24295.43</v>
      </c>
      <c r="AB1127">
        <f t="shared" si="52"/>
        <v>0.18638136719494369</v>
      </c>
      <c r="AC1127">
        <f t="shared" si="53"/>
        <v>0</v>
      </c>
      <c r="AD1127">
        <v>2024</v>
      </c>
      <c r="AE1127">
        <v>4</v>
      </c>
      <c r="AF1127" t="s">
        <v>154</v>
      </c>
      <c r="AG1127" t="s">
        <v>157</v>
      </c>
    </row>
    <row r="1128" spans="1:33">
      <c r="A1128" t="s">
        <v>1279</v>
      </c>
      <c r="B1128">
        <v>45438</v>
      </c>
      <c r="C1128">
        <v>45450</v>
      </c>
      <c r="D1128" t="s">
        <v>27</v>
      </c>
      <c r="E1128">
        <v>300</v>
      </c>
      <c r="F1128">
        <v>659.39</v>
      </c>
      <c r="G1128">
        <v>0.96</v>
      </c>
      <c r="H1128">
        <v>195917.96</v>
      </c>
      <c r="I1128" t="s">
        <v>1726</v>
      </c>
      <c r="J1128">
        <v>555.89</v>
      </c>
      <c r="K1128">
        <v>166767</v>
      </c>
      <c r="L1128">
        <v>5244.19</v>
      </c>
      <c r="M1128">
        <v>1781.9</v>
      </c>
      <c r="N1128">
        <v>11471.65</v>
      </c>
      <c r="O1128">
        <v>185264.74</v>
      </c>
      <c r="P1128">
        <v>29150.959999999999</v>
      </c>
      <c r="Q1128">
        <v>10653.22</v>
      </c>
      <c r="R1128" t="s">
        <v>65</v>
      </c>
      <c r="S1128">
        <v>195917.96</v>
      </c>
      <c r="T1128">
        <v>0</v>
      </c>
      <c r="U1128" t="s">
        <v>66</v>
      </c>
      <c r="V1128" t="s">
        <v>8</v>
      </c>
      <c r="W1128" t="s">
        <v>74</v>
      </c>
      <c r="X1128" t="s">
        <v>97</v>
      </c>
      <c r="Y1128" t="s">
        <v>24</v>
      </c>
      <c r="Z1128">
        <v>1.1200000000000001</v>
      </c>
      <c r="AA1128">
        <f t="shared" si="51"/>
        <v>10653.22</v>
      </c>
      <c r="AB1128">
        <f t="shared" si="52"/>
        <v>5.4375923473274218E-2</v>
      </c>
      <c r="AC1128">
        <f t="shared" si="53"/>
        <v>0</v>
      </c>
      <c r="AD1128">
        <v>2024</v>
      </c>
      <c r="AE1128">
        <v>5</v>
      </c>
      <c r="AF1128" t="s">
        <v>76</v>
      </c>
      <c r="AG1128" t="s">
        <v>77</v>
      </c>
    </row>
    <row r="1129" spans="1:33">
      <c r="A1129" t="s">
        <v>1280</v>
      </c>
      <c r="B1129">
        <v>45770</v>
      </c>
      <c r="C1129">
        <v>45775</v>
      </c>
      <c r="D1129" t="s">
        <v>25</v>
      </c>
      <c r="E1129">
        <v>750</v>
      </c>
      <c r="F1129">
        <v>992.22</v>
      </c>
      <c r="G1129">
        <v>2.21</v>
      </c>
      <c r="H1129">
        <v>727718.95</v>
      </c>
      <c r="I1129" t="s">
        <v>1727</v>
      </c>
      <c r="J1129">
        <v>722.43</v>
      </c>
      <c r="K1129">
        <v>541822.5</v>
      </c>
      <c r="L1129">
        <v>12378.43</v>
      </c>
      <c r="M1129">
        <v>1965.08</v>
      </c>
      <c r="N1129">
        <v>6590.1</v>
      </c>
      <c r="O1129">
        <v>562756.11</v>
      </c>
      <c r="P1129">
        <v>185896.45</v>
      </c>
      <c r="Q1129">
        <v>164962.84</v>
      </c>
      <c r="R1129" t="s">
        <v>65</v>
      </c>
      <c r="S1129">
        <v>727718.95</v>
      </c>
      <c r="T1129">
        <v>0</v>
      </c>
      <c r="U1129" t="s">
        <v>66</v>
      </c>
      <c r="V1129" t="s">
        <v>6</v>
      </c>
      <c r="W1129" t="s">
        <v>92</v>
      </c>
      <c r="X1129" t="s">
        <v>123</v>
      </c>
      <c r="Y1129" t="s">
        <v>22</v>
      </c>
      <c r="Z1129">
        <v>1.37</v>
      </c>
      <c r="AA1129">
        <f t="shared" si="51"/>
        <v>164962.84</v>
      </c>
      <c r="AB1129">
        <f t="shared" si="52"/>
        <v>0.22668482111122709</v>
      </c>
      <c r="AC1129">
        <f t="shared" si="53"/>
        <v>0</v>
      </c>
      <c r="AD1129">
        <v>2025</v>
      </c>
      <c r="AE1129">
        <v>4</v>
      </c>
      <c r="AF1129" t="s">
        <v>154</v>
      </c>
      <c r="AG1129" t="s">
        <v>155</v>
      </c>
    </row>
    <row r="1130" spans="1:33">
      <c r="A1130" t="s">
        <v>1281</v>
      </c>
      <c r="B1130">
        <v>45290</v>
      </c>
      <c r="C1130">
        <v>45299</v>
      </c>
      <c r="D1130" t="s">
        <v>23</v>
      </c>
      <c r="E1130">
        <v>50</v>
      </c>
      <c r="F1130">
        <v>1224.92</v>
      </c>
      <c r="G1130">
        <v>1.47</v>
      </c>
      <c r="H1130">
        <v>60345.68</v>
      </c>
      <c r="I1130" t="s">
        <v>1728</v>
      </c>
      <c r="J1130">
        <v>1069.0899999999999</v>
      </c>
      <c r="K1130">
        <v>53454.5</v>
      </c>
      <c r="L1130">
        <v>487.01</v>
      </c>
      <c r="M1130">
        <v>111.97</v>
      </c>
      <c r="N1130">
        <v>1378.49</v>
      </c>
      <c r="O1130">
        <v>55431.97</v>
      </c>
      <c r="P1130">
        <v>6891.18</v>
      </c>
      <c r="Q1130">
        <v>4913.71</v>
      </c>
      <c r="R1130" t="s">
        <v>65</v>
      </c>
      <c r="S1130">
        <v>60345.68</v>
      </c>
      <c r="T1130">
        <v>0</v>
      </c>
      <c r="U1130" t="s">
        <v>66</v>
      </c>
      <c r="V1130" t="s">
        <v>12</v>
      </c>
      <c r="W1130" t="s">
        <v>67</v>
      </c>
      <c r="X1130" t="s">
        <v>97</v>
      </c>
      <c r="Y1130" t="s">
        <v>24</v>
      </c>
      <c r="Z1130">
        <v>1.53</v>
      </c>
      <c r="AA1130">
        <f t="shared" si="51"/>
        <v>4913.71</v>
      </c>
      <c r="AB1130">
        <f t="shared" si="52"/>
        <v>8.1426044084680127E-2</v>
      </c>
      <c r="AC1130">
        <f t="shared" si="53"/>
        <v>0</v>
      </c>
      <c r="AD1130">
        <v>2023</v>
      </c>
      <c r="AE1130">
        <v>12</v>
      </c>
      <c r="AF1130" t="s">
        <v>98</v>
      </c>
      <c r="AG1130" t="s">
        <v>232</v>
      </c>
    </row>
    <row r="1131" spans="1:33">
      <c r="A1131" t="s">
        <v>1282</v>
      </c>
      <c r="B1131">
        <v>45963</v>
      </c>
      <c r="D1131" t="s">
        <v>23</v>
      </c>
      <c r="E1131">
        <v>1000</v>
      </c>
      <c r="F1131">
        <v>1306.8800000000001</v>
      </c>
      <c r="G1131">
        <v>3.12</v>
      </c>
      <c r="H1131">
        <v>1266105.3400000001</v>
      </c>
      <c r="I1131" t="s">
        <v>1727</v>
      </c>
      <c r="J1131">
        <v>1005.35</v>
      </c>
      <c r="K1131">
        <v>1005350</v>
      </c>
      <c r="L1131">
        <v>17788.57</v>
      </c>
      <c r="M1131">
        <v>4087.48</v>
      </c>
      <c r="N1131">
        <v>4573.49</v>
      </c>
      <c r="O1131">
        <v>1031799.54</v>
      </c>
      <c r="P1131">
        <v>260755.34</v>
      </c>
      <c r="Q1131">
        <v>234305.8</v>
      </c>
      <c r="R1131" t="s">
        <v>85</v>
      </c>
      <c r="S1131">
        <v>572002.62</v>
      </c>
      <c r="T1131">
        <v>694102.72</v>
      </c>
      <c r="U1131" t="s">
        <v>91</v>
      </c>
      <c r="V1131" t="s">
        <v>6</v>
      </c>
      <c r="W1131" t="s">
        <v>67</v>
      </c>
      <c r="X1131" t="s">
        <v>110</v>
      </c>
      <c r="Y1131" t="s">
        <v>28</v>
      </c>
      <c r="Z1131">
        <v>0.32</v>
      </c>
      <c r="AA1131">
        <f t="shared" si="51"/>
        <v>234305.8</v>
      </c>
      <c r="AB1131">
        <f t="shared" si="52"/>
        <v>0.18506027310492187</v>
      </c>
      <c r="AC1131">
        <f t="shared" si="53"/>
        <v>0</v>
      </c>
      <c r="AD1131">
        <v>2025</v>
      </c>
      <c r="AE1131">
        <v>11</v>
      </c>
      <c r="AF1131" t="s">
        <v>128</v>
      </c>
      <c r="AG1131" t="s">
        <v>135</v>
      </c>
    </row>
    <row r="1132" spans="1:33">
      <c r="A1132" t="s">
        <v>1283</v>
      </c>
      <c r="B1132">
        <v>45936</v>
      </c>
      <c r="C1132">
        <v>45941</v>
      </c>
      <c r="D1132" t="s">
        <v>25</v>
      </c>
      <c r="E1132">
        <v>500</v>
      </c>
      <c r="F1132">
        <v>1019.64</v>
      </c>
      <c r="G1132">
        <v>1.38</v>
      </c>
      <c r="H1132">
        <v>502784.48</v>
      </c>
      <c r="I1132" t="s">
        <v>1729</v>
      </c>
      <c r="J1132">
        <v>817.65</v>
      </c>
      <c r="K1132">
        <v>408825</v>
      </c>
      <c r="L1132">
        <v>11706.12</v>
      </c>
      <c r="M1132">
        <v>1857.33</v>
      </c>
      <c r="N1132">
        <v>4636.8999999999996</v>
      </c>
      <c r="O1132">
        <v>427025.35</v>
      </c>
      <c r="P1132">
        <v>93959.48</v>
      </c>
      <c r="Q1132">
        <v>75759.13</v>
      </c>
      <c r="R1132" t="s">
        <v>65</v>
      </c>
      <c r="S1132">
        <v>502784.48</v>
      </c>
      <c r="T1132">
        <v>0</v>
      </c>
      <c r="U1132" t="s">
        <v>66</v>
      </c>
      <c r="V1132" t="s">
        <v>14</v>
      </c>
      <c r="W1132" t="s">
        <v>67</v>
      </c>
      <c r="X1132" t="s">
        <v>108</v>
      </c>
      <c r="Y1132" t="s">
        <v>22</v>
      </c>
      <c r="Z1132">
        <v>1.34</v>
      </c>
      <c r="AA1132">
        <f t="shared" si="51"/>
        <v>75759.13</v>
      </c>
      <c r="AB1132">
        <f t="shared" si="52"/>
        <v>0.15067913393030749</v>
      </c>
      <c r="AC1132">
        <f t="shared" si="53"/>
        <v>0</v>
      </c>
      <c r="AD1132">
        <v>2025</v>
      </c>
      <c r="AE1132">
        <v>10</v>
      </c>
      <c r="AF1132" t="s">
        <v>138</v>
      </c>
      <c r="AG1132" t="s">
        <v>160</v>
      </c>
    </row>
    <row r="1133" spans="1:33">
      <c r="A1133" t="s">
        <v>1284</v>
      </c>
      <c r="B1133">
        <v>45798</v>
      </c>
      <c r="C1133">
        <v>45811</v>
      </c>
      <c r="D1133" t="s">
        <v>21</v>
      </c>
      <c r="E1133">
        <v>250</v>
      </c>
      <c r="F1133">
        <v>801.06</v>
      </c>
      <c r="G1133">
        <v>0.16</v>
      </c>
      <c r="H1133">
        <v>199944.58</v>
      </c>
      <c r="I1133" t="s">
        <v>1727</v>
      </c>
      <c r="J1133">
        <v>710.4</v>
      </c>
      <c r="K1133">
        <v>177600</v>
      </c>
      <c r="L1133">
        <v>3547.88</v>
      </c>
      <c r="M1133">
        <v>1432.6</v>
      </c>
      <c r="N1133">
        <v>9544.91</v>
      </c>
      <c r="O1133">
        <v>192125.39</v>
      </c>
      <c r="P1133">
        <v>22344.58</v>
      </c>
      <c r="Q1133">
        <v>7819.19</v>
      </c>
      <c r="R1133" t="s">
        <v>65</v>
      </c>
      <c r="S1133">
        <v>199944.58</v>
      </c>
      <c r="T1133">
        <v>0</v>
      </c>
      <c r="U1133" t="s">
        <v>66</v>
      </c>
      <c r="V1133" t="s">
        <v>6</v>
      </c>
      <c r="W1133" t="s">
        <v>80</v>
      </c>
      <c r="X1133" t="s">
        <v>110</v>
      </c>
      <c r="Y1133" t="s">
        <v>28</v>
      </c>
      <c r="Z1133">
        <v>2.4900000000000002</v>
      </c>
      <c r="AA1133">
        <f t="shared" si="51"/>
        <v>7819.19</v>
      </c>
      <c r="AB1133">
        <f t="shared" si="52"/>
        <v>3.9106786490536526E-2</v>
      </c>
      <c r="AC1133">
        <f t="shared" si="53"/>
        <v>0</v>
      </c>
      <c r="AD1133">
        <v>2025</v>
      </c>
      <c r="AE1133">
        <v>5</v>
      </c>
      <c r="AF1133" t="s">
        <v>76</v>
      </c>
      <c r="AG1133" t="s">
        <v>94</v>
      </c>
    </row>
    <row r="1134" spans="1:33">
      <c r="A1134" t="s">
        <v>1285</v>
      </c>
      <c r="B1134">
        <v>45351</v>
      </c>
      <c r="C1134">
        <v>45363</v>
      </c>
      <c r="D1134" t="s">
        <v>23</v>
      </c>
      <c r="E1134">
        <v>500</v>
      </c>
      <c r="F1134">
        <v>1216.5</v>
      </c>
      <c r="G1134">
        <v>1.06</v>
      </c>
      <c r="H1134">
        <v>601802.55000000005</v>
      </c>
      <c r="I1134" t="s">
        <v>1726</v>
      </c>
      <c r="J1134">
        <v>1110.04</v>
      </c>
      <c r="K1134">
        <v>555020</v>
      </c>
      <c r="L1134">
        <v>8711.01</v>
      </c>
      <c r="M1134">
        <v>822.56</v>
      </c>
      <c r="N1134">
        <v>5519.18</v>
      </c>
      <c r="O1134">
        <v>570072.75</v>
      </c>
      <c r="P1134">
        <v>46782.55</v>
      </c>
      <c r="Q1134">
        <v>31729.8</v>
      </c>
      <c r="R1134" t="s">
        <v>65</v>
      </c>
      <c r="S1134">
        <v>601802.55000000005</v>
      </c>
      <c r="T1134">
        <v>0</v>
      </c>
      <c r="U1134" t="s">
        <v>66</v>
      </c>
      <c r="V1134" t="s">
        <v>16</v>
      </c>
      <c r="W1134" t="s">
        <v>67</v>
      </c>
      <c r="X1134" t="s">
        <v>123</v>
      </c>
      <c r="Y1134" t="s">
        <v>22</v>
      </c>
      <c r="Z1134">
        <v>0.18</v>
      </c>
      <c r="AA1134">
        <f t="shared" si="51"/>
        <v>31729.8</v>
      </c>
      <c r="AB1134">
        <f t="shared" si="52"/>
        <v>5.2724602114098712E-2</v>
      </c>
      <c r="AC1134">
        <f t="shared" si="53"/>
        <v>0</v>
      </c>
      <c r="AD1134">
        <v>2024</v>
      </c>
      <c r="AE1134">
        <v>2</v>
      </c>
      <c r="AF1134" t="s">
        <v>172</v>
      </c>
      <c r="AG1134" t="s">
        <v>173</v>
      </c>
    </row>
    <row r="1135" spans="1:33">
      <c r="A1135" t="s">
        <v>1286</v>
      </c>
      <c r="B1135">
        <v>45366</v>
      </c>
      <c r="C1135">
        <v>45376</v>
      </c>
      <c r="D1135" t="s">
        <v>21</v>
      </c>
      <c r="E1135">
        <v>200</v>
      </c>
      <c r="F1135">
        <v>931.67</v>
      </c>
      <c r="G1135">
        <v>1.59</v>
      </c>
      <c r="H1135">
        <v>183371.29</v>
      </c>
      <c r="I1135" t="s">
        <v>1728</v>
      </c>
      <c r="J1135">
        <v>685.76</v>
      </c>
      <c r="K1135">
        <v>137152</v>
      </c>
      <c r="L1135">
        <v>3538.57</v>
      </c>
      <c r="M1135">
        <v>1131.6600000000001</v>
      </c>
      <c r="N1135">
        <v>8194.09</v>
      </c>
      <c r="O1135">
        <v>150016.32000000001</v>
      </c>
      <c r="P1135">
        <v>46219.29</v>
      </c>
      <c r="Q1135">
        <v>33354.97</v>
      </c>
      <c r="R1135" t="s">
        <v>85</v>
      </c>
      <c r="S1135">
        <v>131277.09</v>
      </c>
      <c r="T1135">
        <v>52094.2</v>
      </c>
      <c r="U1135" t="s">
        <v>66</v>
      </c>
      <c r="V1135" t="s">
        <v>6</v>
      </c>
      <c r="W1135" t="s">
        <v>74</v>
      </c>
      <c r="X1135" t="s">
        <v>127</v>
      </c>
      <c r="Y1135" t="s">
        <v>22</v>
      </c>
      <c r="Z1135">
        <v>0.08</v>
      </c>
      <c r="AA1135">
        <f t="shared" si="51"/>
        <v>33354.97</v>
      </c>
      <c r="AB1135">
        <f t="shared" si="52"/>
        <v>0.18189854038764738</v>
      </c>
      <c r="AC1135">
        <f t="shared" si="53"/>
        <v>0</v>
      </c>
      <c r="AD1135">
        <v>2024</v>
      </c>
      <c r="AE1135">
        <v>3</v>
      </c>
      <c r="AF1135" t="s">
        <v>105</v>
      </c>
      <c r="AG1135" t="s">
        <v>120</v>
      </c>
    </row>
    <row r="1136" spans="1:33">
      <c r="A1136" t="s">
        <v>1287</v>
      </c>
      <c r="B1136">
        <v>45840</v>
      </c>
      <c r="D1136" t="s">
        <v>21</v>
      </c>
      <c r="E1136">
        <v>150</v>
      </c>
      <c r="F1136">
        <v>893.05</v>
      </c>
      <c r="G1136">
        <v>2.4700000000000002</v>
      </c>
      <c r="H1136">
        <v>0</v>
      </c>
      <c r="I1136" t="s">
        <v>1729</v>
      </c>
      <c r="J1136">
        <v>736.21</v>
      </c>
      <c r="K1136">
        <v>0</v>
      </c>
      <c r="L1136">
        <v>0</v>
      </c>
      <c r="M1136">
        <v>0</v>
      </c>
      <c r="N1136">
        <v>0</v>
      </c>
      <c r="O1136">
        <v>0</v>
      </c>
      <c r="P1136">
        <v>0</v>
      </c>
      <c r="Q1136">
        <v>0</v>
      </c>
      <c r="R1136" t="s">
        <v>65</v>
      </c>
      <c r="S1136">
        <v>0</v>
      </c>
      <c r="T1136">
        <v>0</v>
      </c>
      <c r="U1136" t="s">
        <v>117</v>
      </c>
      <c r="V1136" t="s">
        <v>6</v>
      </c>
      <c r="W1136" t="s">
        <v>80</v>
      </c>
      <c r="X1136" t="s">
        <v>81</v>
      </c>
      <c r="Y1136" t="s">
        <v>24</v>
      </c>
      <c r="Z1136">
        <v>1.18</v>
      </c>
      <c r="AA1136">
        <f t="shared" si="51"/>
        <v>0</v>
      </c>
      <c r="AB1136" t="e">
        <f t="shared" si="52"/>
        <v>#DIV/0!</v>
      </c>
      <c r="AC1136">
        <f t="shared" si="53"/>
        <v>0</v>
      </c>
      <c r="AD1136">
        <v>2025</v>
      </c>
      <c r="AE1136">
        <v>7</v>
      </c>
      <c r="AF1136" t="s">
        <v>69</v>
      </c>
      <c r="AG1136" t="s">
        <v>151</v>
      </c>
    </row>
    <row r="1137" spans="1:33">
      <c r="A1137" t="s">
        <v>1288</v>
      </c>
      <c r="B1137">
        <v>45452</v>
      </c>
      <c r="C1137">
        <v>45459</v>
      </c>
      <c r="D1137" t="s">
        <v>23</v>
      </c>
      <c r="E1137">
        <v>100</v>
      </c>
      <c r="F1137">
        <v>1212.04</v>
      </c>
      <c r="G1137">
        <v>0.27</v>
      </c>
      <c r="H1137">
        <v>120876.75</v>
      </c>
      <c r="I1137" t="s">
        <v>1727</v>
      </c>
      <c r="J1137">
        <v>1082.52</v>
      </c>
      <c r="K1137">
        <v>108252</v>
      </c>
      <c r="L1137">
        <v>1033.9000000000001</v>
      </c>
      <c r="M1137">
        <v>164.45</v>
      </c>
      <c r="N1137">
        <v>9873.1299999999992</v>
      </c>
      <c r="O1137">
        <v>119323.48</v>
      </c>
      <c r="P1137">
        <v>12624.75</v>
      </c>
      <c r="Q1137">
        <v>1553.27</v>
      </c>
      <c r="R1137" t="s">
        <v>134</v>
      </c>
      <c r="S1137">
        <v>0</v>
      </c>
      <c r="T1137">
        <v>120876.75</v>
      </c>
      <c r="U1137" t="s">
        <v>66</v>
      </c>
      <c r="V1137" t="s">
        <v>14</v>
      </c>
      <c r="W1137" t="s">
        <v>74</v>
      </c>
      <c r="X1137" t="s">
        <v>147</v>
      </c>
      <c r="Y1137" t="s">
        <v>28</v>
      </c>
      <c r="Z1137">
        <v>2.34</v>
      </c>
      <c r="AA1137">
        <f t="shared" si="51"/>
        <v>1553.27</v>
      </c>
      <c r="AB1137">
        <f t="shared" si="52"/>
        <v>1.2850031126746873E-2</v>
      </c>
      <c r="AC1137">
        <f t="shared" si="53"/>
        <v>0</v>
      </c>
      <c r="AD1137">
        <v>2024</v>
      </c>
      <c r="AE1137">
        <v>6</v>
      </c>
      <c r="AF1137" t="s">
        <v>111</v>
      </c>
      <c r="AG1137" t="s">
        <v>148</v>
      </c>
    </row>
    <row r="1138" spans="1:33">
      <c r="A1138" t="s">
        <v>1289</v>
      </c>
      <c r="B1138">
        <v>45874</v>
      </c>
      <c r="C1138">
        <v>45886</v>
      </c>
      <c r="D1138" t="s">
        <v>21</v>
      </c>
      <c r="E1138">
        <v>750</v>
      </c>
      <c r="F1138">
        <v>902.18</v>
      </c>
      <c r="G1138">
        <v>3.77</v>
      </c>
      <c r="H1138">
        <v>651125.86</v>
      </c>
      <c r="I1138" t="s">
        <v>1728</v>
      </c>
      <c r="J1138">
        <v>652.91</v>
      </c>
      <c r="K1138">
        <v>489682.5</v>
      </c>
      <c r="L1138">
        <v>10506.87</v>
      </c>
      <c r="M1138">
        <v>2248.5300000000002</v>
      </c>
      <c r="N1138">
        <v>6216.13</v>
      </c>
      <c r="O1138">
        <v>508654.03</v>
      </c>
      <c r="P1138">
        <v>161443.35999999999</v>
      </c>
      <c r="Q1138">
        <v>142471.82999999999</v>
      </c>
      <c r="R1138" t="s">
        <v>65</v>
      </c>
      <c r="S1138">
        <v>651125.86</v>
      </c>
      <c r="T1138">
        <v>0</v>
      </c>
      <c r="U1138" t="s">
        <v>66</v>
      </c>
      <c r="V1138" t="s">
        <v>14</v>
      </c>
      <c r="W1138" t="s">
        <v>92</v>
      </c>
      <c r="X1138" t="s">
        <v>167</v>
      </c>
      <c r="Y1138" t="s">
        <v>31</v>
      </c>
      <c r="Z1138">
        <v>1.1499999999999999</v>
      </c>
      <c r="AA1138">
        <f t="shared" si="51"/>
        <v>142471.82999999999</v>
      </c>
      <c r="AB1138">
        <f t="shared" si="52"/>
        <v>0.21880843436321204</v>
      </c>
      <c r="AC1138">
        <f t="shared" si="53"/>
        <v>0</v>
      </c>
      <c r="AD1138">
        <v>2025</v>
      </c>
      <c r="AE1138">
        <v>8</v>
      </c>
      <c r="AF1138" t="s">
        <v>82</v>
      </c>
      <c r="AG1138" t="s">
        <v>87</v>
      </c>
    </row>
    <row r="1139" spans="1:33">
      <c r="A1139" t="s">
        <v>1290</v>
      </c>
      <c r="B1139">
        <v>45714</v>
      </c>
      <c r="C1139">
        <v>45715</v>
      </c>
      <c r="D1139" t="s">
        <v>25</v>
      </c>
      <c r="E1139">
        <v>500</v>
      </c>
      <c r="F1139">
        <v>979.61</v>
      </c>
      <c r="G1139">
        <v>2.1800000000000002</v>
      </c>
      <c r="H1139">
        <v>479127.25</v>
      </c>
      <c r="I1139" t="s">
        <v>1726</v>
      </c>
      <c r="J1139">
        <v>770.8</v>
      </c>
      <c r="K1139">
        <v>385400</v>
      </c>
      <c r="L1139">
        <v>9109.44</v>
      </c>
      <c r="M1139">
        <v>2808.23</v>
      </c>
      <c r="N1139">
        <v>9628.5300000000007</v>
      </c>
      <c r="O1139">
        <v>406946.2</v>
      </c>
      <c r="P1139">
        <v>93727.25</v>
      </c>
      <c r="Q1139">
        <v>72181.05</v>
      </c>
      <c r="R1139" t="s">
        <v>65</v>
      </c>
      <c r="S1139">
        <v>479127.25</v>
      </c>
      <c r="T1139">
        <v>0</v>
      </c>
      <c r="U1139" t="s">
        <v>66</v>
      </c>
      <c r="V1139" t="s">
        <v>14</v>
      </c>
      <c r="W1139" t="s">
        <v>67</v>
      </c>
      <c r="X1139" t="s">
        <v>176</v>
      </c>
      <c r="Y1139" t="s">
        <v>22</v>
      </c>
      <c r="Z1139">
        <v>0.74</v>
      </c>
      <c r="AA1139">
        <f t="shared" si="51"/>
        <v>72181.05</v>
      </c>
      <c r="AB1139">
        <f t="shared" si="52"/>
        <v>0.15065110573443694</v>
      </c>
      <c r="AC1139">
        <f t="shared" si="53"/>
        <v>0</v>
      </c>
      <c r="AD1139">
        <v>2025</v>
      </c>
      <c r="AE1139">
        <v>2</v>
      </c>
      <c r="AF1139" t="s">
        <v>172</v>
      </c>
      <c r="AG1139" t="s">
        <v>244</v>
      </c>
    </row>
    <row r="1140" spans="1:33">
      <c r="A1140" t="s">
        <v>1291</v>
      </c>
      <c r="B1140">
        <v>45684</v>
      </c>
      <c r="C1140">
        <v>45693</v>
      </c>
      <c r="D1140" t="s">
        <v>21</v>
      </c>
      <c r="E1140">
        <v>150</v>
      </c>
      <c r="F1140">
        <v>857.24</v>
      </c>
      <c r="G1140">
        <v>0.77</v>
      </c>
      <c r="H1140">
        <v>127595.89</v>
      </c>
      <c r="I1140" t="s">
        <v>1727</v>
      </c>
      <c r="J1140">
        <v>683.99</v>
      </c>
      <c r="K1140">
        <v>102598.5</v>
      </c>
      <c r="L1140">
        <v>1833.88</v>
      </c>
      <c r="M1140">
        <v>794.18</v>
      </c>
      <c r="N1140">
        <v>4090.98</v>
      </c>
      <c r="O1140">
        <v>109317.54</v>
      </c>
      <c r="P1140">
        <v>24997.39</v>
      </c>
      <c r="Q1140">
        <v>18278.349999999999</v>
      </c>
      <c r="R1140" t="s">
        <v>65</v>
      </c>
      <c r="S1140">
        <v>127595.89</v>
      </c>
      <c r="T1140">
        <v>0</v>
      </c>
      <c r="U1140" t="s">
        <v>73</v>
      </c>
      <c r="V1140" t="s">
        <v>6</v>
      </c>
      <c r="W1140" t="s">
        <v>67</v>
      </c>
      <c r="X1140" t="s">
        <v>123</v>
      </c>
      <c r="Y1140" t="s">
        <v>22</v>
      </c>
      <c r="Z1140">
        <v>0.61</v>
      </c>
      <c r="AA1140">
        <f t="shared" si="51"/>
        <v>18278.349999999999</v>
      </c>
      <c r="AB1140">
        <f t="shared" si="52"/>
        <v>0.14325187120055355</v>
      </c>
      <c r="AC1140">
        <f t="shared" si="53"/>
        <v>0</v>
      </c>
      <c r="AD1140">
        <v>2025</v>
      </c>
      <c r="AE1140">
        <v>1</v>
      </c>
      <c r="AF1140" t="s">
        <v>102</v>
      </c>
      <c r="AG1140" t="s">
        <v>118</v>
      </c>
    </row>
    <row r="1141" spans="1:33">
      <c r="A1141" t="s">
        <v>1292</v>
      </c>
      <c r="B1141">
        <v>45565</v>
      </c>
      <c r="C1141">
        <v>45574</v>
      </c>
      <c r="D1141" t="s">
        <v>21</v>
      </c>
      <c r="E1141">
        <v>300</v>
      </c>
      <c r="F1141">
        <v>921.68</v>
      </c>
      <c r="G1141">
        <v>1.45</v>
      </c>
      <c r="H1141">
        <v>272494.69</v>
      </c>
      <c r="I1141" t="s">
        <v>1728</v>
      </c>
      <c r="J1141">
        <v>702.91</v>
      </c>
      <c r="K1141">
        <v>210873</v>
      </c>
      <c r="L1141">
        <v>6895.22</v>
      </c>
      <c r="M1141">
        <v>1494.68</v>
      </c>
      <c r="N1141">
        <v>7696.27</v>
      </c>
      <c r="O1141">
        <v>226959.17</v>
      </c>
      <c r="P1141">
        <v>61621.69</v>
      </c>
      <c r="Q1141">
        <v>45535.519999999997</v>
      </c>
      <c r="R1141" t="s">
        <v>134</v>
      </c>
      <c r="S1141">
        <v>0</v>
      </c>
      <c r="T1141">
        <v>272494.69</v>
      </c>
      <c r="U1141" t="s">
        <v>66</v>
      </c>
      <c r="V1141" t="s">
        <v>6</v>
      </c>
      <c r="W1141" t="s">
        <v>80</v>
      </c>
      <c r="X1141" t="s">
        <v>123</v>
      </c>
      <c r="Y1141" t="s">
        <v>22</v>
      </c>
      <c r="Z1141">
        <v>2.46</v>
      </c>
      <c r="AA1141">
        <f t="shared" si="51"/>
        <v>45535.519999999997</v>
      </c>
      <c r="AB1141">
        <f t="shared" si="52"/>
        <v>0.16710608195704657</v>
      </c>
      <c r="AC1141">
        <f t="shared" si="53"/>
        <v>0</v>
      </c>
      <c r="AD1141">
        <v>2024</v>
      </c>
      <c r="AE1141">
        <v>9</v>
      </c>
      <c r="AF1141" t="s">
        <v>131</v>
      </c>
      <c r="AG1141" t="s">
        <v>188</v>
      </c>
    </row>
    <row r="1142" spans="1:33">
      <c r="A1142" t="s">
        <v>1293</v>
      </c>
      <c r="B1142">
        <v>45864</v>
      </c>
      <c r="C1142">
        <v>45868</v>
      </c>
      <c r="D1142" t="s">
        <v>21</v>
      </c>
      <c r="E1142">
        <v>50</v>
      </c>
      <c r="F1142">
        <v>896.84</v>
      </c>
      <c r="G1142">
        <v>0.61</v>
      </c>
      <c r="H1142">
        <v>44568.46</v>
      </c>
      <c r="I1142" t="s">
        <v>1726</v>
      </c>
      <c r="J1142">
        <v>691.66</v>
      </c>
      <c r="K1142">
        <v>34583</v>
      </c>
      <c r="L1142">
        <v>433.29</v>
      </c>
      <c r="M1142">
        <v>136.96</v>
      </c>
      <c r="N1142">
        <v>5836</v>
      </c>
      <c r="O1142">
        <v>40989.25</v>
      </c>
      <c r="P1142">
        <v>9985.4599999999991</v>
      </c>
      <c r="Q1142">
        <v>3579.21</v>
      </c>
      <c r="R1142" t="s">
        <v>65</v>
      </c>
      <c r="S1142">
        <v>44568.46</v>
      </c>
      <c r="T1142">
        <v>0</v>
      </c>
      <c r="U1142" t="s">
        <v>66</v>
      </c>
      <c r="V1142" t="s">
        <v>6</v>
      </c>
      <c r="W1142" t="s">
        <v>92</v>
      </c>
      <c r="X1142" t="s">
        <v>81</v>
      </c>
      <c r="Y1142" t="s">
        <v>24</v>
      </c>
      <c r="Z1142">
        <v>1.1000000000000001</v>
      </c>
      <c r="AA1142">
        <f t="shared" si="51"/>
        <v>3579.21</v>
      </c>
      <c r="AB1142">
        <f t="shared" si="52"/>
        <v>8.0308137189393572E-2</v>
      </c>
      <c r="AC1142">
        <f t="shared" si="53"/>
        <v>0</v>
      </c>
      <c r="AD1142">
        <v>2025</v>
      </c>
      <c r="AE1142">
        <v>7</v>
      </c>
      <c r="AF1142" t="s">
        <v>69</v>
      </c>
      <c r="AG1142" t="s">
        <v>151</v>
      </c>
    </row>
    <row r="1143" spans="1:33">
      <c r="A1143" t="s">
        <v>1294</v>
      </c>
      <c r="B1143">
        <v>45724</v>
      </c>
      <c r="C1143">
        <v>45726</v>
      </c>
      <c r="D1143" t="s">
        <v>21</v>
      </c>
      <c r="E1143">
        <v>100</v>
      </c>
      <c r="F1143">
        <v>903.88</v>
      </c>
      <c r="G1143">
        <v>0.28999999999999998</v>
      </c>
      <c r="H1143">
        <v>90125.87</v>
      </c>
      <c r="I1143" t="s">
        <v>1728</v>
      </c>
      <c r="J1143">
        <v>663.02</v>
      </c>
      <c r="K1143">
        <v>66302</v>
      </c>
      <c r="L1143">
        <v>2179.1799999999998</v>
      </c>
      <c r="M1143">
        <v>240.94</v>
      </c>
      <c r="N1143">
        <v>3782.1</v>
      </c>
      <c r="O1143">
        <v>72504.22</v>
      </c>
      <c r="P1143">
        <v>23823.87</v>
      </c>
      <c r="Q1143">
        <v>17621.650000000001</v>
      </c>
      <c r="R1143" t="s">
        <v>65</v>
      </c>
      <c r="S1143">
        <v>90125.87</v>
      </c>
      <c r="T1143">
        <v>0</v>
      </c>
      <c r="U1143" t="s">
        <v>66</v>
      </c>
      <c r="V1143" t="s">
        <v>10</v>
      </c>
      <c r="W1143" t="s">
        <v>80</v>
      </c>
      <c r="X1143" t="s">
        <v>125</v>
      </c>
      <c r="Y1143" t="s">
        <v>24</v>
      </c>
      <c r="Z1143">
        <v>1.79</v>
      </c>
      <c r="AA1143">
        <f t="shared" si="51"/>
        <v>17621.650000000001</v>
      </c>
      <c r="AB1143">
        <f t="shared" si="52"/>
        <v>0.19552266180620506</v>
      </c>
      <c r="AC1143">
        <f t="shared" si="53"/>
        <v>0</v>
      </c>
      <c r="AD1143">
        <v>2025</v>
      </c>
      <c r="AE1143">
        <v>3</v>
      </c>
      <c r="AF1143" t="s">
        <v>105</v>
      </c>
      <c r="AG1143" t="s">
        <v>106</v>
      </c>
    </row>
    <row r="1144" spans="1:33">
      <c r="A1144" t="s">
        <v>1295</v>
      </c>
      <c r="B1144">
        <v>45952</v>
      </c>
      <c r="C1144">
        <v>45959</v>
      </c>
      <c r="D1144" t="s">
        <v>25</v>
      </c>
      <c r="E1144">
        <v>50</v>
      </c>
      <c r="F1144">
        <v>952.65</v>
      </c>
      <c r="G1144">
        <v>0.52</v>
      </c>
      <c r="H1144">
        <v>47384.81</v>
      </c>
      <c r="I1144" t="s">
        <v>1726</v>
      </c>
      <c r="J1144">
        <v>768.33</v>
      </c>
      <c r="K1144">
        <v>38416.5</v>
      </c>
      <c r="L1144">
        <v>748.7</v>
      </c>
      <c r="M1144">
        <v>177.03</v>
      </c>
      <c r="N1144">
        <v>3371.03</v>
      </c>
      <c r="O1144">
        <v>42713.26</v>
      </c>
      <c r="P1144">
        <v>8968.31</v>
      </c>
      <c r="Q1144">
        <v>4671.55</v>
      </c>
      <c r="R1144" t="s">
        <v>134</v>
      </c>
      <c r="S1144">
        <v>0</v>
      </c>
      <c r="T1144">
        <v>47384.81</v>
      </c>
      <c r="U1144" t="s">
        <v>73</v>
      </c>
      <c r="V1144" t="s">
        <v>6</v>
      </c>
      <c r="W1144" t="s">
        <v>92</v>
      </c>
      <c r="X1144" t="s">
        <v>101</v>
      </c>
      <c r="Y1144" t="s">
        <v>22</v>
      </c>
      <c r="Z1144">
        <v>0.84</v>
      </c>
      <c r="AA1144">
        <f t="shared" si="51"/>
        <v>4671.55</v>
      </c>
      <c r="AB1144">
        <f t="shared" si="52"/>
        <v>9.8587500931205593E-2</v>
      </c>
      <c r="AC1144">
        <f t="shared" si="53"/>
        <v>0</v>
      </c>
      <c r="AD1144">
        <v>2025</v>
      </c>
      <c r="AE1144">
        <v>10</v>
      </c>
      <c r="AF1144" t="s">
        <v>138</v>
      </c>
      <c r="AG1144" t="s">
        <v>160</v>
      </c>
    </row>
    <row r="1145" spans="1:33">
      <c r="A1145" t="s">
        <v>1296</v>
      </c>
      <c r="B1145">
        <v>45475</v>
      </c>
      <c r="C1145">
        <v>45486</v>
      </c>
      <c r="D1145" t="s">
        <v>21</v>
      </c>
      <c r="E1145">
        <v>500</v>
      </c>
      <c r="F1145">
        <v>841.26</v>
      </c>
      <c r="G1145">
        <v>1.44</v>
      </c>
      <c r="H1145">
        <v>414572.93</v>
      </c>
      <c r="I1145" t="s">
        <v>1727</v>
      </c>
      <c r="J1145">
        <v>728.69</v>
      </c>
      <c r="K1145">
        <v>364345</v>
      </c>
      <c r="L1145">
        <v>9774.5400000000009</v>
      </c>
      <c r="M1145">
        <v>2076.75</v>
      </c>
      <c r="N1145">
        <v>7932.73</v>
      </c>
      <c r="O1145">
        <v>384129.02</v>
      </c>
      <c r="P1145">
        <v>50227.93</v>
      </c>
      <c r="Q1145">
        <v>30443.91</v>
      </c>
      <c r="R1145" t="s">
        <v>65</v>
      </c>
      <c r="S1145">
        <v>414572.93</v>
      </c>
      <c r="T1145">
        <v>0</v>
      </c>
      <c r="U1145" t="s">
        <v>66</v>
      </c>
      <c r="V1145" t="s">
        <v>16</v>
      </c>
      <c r="W1145" t="s">
        <v>74</v>
      </c>
      <c r="X1145" t="s">
        <v>150</v>
      </c>
      <c r="Y1145" t="s">
        <v>30</v>
      </c>
      <c r="Z1145">
        <v>2</v>
      </c>
      <c r="AA1145">
        <f t="shared" si="51"/>
        <v>30443.91</v>
      </c>
      <c r="AB1145">
        <f t="shared" si="52"/>
        <v>7.3434389457121579E-2</v>
      </c>
      <c r="AC1145">
        <f t="shared" si="53"/>
        <v>0</v>
      </c>
      <c r="AD1145">
        <v>2024</v>
      </c>
      <c r="AE1145">
        <v>7</v>
      </c>
      <c r="AF1145" t="s">
        <v>69</v>
      </c>
      <c r="AG1145" t="s">
        <v>70</v>
      </c>
    </row>
    <row r="1146" spans="1:33">
      <c r="A1146" t="s">
        <v>1297</v>
      </c>
      <c r="B1146">
        <v>45513</v>
      </c>
      <c r="D1146" t="s">
        <v>29</v>
      </c>
      <c r="E1146">
        <v>100</v>
      </c>
      <c r="F1146">
        <v>2851.8</v>
      </c>
      <c r="G1146">
        <v>2</v>
      </c>
      <c r="H1146">
        <v>279476.40000000002</v>
      </c>
      <c r="I1146" t="s">
        <v>1727</v>
      </c>
      <c r="J1146">
        <v>2187.4299999999998</v>
      </c>
      <c r="K1146">
        <v>218743</v>
      </c>
      <c r="L1146">
        <v>673.22</v>
      </c>
      <c r="M1146">
        <v>341.27</v>
      </c>
      <c r="N1146">
        <v>2898.49</v>
      </c>
      <c r="O1146">
        <v>222655.98</v>
      </c>
      <c r="P1146">
        <v>60733.4</v>
      </c>
      <c r="Q1146">
        <v>56820.42</v>
      </c>
      <c r="R1146" t="s">
        <v>65</v>
      </c>
      <c r="S1146">
        <v>279476.40000000002</v>
      </c>
      <c r="T1146">
        <v>0</v>
      </c>
      <c r="U1146" t="s">
        <v>91</v>
      </c>
      <c r="V1146" t="s">
        <v>6</v>
      </c>
      <c r="W1146" t="s">
        <v>141</v>
      </c>
      <c r="X1146" t="s">
        <v>176</v>
      </c>
      <c r="Y1146" t="s">
        <v>22</v>
      </c>
      <c r="Z1146">
        <v>1.45</v>
      </c>
      <c r="AA1146">
        <f t="shared" si="51"/>
        <v>56820.42</v>
      </c>
      <c r="AB1146">
        <f t="shared" si="52"/>
        <v>0.20331026161779669</v>
      </c>
      <c r="AC1146">
        <f t="shared" si="53"/>
        <v>0</v>
      </c>
      <c r="AD1146">
        <v>2024</v>
      </c>
      <c r="AE1146">
        <v>8</v>
      </c>
      <c r="AF1146" t="s">
        <v>82</v>
      </c>
      <c r="AG1146" t="s">
        <v>83</v>
      </c>
    </row>
    <row r="1147" spans="1:33">
      <c r="A1147" t="s">
        <v>1298</v>
      </c>
      <c r="B1147">
        <v>45641</v>
      </c>
      <c r="D1147" t="s">
        <v>21</v>
      </c>
      <c r="E1147">
        <v>100</v>
      </c>
      <c r="F1147">
        <v>936.61</v>
      </c>
      <c r="G1147">
        <v>2.09</v>
      </c>
      <c r="H1147">
        <v>91703.49</v>
      </c>
      <c r="I1147" t="s">
        <v>1726</v>
      </c>
      <c r="J1147">
        <v>673.47</v>
      </c>
      <c r="K1147">
        <v>67347</v>
      </c>
      <c r="L1147">
        <v>890.76</v>
      </c>
      <c r="M1147">
        <v>307.06</v>
      </c>
      <c r="N1147">
        <v>8556.81</v>
      </c>
      <c r="O1147">
        <v>77101.63</v>
      </c>
      <c r="P1147">
        <v>24356.49</v>
      </c>
      <c r="Q1147">
        <v>14601.86</v>
      </c>
      <c r="R1147" t="s">
        <v>65</v>
      </c>
      <c r="S1147">
        <v>91703.49</v>
      </c>
      <c r="T1147">
        <v>0</v>
      </c>
      <c r="U1147" t="s">
        <v>91</v>
      </c>
      <c r="V1147" t="s">
        <v>6</v>
      </c>
      <c r="W1147" t="s">
        <v>67</v>
      </c>
      <c r="X1147" t="s">
        <v>230</v>
      </c>
      <c r="Y1147" t="s">
        <v>31</v>
      </c>
      <c r="Z1147">
        <v>1.6</v>
      </c>
      <c r="AA1147">
        <f t="shared" si="51"/>
        <v>14601.86</v>
      </c>
      <c r="AB1147">
        <f t="shared" si="52"/>
        <v>0.15922905442311955</v>
      </c>
      <c r="AC1147">
        <f t="shared" si="53"/>
        <v>0</v>
      </c>
      <c r="AD1147">
        <v>2024</v>
      </c>
      <c r="AE1147">
        <v>12</v>
      </c>
      <c r="AF1147" t="s">
        <v>98</v>
      </c>
      <c r="AG1147" t="s">
        <v>99</v>
      </c>
    </row>
    <row r="1148" spans="1:33">
      <c r="A1148" t="s">
        <v>1299</v>
      </c>
      <c r="B1148">
        <v>45545</v>
      </c>
      <c r="C1148">
        <v>45559</v>
      </c>
      <c r="D1148" t="s">
        <v>21</v>
      </c>
      <c r="E1148">
        <v>250</v>
      </c>
      <c r="F1148">
        <v>878.24</v>
      </c>
      <c r="G1148">
        <v>1.75</v>
      </c>
      <c r="H1148">
        <v>215717.7</v>
      </c>
      <c r="I1148" t="s">
        <v>1727</v>
      </c>
      <c r="J1148">
        <v>694.28</v>
      </c>
      <c r="K1148">
        <v>173570</v>
      </c>
      <c r="L1148">
        <v>2189.7199999999998</v>
      </c>
      <c r="M1148">
        <v>1339.92</v>
      </c>
      <c r="N1148">
        <v>1586.38</v>
      </c>
      <c r="O1148">
        <v>178686.02</v>
      </c>
      <c r="P1148">
        <v>42147.7</v>
      </c>
      <c r="Q1148">
        <v>37031.68</v>
      </c>
      <c r="R1148" t="s">
        <v>65</v>
      </c>
      <c r="S1148">
        <v>215717.7</v>
      </c>
      <c r="T1148">
        <v>0</v>
      </c>
      <c r="U1148" t="s">
        <v>73</v>
      </c>
      <c r="V1148" t="s">
        <v>10</v>
      </c>
      <c r="W1148" t="s">
        <v>80</v>
      </c>
      <c r="X1148" t="s">
        <v>97</v>
      </c>
      <c r="Y1148" t="s">
        <v>24</v>
      </c>
      <c r="Z1148">
        <v>0.47</v>
      </c>
      <c r="AA1148">
        <f t="shared" si="51"/>
        <v>37031.68</v>
      </c>
      <c r="AB1148">
        <f t="shared" si="52"/>
        <v>0.17166732261654929</v>
      </c>
      <c r="AC1148">
        <f t="shared" si="53"/>
        <v>0</v>
      </c>
      <c r="AD1148">
        <v>2024</v>
      </c>
      <c r="AE1148">
        <v>9</v>
      </c>
      <c r="AF1148" t="s">
        <v>131</v>
      </c>
      <c r="AG1148" t="s">
        <v>188</v>
      </c>
    </row>
    <row r="1149" spans="1:33">
      <c r="A1149" t="s">
        <v>1300</v>
      </c>
      <c r="B1149">
        <v>45659</v>
      </c>
      <c r="C1149">
        <v>45671</v>
      </c>
      <c r="D1149" t="s">
        <v>21</v>
      </c>
      <c r="E1149">
        <v>100</v>
      </c>
      <c r="F1149">
        <v>874.66</v>
      </c>
      <c r="G1149">
        <v>1.88</v>
      </c>
      <c r="H1149">
        <v>85821.64</v>
      </c>
      <c r="I1149" t="s">
        <v>1727</v>
      </c>
      <c r="J1149">
        <v>743.25</v>
      </c>
      <c r="K1149">
        <v>74325</v>
      </c>
      <c r="L1149">
        <v>1516.92</v>
      </c>
      <c r="M1149">
        <v>377</v>
      </c>
      <c r="N1149">
        <v>10310.77</v>
      </c>
      <c r="O1149">
        <v>86529.69</v>
      </c>
      <c r="P1149">
        <v>11496.64</v>
      </c>
      <c r="Q1149">
        <v>-708.05</v>
      </c>
      <c r="R1149" t="s">
        <v>65</v>
      </c>
      <c r="S1149">
        <v>85821.64</v>
      </c>
      <c r="T1149">
        <v>0</v>
      </c>
      <c r="U1149" t="s">
        <v>66</v>
      </c>
      <c r="V1149" t="s">
        <v>12</v>
      </c>
      <c r="W1149" t="s">
        <v>141</v>
      </c>
      <c r="X1149" t="s">
        <v>115</v>
      </c>
      <c r="Y1149" t="s">
        <v>22</v>
      </c>
      <c r="Z1149">
        <v>0.18</v>
      </c>
      <c r="AA1149">
        <f t="shared" si="51"/>
        <v>-708.05</v>
      </c>
      <c r="AB1149">
        <f t="shared" si="52"/>
        <v>-8.2502501700037426E-3</v>
      </c>
      <c r="AC1149">
        <f t="shared" si="53"/>
        <v>0</v>
      </c>
      <c r="AD1149">
        <v>2025</v>
      </c>
      <c r="AE1149">
        <v>1</v>
      </c>
      <c r="AF1149" t="s">
        <v>102</v>
      </c>
      <c r="AG1149" t="s">
        <v>118</v>
      </c>
    </row>
    <row r="1150" spans="1:33">
      <c r="A1150" t="s">
        <v>1301</v>
      </c>
      <c r="B1150">
        <v>46006</v>
      </c>
      <c r="C1150">
        <v>46013</v>
      </c>
      <c r="D1150" t="s">
        <v>21</v>
      </c>
      <c r="E1150">
        <v>200</v>
      </c>
      <c r="F1150">
        <v>895.39</v>
      </c>
      <c r="G1150">
        <v>2.2200000000000002</v>
      </c>
      <c r="H1150">
        <v>175102.47</v>
      </c>
      <c r="I1150" t="s">
        <v>1726</v>
      </c>
      <c r="J1150">
        <v>675.16</v>
      </c>
      <c r="K1150">
        <v>135032</v>
      </c>
      <c r="L1150">
        <v>2398.7800000000002</v>
      </c>
      <c r="M1150">
        <v>655.04</v>
      </c>
      <c r="N1150">
        <v>1962.71</v>
      </c>
      <c r="O1150">
        <v>140048.53</v>
      </c>
      <c r="P1150">
        <v>40070.47</v>
      </c>
      <c r="Q1150">
        <v>35053.94</v>
      </c>
      <c r="R1150" t="s">
        <v>65</v>
      </c>
      <c r="S1150">
        <v>175102.47</v>
      </c>
      <c r="T1150">
        <v>0</v>
      </c>
      <c r="U1150" t="s">
        <v>66</v>
      </c>
      <c r="V1150" t="s">
        <v>6</v>
      </c>
      <c r="W1150" t="s">
        <v>141</v>
      </c>
      <c r="X1150" t="s">
        <v>115</v>
      </c>
      <c r="Y1150" t="s">
        <v>22</v>
      </c>
      <c r="Z1150">
        <v>0.85</v>
      </c>
      <c r="AA1150">
        <f t="shared" si="51"/>
        <v>35053.94</v>
      </c>
      <c r="AB1150">
        <f t="shared" si="52"/>
        <v>0.20019100815653829</v>
      </c>
      <c r="AC1150">
        <f t="shared" si="53"/>
        <v>0</v>
      </c>
      <c r="AD1150">
        <v>2025</v>
      </c>
      <c r="AE1150">
        <v>12</v>
      </c>
      <c r="AF1150" t="s">
        <v>98</v>
      </c>
      <c r="AG1150" t="s">
        <v>168</v>
      </c>
    </row>
    <row r="1151" spans="1:33">
      <c r="A1151" t="s">
        <v>1302</v>
      </c>
      <c r="B1151">
        <v>45971</v>
      </c>
      <c r="C1151">
        <v>45972</v>
      </c>
      <c r="D1151" t="s">
        <v>21</v>
      </c>
      <c r="E1151">
        <v>200</v>
      </c>
      <c r="F1151">
        <v>971.14</v>
      </c>
      <c r="G1151">
        <v>1.04</v>
      </c>
      <c r="H1151">
        <v>192208.03</v>
      </c>
      <c r="I1151" t="s">
        <v>1727</v>
      </c>
      <c r="J1151">
        <v>656.9</v>
      </c>
      <c r="K1151">
        <v>131380</v>
      </c>
      <c r="L1151">
        <v>2732.64</v>
      </c>
      <c r="M1151">
        <v>1032.5899999999999</v>
      </c>
      <c r="N1151">
        <v>1208.9000000000001</v>
      </c>
      <c r="O1151">
        <v>136354.13</v>
      </c>
      <c r="P1151">
        <v>60828.03</v>
      </c>
      <c r="Q1151">
        <v>55853.9</v>
      </c>
      <c r="R1151" t="s">
        <v>65</v>
      </c>
      <c r="S1151">
        <v>192208.03</v>
      </c>
      <c r="T1151">
        <v>0</v>
      </c>
      <c r="U1151" t="s">
        <v>73</v>
      </c>
      <c r="V1151" t="s">
        <v>10</v>
      </c>
      <c r="W1151" t="s">
        <v>141</v>
      </c>
      <c r="X1151" t="s">
        <v>115</v>
      </c>
      <c r="Y1151" t="s">
        <v>22</v>
      </c>
      <c r="Z1151">
        <v>0.72</v>
      </c>
      <c r="AA1151">
        <f t="shared" si="51"/>
        <v>55853.9</v>
      </c>
      <c r="AB1151">
        <f t="shared" si="52"/>
        <v>0.29059087697844882</v>
      </c>
      <c r="AC1151">
        <f t="shared" si="53"/>
        <v>0</v>
      </c>
      <c r="AD1151">
        <v>2025</v>
      </c>
      <c r="AE1151">
        <v>11</v>
      </c>
      <c r="AF1151" t="s">
        <v>128</v>
      </c>
      <c r="AG1151" t="s">
        <v>135</v>
      </c>
    </row>
    <row r="1152" spans="1:33">
      <c r="A1152" t="s">
        <v>1303</v>
      </c>
      <c r="B1152">
        <v>45527</v>
      </c>
      <c r="C1152">
        <v>45535</v>
      </c>
      <c r="D1152" t="s">
        <v>23</v>
      </c>
      <c r="E1152">
        <v>200</v>
      </c>
      <c r="F1152">
        <v>1191.02</v>
      </c>
      <c r="G1152">
        <v>7.0000000000000007E-2</v>
      </c>
      <c r="H1152">
        <v>238037.26</v>
      </c>
      <c r="I1152" t="s">
        <v>1727</v>
      </c>
      <c r="J1152">
        <v>1038.49</v>
      </c>
      <c r="K1152">
        <v>207698</v>
      </c>
      <c r="L1152">
        <v>1045.26</v>
      </c>
      <c r="M1152">
        <v>873.51</v>
      </c>
      <c r="N1152">
        <v>360.37</v>
      </c>
      <c r="O1152">
        <v>209977.14</v>
      </c>
      <c r="P1152">
        <v>30339.26</v>
      </c>
      <c r="Q1152">
        <v>28060.12</v>
      </c>
      <c r="R1152" t="s">
        <v>65</v>
      </c>
      <c r="S1152">
        <v>238037.26</v>
      </c>
      <c r="T1152">
        <v>0</v>
      </c>
      <c r="U1152" t="s">
        <v>66</v>
      </c>
      <c r="V1152" t="s">
        <v>10</v>
      </c>
      <c r="W1152" t="s">
        <v>92</v>
      </c>
      <c r="X1152" t="s">
        <v>147</v>
      </c>
      <c r="Y1152" t="s">
        <v>28</v>
      </c>
      <c r="Z1152">
        <v>1.99</v>
      </c>
      <c r="AA1152">
        <f t="shared" si="51"/>
        <v>28060.12</v>
      </c>
      <c r="AB1152">
        <f t="shared" si="52"/>
        <v>0.11788120901744541</v>
      </c>
      <c r="AC1152">
        <f t="shared" si="53"/>
        <v>0</v>
      </c>
      <c r="AD1152">
        <v>2024</v>
      </c>
      <c r="AE1152">
        <v>8</v>
      </c>
      <c r="AF1152" t="s">
        <v>82</v>
      </c>
      <c r="AG1152" t="s">
        <v>83</v>
      </c>
    </row>
    <row r="1153" spans="1:33">
      <c r="A1153" t="s">
        <v>1304</v>
      </c>
      <c r="B1153">
        <v>45616</v>
      </c>
      <c r="C1153">
        <v>45626</v>
      </c>
      <c r="D1153" t="s">
        <v>21</v>
      </c>
      <c r="E1153">
        <v>200</v>
      </c>
      <c r="F1153">
        <v>877.2</v>
      </c>
      <c r="G1153">
        <v>1.57</v>
      </c>
      <c r="H1153">
        <v>172685.59</v>
      </c>
      <c r="I1153" t="s">
        <v>1729</v>
      </c>
      <c r="J1153">
        <v>730.81</v>
      </c>
      <c r="K1153">
        <v>146162</v>
      </c>
      <c r="L1153">
        <v>2602.9299999999998</v>
      </c>
      <c r="M1153">
        <v>337.52</v>
      </c>
      <c r="N1153">
        <v>11462.98</v>
      </c>
      <c r="O1153">
        <v>160565.43</v>
      </c>
      <c r="P1153">
        <v>26523.59</v>
      </c>
      <c r="Q1153">
        <v>12120.16</v>
      </c>
      <c r="R1153" t="s">
        <v>65</v>
      </c>
      <c r="S1153">
        <v>172685.59</v>
      </c>
      <c r="T1153">
        <v>0</v>
      </c>
      <c r="U1153" t="s">
        <v>66</v>
      </c>
      <c r="V1153" t="s">
        <v>8</v>
      </c>
      <c r="W1153" t="s">
        <v>74</v>
      </c>
      <c r="X1153" t="s">
        <v>127</v>
      </c>
      <c r="Y1153" t="s">
        <v>22</v>
      </c>
      <c r="Z1153">
        <v>1.3</v>
      </c>
      <c r="AA1153">
        <f t="shared" si="51"/>
        <v>12120.16</v>
      </c>
      <c r="AB1153">
        <f t="shared" si="52"/>
        <v>7.0186284796548454E-2</v>
      </c>
      <c r="AC1153">
        <f t="shared" si="53"/>
        <v>0</v>
      </c>
      <c r="AD1153">
        <v>2024</v>
      </c>
      <c r="AE1153">
        <v>11</v>
      </c>
      <c r="AF1153" t="s">
        <v>128</v>
      </c>
      <c r="AG1153" t="s">
        <v>129</v>
      </c>
    </row>
    <row r="1154" spans="1:33">
      <c r="A1154" t="s">
        <v>1305</v>
      </c>
      <c r="B1154">
        <v>45667</v>
      </c>
      <c r="C1154">
        <v>45679</v>
      </c>
      <c r="D1154" t="s">
        <v>25</v>
      </c>
      <c r="E1154">
        <v>1000</v>
      </c>
      <c r="F1154">
        <v>956.71</v>
      </c>
      <c r="G1154">
        <v>3.43</v>
      </c>
      <c r="H1154">
        <v>923894.85</v>
      </c>
      <c r="I1154" t="s">
        <v>1728</v>
      </c>
      <c r="J1154">
        <v>761.91</v>
      </c>
      <c r="K1154">
        <v>761910</v>
      </c>
      <c r="L1154">
        <v>19556.47</v>
      </c>
      <c r="M1154">
        <v>5760.57</v>
      </c>
      <c r="N1154">
        <v>2383.9899999999998</v>
      </c>
      <c r="O1154">
        <v>789611.03</v>
      </c>
      <c r="P1154">
        <v>161984.85</v>
      </c>
      <c r="Q1154">
        <v>134283.82</v>
      </c>
      <c r="R1154" t="s">
        <v>65</v>
      </c>
      <c r="S1154">
        <v>923894.85</v>
      </c>
      <c r="T1154">
        <v>0</v>
      </c>
      <c r="U1154" t="s">
        <v>66</v>
      </c>
      <c r="V1154" t="s">
        <v>8</v>
      </c>
      <c r="W1154" t="s">
        <v>92</v>
      </c>
      <c r="X1154" t="s">
        <v>68</v>
      </c>
      <c r="Y1154" t="s">
        <v>31</v>
      </c>
      <c r="Z1154">
        <v>0.45</v>
      </c>
      <c r="AA1154">
        <f t="shared" ref="AA1154:AA1217" si="54">ROUND(H1154-O1154,2)</f>
        <v>134283.82</v>
      </c>
      <c r="AB1154">
        <f t="shared" ref="AB1154:AB1217" si="55">AA1154/H1154</f>
        <v>0.14534534963583789</v>
      </c>
      <c r="AC1154">
        <f t="shared" ref="AC1154:AC1217" si="56">ROUND(AA1154-Q1154,2)</f>
        <v>0</v>
      </c>
      <c r="AD1154">
        <v>2025</v>
      </c>
      <c r="AE1154">
        <v>1</v>
      </c>
      <c r="AF1154" t="s">
        <v>102</v>
      </c>
      <c r="AG1154" t="s">
        <v>118</v>
      </c>
    </row>
    <row r="1155" spans="1:33">
      <c r="A1155" t="s">
        <v>1306</v>
      </c>
      <c r="B1155">
        <v>45707</v>
      </c>
      <c r="C1155">
        <v>45711</v>
      </c>
      <c r="D1155" t="s">
        <v>21</v>
      </c>
      <c r="E1155">
        <v>500</v>
      </c>
      <c r="F1155">
        <v>859.61</v>
      </c>
      <c r="G1155">
        <v>1.35</v>
      </c>
      <c r="H1155">
        <v>424002.63</v>
      </c>
      <c r="I1155" t="s">
        <v>1726</v>
      </c>
      <c r="J1155">
        <v>719.96</v>
      </c>
      <c r="K1155">
        <v>359980</v>
      </c>
      <c r="L1155">
        <v>2629.3</v>
      </c>
      <c r="M1155">
        <v>1011.57</v>
      </c>
      <c r="N1155">
        <v>500.06</v>
      </c>
      <c r="O1155">
        <v>364120.93</v>
      </c>
      <c r="P1155">
        <v>64022.63</v>
      </c>
      <c r="Q1155">
        <v>59881.7</v>
      </c>
      <c r="R1155" t="s">
        <v>65</v>
      </c>
      <c r="S1155">
        <v>424002.63</v>
      </c>
      <c r="T1155">
        <v>0</v>
      </c>
      <c r="U1155" t="s">
        <v>66</v>
      </c>
      <c r="V1155" t="s">
        <v>14</v>
      </c>
      <c r="W1155" t="s">
        <v>74</v>
      </c>
      <c r="X1155" t="s">
        <v>193</v>
      </c>
      <c r="Y1155" t="s">
        <v>30</v>
      </c>
      <c r="Z1155">
        <v>1.45</v>
      </c>
      <c r="AA1155">
        <f t="shared" si="54"/>
        <v>59881.7</v>
      </c>
      <c r="AB1155">
        <f t="shared" si="55"/>
        <v>0.14122954850539488</v>
      </c>
      <c r="AC1155">
        <f t="shared" si="56"/>
        <v>0</v>
      </c>
      <c r="AD1155">
        <v>2025</v>
      </c>
      <c r="AE1155">
        <v>2</v>
      </c>
      <c r="AF1155" t="s">
        <v>172</v>
      </c>
      <c r="AG1155" t="s">
        <v>244</v>
      </c>
    </row>
    <row r="1156" spans="1:33">
      <c r="A1156" t="s">
        <v>1307</v>
      </c>
      <c r="B1156">
        <v>45450</v>
      </c>
      <c r="C1156">
        <v>45464</v>
      </c>
      <c r="D1156" t="s">
        <v>27</v>
      </c>
      <c r="E1156">
        <v>1000</v>
      </c>
      <c r="F1156">
        <v>703.32</v>
      </c>
      <c r="G1156">
        <v>1.06</v>
      </c>
      <c r="H1156">
        <v>695864.81</v>
      </c>
      <c r="I1156" t="s">
        <v>1727</v>
      </c>
      <c r="J1156">
        <v>603.45000000000005</v>
      </c>
      <c r="K1156">
        <v>603450</v>
      </c>
      <c r="L1156">
        <v>22345.9</v>
      </c>
      <c r="M1156">
        <v>4640.3</v>
      </c>
      <c r="N1156">
        <v>10252.93</v>
      </c>
      <c r="O1156">
        <v>640689.13</v>
      </c>
      <c r="P1156">
        <v>92414.81</v>
      </c>
      <c r="Q1156">
        <v>55175.68</v>
      </c>
      <c r="R1156" t="s">
        <v>134</v>
      </c>
      <c r="S1156">
        <v>0</v>
      </c>
      <c r="T1156">
        <v>695864.81</v>
      </c>
      <c r="U1156" t="s">
        <v>66</v>
      </c>
      <c r="V1156" t="s">
        <v>6</v>
      </c>
      <c r="W1156" t="s">
        <v>92</v>
      </c>
      <c r="X1156" t="s">
        <v>115</v>
      </c>
      <c r="Y1156" t="s">
        <v>22</v>
      </c>
      <c r="Z1156">
        <v>0.3</v>
      </c>
      <c r="AA1156">
        <f t="shared" si="54"/>
        <v>55175.68</v>
      </c>
      <c r="AB1156">
        <f t="shared" si="55"/>
        <v>7.9290803626066386E-2</v>
      </c>
      <c r="AC1156">
        <f t="shared" si="56"/>
        <v>0</v>
      </c>
      <c r="AD1156">
        <v>2024</v>
      </c>
      <c r="AE1156">
        <v>6</v>
      </c>
      <c r="AF1156" t="s">
        <v>111</v>
      </c>
      <c r="AG1156" t="s">
        <v>148</v>
      </c>
    </row>
    <row r="1157" spans="1:33">
      <c r="A1157" t="s">
        <v>1308</v>
      </c>
      <c r="B1157">
        <v>45695</v>
      </c>
      <c r="C1157">
        <v>45706</v>
      </c>
      <c r="D1157" t="s">
        <v>25</v>
      </c>
      <c r="E1157">
        <v>250</v>
      </c>
      <c r="F1157">
        <v>977.3</v>
      </c>
      <c r="G1157">
        <v>1.05</v>
      </c>
      <c r="H1157">
        <v>241759.59</v>
      </c>
      <c r="I1157" t="s">
        <v>1728</v>
      </c>
      <c r="J1157">
        <v>824.91</v>
      </c>
      <c r="K1157">
        <v>206227.5</v>
      </c>
      <c r="L1157">
        <v>4671.5</v>
      </c>
      <c r="M1157">
        <v>665.43</v>
      </c>
      <c r="N1157">
        <v>6315.99</v>
      </c>
      <c r="O1157">
        <v>217880.42</v>
      </c>
      <c r="P1157">
        <v>35532.089999999997</v>
      </c>
      <c r="Q1157">
        <v>23879.17</v>
      </c>
      <c r="R1157" t="s">
        <v>85</v>
      </c>
      <c r="S1157">
        <v>69137.06</v>
      </c>
      <c r="T1157">
        <v>172622.53</v>
      </c>
      <c r="U1157" t="s">
        <v>73</v>
      </c>
      <c r="V1157" t="s">
        <v>12</v>
      </c>
      <c r="W1157" t="s">
        <v>74</v>
      </c>
      <c r="X1157" t="s">
        <v>89</v>
      </c>
      <c r="Y1157" t="s">
        <v>28</v>
      </c>
      <c r="Z1157">
        <v>1.25</v>
      </c>
      <c r="AA1157">
        <f t="shared" si="54"/>
        <v>23879.17</v>
      </c>
      <c r="AB1157">
        <f t="shared" si="55"/>
        <v>9.8772379618942932E-2</v>
      </c>
      <c r="AC1157">
        <f t="shared" si="56"/>
        <v>0</v>
      </c>
      <c r="AD1157">
        <v>2025</v>
      </c>
      <c r="AE1157">
        <v>2</v>
      </c>
      <c r="AF1157" t="s">
        <v>172</v>
      </c>
      <c r="AG1157" t="s">
        <v>244</v>
      </c>
    </row>
    <row r="1158" spans="1:33">
      <c r="A1158" t="s">
        <v>1309</v>
      </c>
      <c r="B1158">
        <v>45979</v>
      </c>
      <c r="D1158" t="s">
        <v>21</v>
      </c>
      <c r="E1158">
        <v>500</v>
      </c>
      <c r="F1158">
        <v>860.23</v>
      </c>
      <c r="G1158">
        <v>2.2599999999999998</v>
      </c>
      <c r="H1158">
        <v>0</v>
      </c>
      <c r="I1158" t="s">
        <v>1728</v>
      </c>
      <c r="J1158">
        <v>723.37</v>
      </c>
      <c r="K1158">
        <v>0</v>
      </c>
      <c r="L1158">
        <v>0</v>
      </c>
      <c r="M1158">
        <v>0</v>
      </c>
      <c r="N1158">
        <v>0</v>
      </c>
      <c r="O1158">
        <v>0</v>
      </c>
      <c r="P1158">
        <v>0</v>
      </c>
      <c r="Q1158">
        <v>0</v>
      </c>
      <c r="R1158" t="s">
        <v>65</v>
      </c>
      <c r="S1158">
        <v>0</v>
      </c>
      <c r="T1158">
        <v>0</v>
      </c>
      <c r="U1158" t="s">
        <v>117</v>
      </c>
      <c r="V1158" t="s">
        <v>14</v>
      </c>
      <c r="W1158" t="s">
        <v>80</v>
      </c>
      <c r="X1158" t="s">
        <v>239</v>
      </c>
      <c r="Y1158" t="s">
        <v>28</v>
      </c>
      <c r="Z1158">
        <v>1.42</v>
      </c>
      <c r="AA1158">
        <f t="shared" si="54"/>
        <v>0</v>
      </c>
      <c r="AB1158" t="e">
        <f t="shared" si="55"/>
        <v>#DIV/0!</v>
      </c>
      <c r="AC1158">
        <f t="shared" si="56"/>
        <v>0</v>
      </c>
      <c r="AD1158">
        <v>2025</v>
      </c>
      <c r="AE1158">
        <v>11</v>
      </c>
      <c r="AF1158" t="s">
        <v>128</v>
      </c>
      <c r="AG1158" t="s">
        <v>135</v>
      </c>
    </row>
    <row r="1159" spans="1:33">
      <c r="A1159" t="s">
        <v>1310</v>
      </c>
      <c r="B1159">
        <v>45693</v>
      </c>
      <c r="C1159">
        <v>45706</v>
      </c>
      <c r="D1159" t="s">
        <v>21</v>
      </c>
      <c r="E1159">
        <v>100</v>
      </c>
      <c r="F1159">
        <v>914.24</v>
      </c>
      <c r="G1159">
        <v>0.01</v>
      </c>
      <c r="H1159">
        <v>91414.86</v>
      </c>
      <c r="I1159" t="s">
        <v>1727</v>
      </c>
      <c r="J1159">
        <v>692.45</v>
      </c>
      <c r="K1159">
        <v>69245</v>
      </c>
      <c r="L1159">
        <v>1292.95</v>
      </c>
      <c r="M1159">
        <v>273.29000000000002</v>
      </c>
      <c r="N1159">
        <v>11361.41</v>
      </c>
      <c r="O1159">
        <v>82172.649999999994</v>
      </c>
      <c r="P1159">
        <v>22169.86</v>
      </c>
      <c r="Q1159">
        <v>9242.2099999999991</v>
      </c>
      <c r="R1159" t="s">
        <v>85</v>
      </c>
      <c r="S1159">
        <v>76891.3</v>
      </c>
      <c r="T1159">
        <v>14523.56</v>
      </c>
      <c r="U1159" t="s">
        <v>66</v>
      </c>
      <c r="V1159" t="s">
        <v>10</v>
      </c>
      <c r="W1159" t="s">
        <v>67</v>
      </c>
      <c r="X1159" t="s">
        <v>127</v>
      </c>
      <c r="Y1159" t="s">
        <v>22</v>
      </c>
      <c r="Z1159">
        <v>0.37</v>
      </c>
      <c r="AA1159">
        <f t="shared" si="54"/>
        <v>9242.2099999999991</v>
      </c>
      <c r="AB1159">
        <f t="shared" si="55"/>
        <v>0.10110183399066627</v>
      </c>
      <c r="AC1159">
        <f t="shared" si="56"/>
        <v>0</v>
      </c>
      <c r="AD1159">
        <v>2025</v>
      </c>
      <c r="AE1159">
        <v>2</v>
      </c>
      <c r="AF1159" t="s">
        <v>172</v>
      </c>
      <c r="AG1159" t="s">
        <v>244</v>
      </c>
    </row>
    <row r="1160" spans="1:33">
      <c r="A1160" t="s">
        <v>1311</v>
      </c>
      <c r="B1160">
        <v>45453</v>
      </c>
      <c r="C1160">
        <v>45459</v>
      </c>
      <c r="D1160" t="s">
        <v>21</v>
      </c>
      <c r="E1160">
        <v>1000</v>
      </c>
      <c r="F1160">
        <v>857.63</v>
      </c>
      <c r="G1160">
        <v>2.44</v>
      </c>
      <c r="H1160">
        <v>836703.83</v>
      </c>
      <c r="I1160" t="s">
        <v>1728</v>
      </c>
      <c r="J1160">
        <v>688.56</v>
      </c>
      <c r="K1160">
        <v>688560</v>
      </c>
      <c r="L1160">
        <v>9214.7000000000007</v>
      </c>
      <c r="M1160">
        <v>5264.14</v>
      </c>
      <c r="N1160">
        <v>2215.5100000000002</v>
      </c>
      <c r="O1160">
        <v>705254.35</v>
      </c>
      <c r="P1160">
        <v>148143.82999999999</v>
      </c>
      <c r="Q1160">
        <v>131449.48000000001</v>
      </c>
      <c r="R1160" t="s">
        <v>65</v>
      </c>
      <c r="S1160">
        <v>836703.83</v>
      </c>
      <c r="T1160">
        <v>0</v>
      </c>
      <c r="U1160" t="s">
        <v>73</v>
      </c>
      <c r="V1160" t="s">
        <v>6</v>
      </c>
      <c r="W1160" t="s">
        <v>67</v>
      </c>
      <c r="X1160" t="s">
        <v>115</v>
      </c>
      <c r="Y1160" t="s">
        <v>22</v>
      </c>
      <c r="Z1160">
        <v>1.58</v>
      </c>
      <c r="AA1160">
        <f t="shared" si="54"/>
        <v>131449.48000000001</v>
      </c>
      <c r="AB1160">
        <f t="shared" si="55"/>
        <v>0.15710395397616383</v>
      </c>
      <c r="AC1160">
        <f t="shared" si="56"/>
        <v>0</v>
      </c>
      <c r="AD1160">
        <v>2024</v>
      </c>
      <c r="AE1160">
        <v>6</v>
      </c>
      <c r="AF1160" t="s">
        <v>111</v>
      </c>
      <c r="AG1160" t="s">
        <v>148</v>
      </c>
    </row>
    <row r="1161" spans="1:33">
      <c r="A1161" t="s">
        <v>1312</v>
      </c>
      <c r="B1161">
        <v>45924</v>
      </c>
      <c r="C1161">
        <v>45928</v>
      </c>
      <c r="D1161" t="s">
        <v>29</v>
      </c>
      <c r="E1161">
        <v>750</v>
      </c>
      <c r="F1161">
        <v>2969.79</v>
      </c>
      <c r="G1161">
        <v>1.04</v>
      </c>
      <c r="H1161">
        <v>2204178.14</v>
      </c>
      <c r="I1161" t="s">
        <v>1726</v>
      </c>
      <c r="J1161">
        <v>2147.84</v>
      </c>
      <c r="K1161">
        <v>1610880</v>
      </c>
      <c r="L1161">
        <v>7321.05</v>
      </c>
      <c r="M1161">
        <v>1965.5</v>
      </c>
      <c r="N1161">
        <v>8375.59</v>
      </c>
      <c r="O1161">
        <v>1628542.14</v>
      </c>
      <c r="P1161">
        <v>593298.14</v>
      </c>
      <c r="Q1161">
        <v>575636</v>
      </c>
      <c r="R1161" t="s">
        <v>65</v>
      </c>
      <c r="S1161">
        <v>2204178.14</v>
      </c>
      <c r="T1161">
        <v>0</v>
      </c>
      <c r="U1161" t="s">
        <v>66</v>
      </c>
      <c r="V1161" t="s">
        <v>6</v>
      </c>
      <c r="W1161" t="s">
        <v>74</v>
      </c>
      <c r="X1161" t="s">
        <v>371</v>
      </c>
      <c r="Y1161" t="s">
        <v>26</v>
      </c>
      <c r="Z1161">
        <v>1.35</v>
      </c>
      <c r="AA1161">
        <f t="shared" si="54"/>
        <v>575636</v>
      </c>
      <c r="AB1161">
        <f t="shared" si="55"/>
        <v>0.26115675024342633</v>
      </c>
      <c r="AC1161">
        <f t="shared" si="56"/>
        <v>0</v>
      </c>
      <c r="AD1161">
        <v>2025</v>
      </c>
      <c r="AE1161">
        <v>9</v>
      </c>
      <c r="AF1161" t="s">
        <v>131</v>
      </c>
      <c r="AG1161" t="s">
        <v>132</v>
      </c>
    </row>
    <row r="1162" spans="1:33">
      <c r="A1162" t="s">
        <v>1313</v>
      </c>
      <c r="B1162">
        <v>45656</v>
      </c>
      <c r="C1162">
        <v>45656</v>
      </c>
      <c r="D1162" t="s">
        <v>25</v>
      </c>
      <c r="E1162">
        <v>250</v>
      </c>
      <c r="F1162">
        <v>996.13</v>
      </c>
      <c r="G1162">
        <v>1.46</v>
      </c>
      <c r="H1162">
        <v>245396.63</v>
      </c>
      <c r="I1162" t="s">
        <v>1727</v>
      </c>
      <c r="J1162">
        <v>767.94</v>
      </c>
      <c r="K1162">
        <v>191985</v>
      </c>
      <c r="L1162">
        <v>2457.08</v>
      </c>
      <c r="M1162">
        <v>707.75</v>
      </c>
      <c r="N1162">
        <v>8076.49</v>
      </c>
      <c r="O1162">
        <v>203226.32</v>
      </c>
      <c r="P1162">
        <v>53411.63</v>
      </c>
      <c r="Q1162">
        <v>42170.31</v>
      </c>
      <c r="R1162" t="s">
        <v>65</v>
      </c>
      <c r="S1162">
        <v>245396.63</v>
      </c>
      <c r="T1162">
        <v>0</v>
      </c>
      <c r="U1162" t="s">
        <v>66</v>
      </c>
      <c r="V1162" t="s">
        <v>6</v>
      </c>
      <c r="W1162" t="s">
        <v>92</v>
      </c>
      <c r="X1162" t="s">
        <v>150</v>
      </c>
      <c r="Y1162" t="s">
        <v>30</v>
      </c>
      <c r="Z1162">
        <v>1.28</v>
      </c>
      <c r="AA1162">
        <f t="shared" si="54"/>
        <v>42170.31</v>
      </c>
      <c r="AB1162">
        <f t="shared" si="55"/>
        <v>0.17184551393391179</v>
      </c>
      <c r="AC1162">
        <f t="shared" si="56"/>
        <v>0</v>
      </c>
      <c r="AD1162">
        <v>2024</v>
      </c>
      <c r="AE1162">
        <v>12</v>
      </c>
      <c r="AF1162" t="s">
        <v>98</v>
      </c>
      <c r="AG1162" t="s">
        <v>99</v>
      </c>
    </row>
    <row r="1163" spans="1:33">
      <c r="A1163" t="s">
        <v>1314</v>
      </c>
      <c r="B1163">
        <v>45647</v>
      </c>
      <c r="C1163">
        <v>45661</v>
      </c>
      <c r="D1163" t="s">
        <v>23</v>
      </c>
      <c r="E1163">
        <v>150</v>
      </c>
      <c r="F1163">
        <v>1251.92</v>
      </c>
      <c r="G1163">
        <v>1.19</v>
      </c>
      <c r="H1163">
        <v>185553.32</v>
      </c>
      <c r="I1163" t="s">
        <v>1727</v>
      </c>
      <c r="J1163">
        <v>1064.83</v>
      </c>
      <c r="K1163">
        <v>159724.5</v>
      </c>
      <c r="L1163">
        <v>1164.6500000000001</v>
      </c>
      <c r="M1163">
        <v>714.78</v>
      </c>
      <c r="N1163">
        <v>5933.07</v>
      </c>
      <c r="O1163">
        <v>167537</v>
      </c>
      <c r="P1163">
        <v>25828.82</v>
      </c>
      <c r="Q1163">
        <v>18016.32</v>
      </c>
      <c r="R1163" t="s">
        <v>134</v>
      </c>
      <c r="S1163">
        <v>0</v>
      </c>
      <c r="T1163">
        <v>185553.32</v>
      </c>
      <c r="U1163" t="s">
        <v>66</v>
      </c>
      <c r="V1163" t="s">
        <v>8</v>
      </c>
      <c r="W1163" t="s">
        <v>67</v>
      </c>
      <c r="X1163" t="s">
        <v>185</v>
      </c>
      <c r="Y1163" t="s">
        <v>31</v>
      </c>
      <c r="Z1163">
        <v>2.2200000000000002</v>
      </c>
      <c r="AA1163">
        <f t="shared" si="54"/>
        <v>18016.32</v>
      </c>
      <c r="AB1163">
        <f t="shared" si="55"/>
        <v>9.7095109912342173E-2</v>
      </c>
      <c r="AC1163">
        <f t="shared" si="56"/>
        <v>0</v>
      </c>
      <c r="AD1163">
        <v>2024</v>
      </c>
      <c r="AE1163">
        <v>12</v>
      </c>
      <c r="AF1163" t="s">
        <v>98</v>
      </c>
      <c r="AG1163" t="s">
        <v>99</v>
      </c>
    </row>
    <row r="1164" spans="1:33">
      <c r="A1164" t="s">
        <v>1315</v>
      </c>
      <c r="B1164">
        <v>45721</v>
      </c>
      <c r="C1164">
        <v>45729</v>
      </c>
      <c r="D1164" t="s">
        <v>23</v>
      </c>
      <c r="E1164">
        <v>250</v>
      </c>
      <c r="F1164">
        <v>1241.21</v>
      </c>
      <c r="G1164">
        <v>0.36</v>
      </c>
      <c r="H1164">
        <v>309185.40999999997</v>
      </c>
      <c r="I1164" t="s">
        <v>1726</v>
      </c>
      <c r="J1164">
        <v>1007.84</v>
      </c>
      <c r="K1164">
        <v>251960</v>
      </c>
      <c r="L1164">
        <v>4357.0600000000004</v>
      </c>
      <c r="M1164">
        <v>1111.5</v>
      </c>
      <c r="N1164">
        <v>1553.17</v>
      </c>
      <c r="O1164">
        <v>258981.73</v>
      </c>
      <c r="P1164">
        <v>57225.41</v>
      </c>
      <c r="Q1164">
        <v>50203.68</v>
      </c>
      <c r="R1164" t="s">
        <v>65</v>
      </c>
      <c r="S1164">
        <v>309185.40999999997</v>
      </c>
      <c r="T1164">
        <v>0</v>
      </c>
      <c r="U1164" t="s">
        <v>73</v>
      </c>
      <c r="V1164" t="s">
        <v>6</v>
      </c>
      <c r="W1164" t="s">
        <v>67</v>
      </c>
      <c r="X1164" t="s">
        <v>375</v>
      </c>
      <c r="Y1164" t="s">
        <v>30</v>
      </c>
      <c r="Z1164">
        <v>0.59</v>
      </c>
      <c r="AA1164">
        <f t="shared" si="54"/>
        <v>50203.68</v>
      </c>
      <c r="AB1164">
        <f t="shared" si="55"/>
        <v>0.16237402663987283</v>
      </c>
      <c r="AC1164">
        <f t="shared" si="56"/>
        <v>0</v>
      </c>
      <c r="AD1164">
        <v>2025</v>
      </c>
      <c r="AE1164">
        <v>3</v>
      </c>
      <c r="AF1164" t="s">
        <v>105</v>
      </c>
      <c r="AG1164" t="s">
        <v>106</v>
      </c>
    </row>
    <row r="1165" spans="1:33">
      <c r="A1165" t="s">
        <v>1316</v>
      </c>
      <c r="B1165">
        <v>46000</v>
      </c>
      <c r="C1165">
        <v>46014</v>
      </c>
      <c r="D1165" t="s">
        <v>29</v>
      </c>
      <c r="E1165">
        <v>200</v>
      </c>
      <c r="F1165">
        <v>3144.23</v>
      </c>
      <c r="G1165">
        <v>0.19</v>
      </c>
      <c r="H1165">
        <v>627651.18999999994</v>
      </c>
      <c r="I1165" t="s">
        <v>1726</v>
      </c>
      <c r="J1165">
        <v>2409.77</v>
      </c>
      <c r="K1165">
        <v>481954</v>
      </c>
      <c r="L1165">
        <v>3457.01</v>
      </c>
      <c r="M1165">
        <v>582.16</v>
      </c>
      <c r="N1165">
        <v>11418.55</v>
      </c>
      <c r="O1165">
        <v>497411.72</v>
      </c>
      <c r="P1165">
        <v>145697.19</v>
      </c>
      <c r="Q1165">
        <v>130239.47</v>
      </c>
      <c r="R1165" t="s">
        <v>85</v>
      </c>
      <c r="S1165">
        <v>367405.76</v>
      </c>
      <c r="T1165">
        <v>260245.43</v>
      </c>
      <c r="U1165" t="s">
        <v>66</v>
      </c>
      <c r="V1165" t="s">
        <v>8</v>
      </c>
      <c r="W1165" t="s">
        <v>80</v>
      </c>
      <c r="X1165" t="s">
        <v>97</v>
      </c>
      <c r="Y1165" t="s">
        <v>24</v>
      </c>
      <c r="Z1165">
        <v>0.69</v>
      </c>
      <c r="AA1165">
        <f t="shared" si="54"/>
        <v>130239.47</v>
      </c>
      <c r="AB1165">
        <f t="shared" si="55"/>
        <v>0.20750294443001058</v>
      </c>
      <c r="AC1165">
        <f t="shared" si="56"/>
        <v>0</v>
      </c>
      <c r="AD1165">
        <v>2025</v>
      </c>
      <c r="AE1165">
        <v>12</v>
      </c>
      <c r="AF1165" t="s">
        <v>98</v>
      </c>
      <c r="AG1165" t="s">
        <v>168</v>
      </c>
    </row>
    <row r="1166" spans="1:33">
      <c r="A1166" t="s">
        <v>1317</v>
      </c>
      <c r="B1166">
        <v>45902</v>
      </c>
      <c r="D1166" t="s">
        <v>25</v>
      </c>
      <c r="E1166">
        <v>500</v>
      </c>
      <c r="F1166">
        <v>935.29</v>
      </c>
      <c r="G1166">
        <v>4.2300000000000004</v>
      </c>
      <c r="H1166">
        <v>0</v>
      </c>
      <c r="I1166" t="s">
        <v>1728</v>
      </c>
      <c r="J1166">
        <v>756.21</v>
      </c>
      <c r="K1166">
        <v>0</v>
      </c>
      <c r="L1166">
        <v>0</v>
      </c>
      <c r="M1166">
        <v>0</v>
      </c>
      <c r="N1166">
        <v>0</v>
      </c>
      <c r="O1166">
        <v>0</v>
      </c>
      <c r="P1166">
        <v>0</v>
      </c>
      <c r="Q1166">
        <v>0</v>
      </c>
      <c r="R1166" t="s">
        <v>65</v>
      </c>
      <c r="S1166">
        <v>0</v>
      </c>
      <c r="T1166">
        <v>0</v>
      </c>
      <c r="U1166" t="s">
        <v>117</v>
      </c>
      <c r="V1166" t="s">
        <v>12</v>
      </c>
      <c r="W1166" t="s">
        <v>74</v>
      </c>
      <c r="X1166" t="s">
        <v>145</v>
      </c>
      <c r="Y1166" t="s">
        <v>30</v>
      </c>
      <c r="Z1166">
        <v>2.42</v>
      </c>
      <c r="AA1166">
        <f t="shared" si="54"/>
        <v>0</v>
      </c>
      <c r="AB1166" t="e">
        <f t="shared" si="55"/>
        <v>#DIV/0!</v>
      </c>
      <c r="AC1166">
        <f t="shared" si="56"/>
        <v>0</v>
      </c>
      <c r="AD1166">
        <v>2025</v>
      </c>
      <c r="AE1166">
        <v>9</v>
      </c>
      <c r="AF1166" t="s">
        <v>131</v>
      </c>
      <c r="AG1166" t="s">
        <v>132</v>
      </c>
    </row>
    <row r="1167" spans="1:33">
      <c r="A1167" t="s">
        <v>1318</v>
      </c>
      <c r="B1167">
        <v>45324</v>
      </c>
      <c r="C1167">
        <v>45331</v>
      </c>
      <c r="D1167" t="s">
        <v>21</v>
      </c>
      <c r="E1167">
        <v>300</v>
      </c>
      <c r="F1167">
        <v>812.43</v>
      </c>
      <c r="G1167">
        <v>0.66</v>
      </c>
      <c r="H1167">
        <v>242120.39</v>
      </c>
      <c r="I1167" t="s">
        <v>1727</v>
      </c>
      <c r="J1167">
        <v>751.14</v>
      </c>
      <c r="K1167">
        <v>225342</v>
      </c>
      <c r="L1167">
        <v>5537.13</v>
      </c>
      <c r="M1167">
        <v>1039.7</v>
      </c>
      <c r="N1167">
        <v>3484.08</v>
      </c>
      <c r="O1167">
        <v>235402.91</v>
      </c>
      <c r="P1167">
        <v>16778.39</v>
      </c>
      <c r="Q1167">
        <v>6717.48</v>
      </c>
      <c r="R1167" t="s">
        <v>65</v>
      </c>
      <c r="S1167">
        <v>242120.39</v>
      </c>
      <c r="T1167">
        <v>0</v>
      </c>
      <c r="U1167" t="s">
        <v>66</v>
      </c>
      <c r="V1167" t="s">
        <v>12</v>
      </c>
      <c r="W1167" t="s">
        <v>92</v>
      </c>
      <c r="X1167" t="s">
        <v>115</v>
      </c>
      <c r="Y1167" t="s">
        <v>22</v>
      </c>
      <c r="Z1167">
        <v>1.23</v>
      </c>
      <c r="AA1167">
        <f t="shared" si="54"/>
        <v>6717.48</v>
      </c>
      <c r="AB1167">
        <f t="shared" si="55"/>
        <v>2.7744379562580412E-2</v>
      </c>
      <c r="AC1167">
        <f t="shared" si="56"/>
        <v>0</v>
      </c>
      <c r="AD1167">
        <v>2024</v>
      </c>
      <c r="AE1167">
        <v>2</v>
      </c>
      <c r="AF1167" t="s">
        <v>172</v>
      </c>
      <c r="AG1167" t="s">
        <v>173</v>
      </c>
    </row>
    <row r="1168" spans="1:33">
      <c r="A1168" t="s">
        <v>1319</v>
      </c>
      <c r="B1168">
        <v>45882</v>
      </c>
      <c r="C1168">
        <v>45887</v>
      </c>
      <c r="D1168" t="s">
        <v>29</v>
      </c>
      <c r="E1168">
        <v>500</v>
      </c>
      <c r="F1168">
        <v>2971.12</v>
      </c>
      <c r="G1168">
        <v>1.53</v>
      </c>
      <c r="H1168">
        <v>1462830.93</v>
      </c>
      <c r="I1168" t="s">
        <v>1726</v>
      </c>
      <c r="J1168">
        <v>2356.5300000000002</v>
      </c>
      <c r="K1168">
        <v>1178265</v>
      </c>
      <c r="L1168">
        <v>4491.3999999999996</v>
      </c>
      <c r="M1168">
        <v>2086.83</v>
      </c>
      <c r="N1168">
        <v>9426.65</v>
      </c>
      <c r="O1168">
        <v>1194269.8799999999</v>
      </c>
      <c r="P1168">
        <v>284565.93</v>
      </c>
      <c r="Q1168">
        <v>268561.05</v>
      </c>
      <c r="R1168" t="s">
        <v>134</v>
      </c>
      <c r="S1168">
        <v>0</v>
      </c>
      <c r="T1168">
        <v>1462830.93</v>
      </c>
      <c r="U1168" t="s">
        <v>73</v>
      </c>
      <c r="V1168" t="s">
        <v>12</v>
      </c>
      <c r="W1168" t="s">
        <v>92</v>
      </c>
      <c r="X1168" t="s">
        <v>142</v>
      </c>
      <c r="Y1168" t="s">
        <v>28</v>
      </c>
      <c r="Z1168">
        <v>0.84</v>
      </c>
      <c r="AA1168">
        <f t="shared" si="54"/>
        <v>268561.05</v>
      </c>
      <c r="AB1168">
        <f t="shared" si="55"/>
        <v>0.1835899450116221</v>
      </c>
      <c r="AC1168">
        <f t="shared" si="56"/>
        <v>0</v>
      </c>
      <c r="AD1168">
        <v>2025</v>
      </c>
      <c r="AE1168">
        <v>8</v>
      </c>
      <c r="AF1168" t="s">
        <v>82</v>
      </c>
      <c r="AG1168" t="s">
        <v>87</v>
      </c>
    </row>
    <row r="1169" spans="1:33">
      <c r="A1169" t="s">
        <v>1320</v>
      </c>
      <c r="B1169">
        <v>45686</v>
      </c>
      <c r="D1169" t="s">
        <v>23</v>
      </c>
      <c r="E1169">
        <v>50</v>
      </c>
      <c r="F1169">
        <v>1215.06</v>
      </c>
      <c r="G1169">
        <v>1.08</v>
      </c>
      <c r="H1169">
        <v>60096.87</v>
      </c>
      <c r="I1169" t="s">
        <v>1728</v>
      </c>
      <c r="J1169">
        <v>975.52</v>
      </c>
      <c r="K1169">
        <v>48776</v>
      </c>
      <c r="L1169">
        <v>325.22000000000003</v>
      </c>
      <c r="M1169">
        <v>280.97000000000003</v>
      </c>
      <c r="N1169">
        <v>7170.21</v>
      </c>
      <c r="O1169">
        <v>56552.4</v>
      </c>
      <c r="P1169">
        <v>11320.87</v>
      </c>
      <c r="Q1169">
        <v>3544.47</v>
      </c>
      <c r="R1169" t="s">
        <v>65</v>
      </c>
      <c r="S1169">
        <v>60096.87</v>
      </c>
      <c r="T1169">
        <v>0</v>
      </c>
      <c r="U1169" t="s">
        <v>91</v>
      </c>
      <c r="V1169" t="s">
        <v>6</v>
      </c>
      <c r="W1169" t="s">
        <v>80</v>
      </c>
      <c r="X1169" t="s">
        <v>81</v>
      </c>
      <c r="Y1169" t="s">
        <v>24</v>
      </c>
      <c r="Z1169">
        <v>1.33</v>
      </c>
      <c r="AA1169">
        <f t="shared" si="54"/>
        <v>3544.47</v>
      </c>
      <c r="AB1169">
        <f t="shared" si="55"/>
        <v>5.8979277955740449E-2</v>
      </c>
      <c r="AC1169">
        <f t="shared" si="56"/>
        <v>0</v>
      </c>
      <c r="AD1169">
        <v>2025</v>
      </c>
      <c r="AE1169">
        <v>1</v>
      </c>
      <c r="AF1169" t="s">
        <v>102</v>
      </c>
      <c r="AG1169" t="s">
        <v>118</v>
      </c>
    </row>
    <row r="1170" spans="1:33">
      <c r="A1170" t="s">
        <v>1321</v>
      </c>
      <c r="B1170">
        <v>45771</v>
      </c>
      <c r="C1170">
        <v>45778</v>
      </c>
      <c r="D1170" t="s">
        <v>21</v>
      </c>
      <c r="E1170">
        <v>750</v>
      </c>
      <c r="F1170">
        <v>839.26</v>
      </c>
      <c r="G1170">
        <v>2.25</v>
      </c>
      <c r="H1170">
        <v>615282.49</v>
      </c>
      <c r="I1170" t="s">
        <v>1727</v>
      </c>
      <c r="J1170">
        <v>652.17999999999995</v>
      </c>
      <c r="K1170">
        <v>489135</v>
      </c>
      <c r="L1170">
        <v>11444.13</v>
      </c>
      <c r="M1170">
        <v>1647.93</v>
      </c>
      <c r="N1170">
        <v>10486.15</v>
      </c>
      <c r="O1170">
        <v>512713.21</v>
      </c>
      <c r="P1170">
        <v>126147.49</v>
      </c>
      <c r="Q1170">
        <v>102569.28</v>
      </c>
      <c r="R1170" t="s">
        <v>65</v>
      </c>
      <c r="S1170">
        <v>615282.49</v>
      </c>
      <c r="T1170">
        <v>0</v>
      </c>
      <c r="U1170" t="s">
        <v>66</v>
      </c>
      <c r="V1170" t="s">
        <v>14</v>
      </c>
      <c r="W1170" t="s">
        <v>80</v>
      </c>
      <c r="X1170" t="s">
        <v>108</v>
      </c>
      <c r="Y1170" t="s">
        <v>22</v>
      </c>
      <c r="Z1170">
        <v>1.08</v>
      </c>
      <c r="AA1170">
        <f t="shared" si="54"/>
        <v>102569.28</v>
      </c>
      <c r="AB1170">
        <f t="shared" si="55"/>
        <v>0.16670274494565904</v>
      </c>
      <c r="AC1170">
        <f t="shared" si="56"/>
        <v>0</v>
      </c>
      <c r="AD1170">
        <v>2025</v>
      </c>
      <c r="AE1170">
        <v>4</v>
      </c>
      <c r="AF1170" t="s">
        <v>154</v>
      </c>
      <c r="AG1170" t="s">
        <v>155</v>
      </c>
    </row>
    <row r="1171" spans="1:33">
      <c r="A1171" t="s">
        <v>1322</v>
      </c>
      <c r="B1171">
        <v>45356</v>
      </c>
      <c r="C1171">
        <v>45359</v>
      </c>
      <c r="D1171" t="s">
        <v>21</v>
      </c>
      <c r="E1171">
        <v>250</v>
      </c>
      <c r="F1171">
        <v>900.79</v>
      </c>
      <c r="G1171">
        <v>1.85</v>
      </c>
      <c r="H1171">
        <v>221031.35</v>
      </c>
      <c r="I1171" t="s">
        <v>1727</v>
      </c>
      <c r="J1171">
        <v>704.68</v>
      </c>
      <c r="K1171">
        <v>176170</v>
      </c>
      <c r="L1171">
        <v>4561.75</v>
      </c>
      <c r="M1171">
        <v>983.29</v>
      </c>
      <c r="N1171">
        <v>9962.34</v>
      </c>
      <c r="O1171">
        <v>191677.38</v>
      </c>
      <c r="P1171">
        <v>44861.35</v>
      </c>
      <c r="Q1171">
        <v>29353.97</v>
      </c>
      <c r="R1171" t="s">
        <v>85</v>
      </c>
      <c r="S1171">
        <v>75386.03</v>
      </c>
      <c r="T1171">
        <v>145645.32</v>
      </c>
      <c r="U1171" t="s">
        <v>66</v>
      </c>
      <c r="V1171" t="s">
        <v>10</v>
      </c>
      <c r="W1171" t="s">
        <v>92</v>
      </c>
      <c r="X1171" t="s">
        <v>97</v>
      </c>
      <c r="Y1171" t="s">
        <v>24</v>
      </c>
      <c r="Z1171">
        <v>1.4</v>
      </c>
      <c r="AA1171">
        <f t="shared" si="54"/>
        <v>29353.97</v>
      </c>
      <c r="AB1171">
        <f t="shared" si="55"/>
        <v>0.13280455464801713</v>
      </c>
      <c r="AC1171">
        <f t="shared" si="56"/>
        <v>0</v>
      </c>
      <c r="AD1171">
        <v>2024</v>
      </c>
      <c r="AE1171">
        <v>3</v>
      </c>
      <c r="AF1171" t="s">
        <v>105</v>
      </c>
      <c r="AG1171" t="s">
        <v>120</v>
      </c>
    </row>
    <row r="1172" spans="1:33">
      <c r="A1172" t="s">
        <v>1323</v>
      </c>
      <c r="B1172">
        <v>45648</v>
      </c>
      <c r="C1172">
        <v>45662</v>
      </c>
      <c r="D1172" t="s">
        <v>27</v>
      </c>
      <c r="E1172">
        <v>1200</v>
      </c>
      <c r="F1172">
        <v>700.49</v>
      </c>
      <c r="G1172">
        <v>2.84</v>
      </c>
      <c r="H1172">
        <v>816715.3</v>
      </c>
      <c r="I1172" t="s">
        <v>1726</v>
      </c>
      <c r="J1172">
        <v>534.33000000000004</v>
      </c>
      <c r="K1172">
        <v>641196</v>
      </c>
      <c r="L1172">
        <v>23950.68</v>
      </c>
      <c r="M1172">
        <v>4884.8900000000003</v>
      </c>
      <c r="N1172">
        <v>1073.28</v>
      </c>
      <c r="O1172">
        <v>671104.85</v>
      </c>
      <c r="P1172">
        <v>175519.3</v>
      </c>
      <c r="Q1172">
        <v>145610.45000000001</v>
      </c>
      <c r="R1172" t="s">
        <v>65</v>
      </c>
      <c r="S1172">
        <v>816715.3</v>
      </c>
      <c r="T1172">
        <v>0</v>
      </c>
      <c r="U1172" t="s">
        <v>66</v>
      </c>
      <c r="V1172" t="s">
        <v>6</v>
      </c>
      <c r="W1172" t="s">
        <v>74</v>
      </c>
      <c r="X1172" t="s">
        <v>101</v>
      </c>
      <c r="Y1172" t="s">
        <v>22</v>
      </c>
      <c r="Z1172">
        <v>0.16</v>
      </c>
      <c r="AA1172">
        <f t="shared" si="54"/>
        <v>145610.45000000001</v>
      </c>
      <c r="AB1172">
        <f t="shared" si="55"/>
        <v>0.17828789297812836</v>
      </c>
      <c r="AC1172">
        <f t="shared" si="56"/>
        <v>0</v>
      </c>
      <c r="AD1172">
        <v>2024</v>
      </c>
      <c r="AE1172">
        <v>12</v>
      </c>
      <c r="AF1172" t="s">
        <v>98</v>
      </c>
      <c r="AG1172" t="s">
        <v>99</v>
      </c>
    </row>
    <row r="1173" spans="1:33">
      <c r="A1173" t="s">
        <v>1324</v>
      </c>
      <c r="B1173">
        <v>45602</v>
      </c>
      <c r="C1173">
        <v>45602</v>
      </c>
      <c r="D1173" t="s">
        <v>27</v>
      </c>
      <c r="E1173">
        <v>200</v>
      </c>
      <c r="F1173">
        <v>740.42</v>
      </c>
      <c r="G1173">
        <v>2.35</v>
      </c>
      <c r="H1173">
        <v>144604.03</v>
      </c>
      <c r="I1173" t="s">
        <v>1729</v>
      </c>
      <c r="J1173">
        <v>610.13</v>
      </c>
      <c r="K1173">
        <v>122026</v>
      </c>
      <c r="L1173">
        <v>2760.62</v>
      </c>
      <c r="M1173">
        <v>1171.78</v>
      </c>
      <c r="N1173">
        <v>3135.92</v>
      </c>
      <c r="O1173">
        <v>129094.32</v>
      </c>
      <c r="P1173">
        <v>22578.03</v>
      </c>
      <c r="Q1173">
        <v>15509.71</v>
      </c>
      <c r="R1173" t="s">
        <v>65</v>
      </c>
      <c r="S1173">
        <v>144604.03</v>
      </c>
      <c r="T1173">
        <v>0</v>
      </c>
      <c r="U1173" t="s">
        <v>66</v>
      </c>
      <c r="V1173" t="s">
        <v>12</v>
      </c>
      <c r="W1173" t="s">
        <v>74</v>
      </c>
      <c r="X1173" t="s">
        <v>167</v>
      </c>
      <c r="Y1173" t="s">
        <v>31</v>
      </c>
      <c r="Z1173">
        <v>1.99</v>
      </c>
      <c r="AA1173">
        <f t="shared" si="54"/>
        <v>15509.71</v>
      </c>
      <c r="AB1173">
        <f t="shared" si="55"/>
        <v>0.10725641602104727</v>
      </c>
      <c r="AC1173">
        <f t="shared" si="56"/>
        <v>0</v>
      </c>
      <c r="AD1173">
        <v>2024</v>
      </c>
      <c r="AE1173">
        <v>11</v>
      </c>
      <c r="AF1173" t="s">
        <v>128</v>
      </c>
      <c r="AG1173" t="s">
        <v>129</v>
      </c>
    </row>
    <row r="1174" spans="1:33">
      <c r="A1174" t="s">
        <v>1325</v>
      </c>
      <c r="B1174">
        <v>45956</v>
      </c>
      <c r="C1174">
        <v>45963</v>
      </c>
      <c r="D1174" t="s">
        <v>21</v>
      </c>
      <c r="E1174">
        <v>50</v>
      </c>
      <c r="F1174">
        <v>916.97</v>
      </c>
      <c r="G1174">
        <v>0.28999999999999998</v>
      </c>
      <c r="H1174">
        <v>45715.54</v>
      </c>
      <c r="I1174" t="s">
        <v>1726</v>
      </c>
      <c r="J1174">
        <v>701.82</v>
      </c>
      <c r="K1174">
        <v>35091</v>
      </c>
      <c r="L1174">
        <v>658.03</v>
      </c>
      <c r="M1174">
        <v>265.49</v>
      </c>
      <c r="N1174">
        <v>3861.96</v>
      </c>
      <c r="O1174">
        <v>39876.480000000003</v>
      </c>
      <c r="P1174">
        <v>10624.54</v>
      </c>
      <c r="Q1174">
        <v>5839.06</v>
      </c>
      <c r="R1174" t="s">
        <v>85</v>
      </c>
      <c r="S1174">
        <v>27421.48</v>
      </c>
      <c r="T1174">
        <v>18294.060000000001</v>
      </c>
      <c r="U1174" t="s">
        <v>66</v>
      </c>
      <c r="V1174" t="s">
        <v>6</v>
      </c>
      <c r="W1174" t="s">
        <v>74</v>
      </c>
      <c r="X1174" t="s">
        <v>185</v>
      </c>
      <c r="Y1174" t="s">
        <v>31</v>
      </c>
      <c r="Z1174">
        <v>0.56999999999999995</v>
      </c>
      <c r="AA1174">
        <f t="shared" si="54"/>
        <v>5839.06</v>
      </c>
      <c r="AB1174">
        <f t="shared" si="55"/>
        <v>0.12772593301971277</v>
      </c>
      <c r="AC1174">
        <f t="shared" si="56"/>
        <v>0</v>
      </c>
      <c r="AD1174">
        <v>2025</v>
      </c>
      <c r="AE1174">
        <v>10</v>
      </c>
      <c r="AF1174" t="s">
        <v>138</v>
      </c>
      <c r="AG1174" t="s">
        <v>160</v>
      </c>
    </row>
    <row r="1175" spans="1:33">
      <c r="A1175" t="s">
        <v>1326</v>
      </c>
      <c r="B1175">
        <v>45675</v>
      </c>
      <c r="C1175">
        <v>45680</v>
      </c>
      <c r="D1175" t="s">
        <v>23</v>
      </c>
      <c r="E1175">
        <v>200</v>
      </c>
      <c r="F1175">
        <v>1273.42</v>
      </c>
      <c r="G1175">
        <v>0.42</v>
      </c>
      <c r="H1175">
        <v>253614.33</v>
      </c>
      <c r="I1175" t="s">
        <v>1727</v>
      </c>
      <c r="J1175">
        <v>992.18</v>
      </c>
      <c r="K1175">
        <v>198436</v>
      </c>
      <c r="L1175">
        <v>1368.63</v>
      </c>
      <c r="M1175">
        <v>770.52</v>
      </c>
      <c r="N1175">
        <v>7536.67</v>
      </c>
      <c r="O1175">
        <v>208111.82</v>
      </c>
      <c r="P1175">
        <v>55178.33</v>
      </c>
      <c r="Q1175">
        <v>45502.51</v>
      </c>
      <c r="R1175" t="s">
        <v>65</v>
      </c>
      <c r="S1175">
        <v>253614.33</v>
      </c>
      <c r="T1175">
        <v>0</v>
      </c>
      <c r="U1175" t="s">
        <v>73</v>
      </c>
      <c r="V1175" t="s">
        <v>10</v>
      </c>
      <c r="W1175" t="s">
        <v>67</v>
      </c>
      <c r="X1175" t="s">
        <v>125</v>
      </c>
      <c r="Y1175" t="s">
        <v>24</v>
      </c>
      <c r="Z1175">
        <v>1.95</v>
      </c>
      <c r="AA1175">
        <f t="shared" si="54"/>
        <v>45502.51</v>
      </c>
      <c r="AB1175">
        <f t="shared" si="55"/>
        <v>0.1794161631166504</v>
      </c>
      <c r="AC1175">
        <f t="shared" si="56"/>
        <v>0</v>
      </c>
      <c r="AD1175">
        <v>2025</v>
      </c>
      <c r="AE1175">
        <v>1</v>
      </c>
      <c r="AF1175" t="s">
        <v>102</v>
      </c>
      <c r="AG1175" t="s">
        <v>118</v>
      </c>
    </row>
    <row r="1176" spans="1:33">
      <c r="A1176" t="s">
        <v>1327</v>
      </c>
      <c r="B1176">
        <v>46000</v>
      </c>
      <c r="C1176">
        <v>46003</v>
      </c>
      <c r="D1176" t="s">
        <v>25</v>
      </c>
      <c r="E1176">
        <v>250</v>
      </c>
      <c r="F1176">
        <v>1095.47</v>
      </c>
      <c r="G1176">
        <v>0.51</v>
      </c>
      <c r="H1176">
        <v>272470.78000000003</v>
      </c>
      <c r="I1176" t="s">
        <v>1727</v>
      </c>
      <c r="J1176">
        <v>757.98</v>
      </c>
      <c r="K1176">
        <v>189495</v>
      </c>
      <c r="L1176">
        <v>2660.03</v>
      </c>
      <c r="M1176">
        <v>1207.99</v>
      </c>
      <c r="N1176">
        <v>5940.81</v>
      </c>
      <c r="O1176">
        <v>199303.83</v>
      </c>
      <c r="P1176">
        <v>82975.78</v>
      </c>
      <c r="Q1176">
        <v>73166.95</v>
      </c>
      <c r="R1176" t="s">
        <v>65</v>
      </c>
      <c r="S1176">
        <v>272470.78000000003</v>
      </c>
      <c r="T1176">
        <v>0</v>
      </c>
      <c r="U1176" t="s">
        <v>66</v>
      </c>
      <c r="V1176" t="s">
        <v>6</v>
      </c>
      <c r="W1176" t="s">
        <v>67</v>
      </c>
      <c r="X1176" t="s">
        <v>208</v>
      </c>
      <c r="Y1176" t="s">
        <v>26</v>
      </c>
      <c r="Z1176">
        <v>1.8</v>
      </c>
      <c r="AA1176">
        <f t="shared" si="54"/>
        <v>73166.95</v>
      </c>
      <c r="AB1176">
        <f t="shared" si="55"/>
        <v>0.26853136325296967</v>
      </c>
      <c r="AC1176">
        <f t="shared" si="56"/>
        <v>0</v>
      </c>
      <c r="AD1176">
        <v>2025</v>
      </c>
      <c r="AE1176">
        <v>12</v>
      </c>
      <c r="AF1176" t="s">
        <v>98</v>
      </c>
      <c r="AG1176" t="s">
        <v>168</v>
      </c>
    </row>
    <row r="1177" spans="1:33">
      <c r="A1177" t="s">
        <v>1328</v>
      </c>
      <c r="B1177">
        <v>45946</v>
      </c>
      <c r="C1177">
        <v>45956</v>
      </c>
      <c r="D1177" t="s">
        <v>23</v>
      </c>
      <c r="E1177">
        <v>150</v>
      </c>
      <c r="F1177">
        <v>1392.78</v>
      </c>
      <c r="G1177">
        <v>0.74</v>
      </c>
      <c r="H1177">
        <v>207371.01</v>
      </c>
      <c r="I1177" t="s">
        <v>1729</v>
      </c>
      <c r="J1177">
        <v>1091.6500000000001</v>
      </c>
      <c r="K1177">
        <v>163747.5</v>
      </c>
      <c r="L1177">
        <v>3443.7</v>
      </c>
      <c r="M1177">
        <v>526.33000000000004</v>
      </c>
      <c r="N1177">
        <v>6326.62</v>
      </c>
      <c r="O1177">
        <v>174044.15</v>
      </c>
      <c r="P1177">
        <v>43623.51</v>
      </c>
      <c r="Q1177">
        <v>33326.86</v>
      </c>
      <c r="R1177" t="s">
        <v>65</v>
      </c>
      <c r="S1177">
        <v>207371.01</v>
      </c>
      <c r="T1177">
        <v>0</v>
      </c>
      <c r="U1177" t="s">
        <v>73</v>
      </c>
      <c r="V1177" t="s">
        <v>6</v>
      </c>
      <c r="W1177" t="s">
        <v>67</v>
      </c>
      <c r="X1177" t="s">
        <v>176</v>
      </c>
      <c r="Y1177" t="s">
        <v>22</v>
      </c>
      <c r="Z1177">
        <v>0.74</v>
      </c>
      <c r="AA1177">
        <f t="shared" si="54"/>
        <v>33326.86</v>
      </c>
      <c r="AB1177">
        <f t="shared" si="55"/>
        <v>0.16071127782036651</v>
      </c>
      <c r="AC1177">
        <f t="shared" si="56"/>
        <v>0</v>
      </c>
      <c r="AD1177">
        <v>2025</v>
      </c>
      <c r="AE1177">
        <v>10</v>
      </c>
      <c r="AF1177" t="s">
        <v>138</v>
      </c>
      <c r="AG1177" t="s">
        <v>160</v>
      </c>
    </row>
    <row r="1178" spans="1:33">
      <c r="A1178" t="s">
        <v>1329</v>
      </c>
      <c r="B1178">
        <v>45419</v>
      </c>
      <c r="C1178">
        <v>45423</v>
      </c>
      <c r="D1178" t="s">
        <v>23</v>
      </c>
      <c r="E1178">
        <v>1000</v>
      </c>
      <c r="F1178">
        <v>1306.47</v>
      </c>
      <c r="G1178">
        <v>4.26</v>
      </c>
      <c r="H1178">
        <v>1250814.3799999999</v>
      </c>
      <c r="I1178" t="s">
        <v>1728</v>
      </c>
      <c r="J1178">
        <v>1116.25</v>
      </c>
      <c r="K1178">
        <v>1116250</v>
      </c>
      <c r="L1178">
        <v>10199.129999999999</v>
      </c>
      <c r="M1178">
        <v>3608.26</v>
      </c>
      <c r="N1178">
        <v>10197.959999999999</v>
      </c>
      <c r="O1178">
        <v>1140255.3500000001</v>
      </c>
      <c r="P1178">
        <v>134564.38</v>
      </c>
      <c r="Q1178">
        <v>110559.03</v>
      </c>
      <c r="R1178" t="s">
        <v>134</v>
      </c>
      <c r="S1178">
        <v>0</v>
      </c>
      <c r="T1178">
        <v>1250814.3799999999</v>
      </c>
      <c r="U1178" t="s">
        <v>66</v>
      </c>
      <c r="V1178" t="s">
        <v>14</v>
      </c>
      <c r="W1178" t="s">
        <v>74</v>
      </c>
      <c r="X1178" t="s">
        <v>101</v>
      </c>
      <c r="Y1178" t="s">
        <v>22</v>
      </c>
      <c r="Z1178">
        <v>1.48</v>
      </c>
      <c r="AA1178">
        <f t="shared" si="54"/>
        <v>110559.03</v>
      </c>
      <c r="AB1178">
        <f t="shared" si="55"/>
        <v>8.8389637797416445E-2</v>
      </c>
      <c r="AC1178">
        <f t="shared" si="56"/>
        <v>0</v>
      </c>
      <c r="AD1178">
        <v>2024</v>
      </c>
      <c r="AE1178">
        <v>5</v>
      </c>
      <c r="AF1178" t="s">
        <v>76</v>
      </c>
      <c r="AG1178" t="s">
        <v>77</v>
      </c>
    </row>
    <row r="1179" spans="1:33">
      <c r="A1179" t="s">
        <v>1330</v>
      </c>
      <c r="B1179">
        <v>45550</v>
      </c>
      <c r="C1179">
        <v>45557</v>
      </c>
      <c r="D1179" t="s">
        <v>21</v>
      </c>
      <c r="E1179">
        <v>100</v>
      </c>
      <c r="F1179">
        <v>883.07</v>
      </c>
      <c r="G1179">
        <v>1.1299999999999999</v>
      </c>
      <c r="H1179">
        <v>87309.13</v>
      </c>
      <c r="I1179" t="s">
        <v>1728</v>
      </c>
      <c r="J1179">
        <v>689.64</v>
      </c>
      <c r="K1179">
        <v>68964</v>
      </c>
      <c r="L1179">
        <v>2017.32</v>
      </c>
      <c r="M1179">
        <v>505.43</v>
      </c>
      <c r="N1179">
        <v>7229.71</v>
      </c>
      <c r="O1179">
        <v>78716.460000000006</v>
      </c>
      <c r="P1179">
        <v>18345.13</v>
      </c>
      <c r="Q1179">
        <v>8592.67</v>
      </c>
      <c r="R1179" t="s">
        <v>85</v>
      </c>
      <c r="S1179">
        <v>31470.5</v>
      </c>
      <c r="T1179">
        <v>55838.63</v>
      </c>
      <c r="U1179" t="s">
        <v>66</v>
      </c>
      <c r="V1179" t="s">
        <v>6</v>
      </c>
      <c r="W1179" t="s">
        <v>141</v>
      </c>
      <c r="X1179" t="s">
        <v>101</v>
      </c>
      <c r="Y1179" t="s">
        <v>22</v>
      </c>
      <c r="Z1179">
        <v>1.92</v>
      </c>
      <c r="AA1179">
        <f t="shared" si="54"/>
        <v>8592.67</v>
      </c>
      <c r="AB1179">
        <f t="shared" si="55"/>
        <v>9.8416626073355662E-2</v>
      </c>
      <c r="AC1179">
        <f t="shared" si="56"/>
        <v>0</v>
      </c>
      <c r="AD1179">
        <v>2024</v>
      </c>
      <c r="AE1179">
        <v>9</v>
      </c>
      <c r="AF1179" t="s">
        <v>131</v>
      </c>
      <c r="AG1179" t="s">
        <v>188</v>
      </c>
    </row>
    <row r="1180" spans="1:33">
      <c r="A1180" t="s">
        <v>1331</v>
      </c>
      <c r="B1180">
        <v>45775</v>
      </c>
      <c r="D1180" t="s">
        <v>21</v>
      </c>
      <c r="E1180">
        <v>1200</v>
      </c>
      <c r="F1180">
        <v>837.31</v>
      </c>
      <c r="G1180">
        <v>4.5999999999999996</v>
      </c>
      <c r="H1180">
        <v>958552.49</v>
      </c>
      <c r="I1180" t="s">
        <v>1726</v>
      </c>
      <c r="J1180">
        <v>731.93</v>
      </c>
      <c r="K1180">
        <v>878316</v>
      </c>
      <c r="L1180">
        <v>21938.22</v>
      </c>
      <c r="M1180">
        <v>2427.92</v>
      </c>
      <c r="N1180">
        <v>9441.94</v>
      </c>
      <c r="O1180">
        <v>912124.08</v>
      </c>
      <c r="P1180">
        <v>80236.490000000005</v>
      </c>
      <c r="Q1180">
        <v>46428.41</v>
      </c>
      <c r="R1180" t="s">
        <v>65</v>
      </c>
      <c r="S1180">
        <v>958552.49</v>
      </c>
      <c r="T1180">
        <v>0</v>
      </c>
      <c r="U1180" t="s">
        <v>91</v>
      </c>
      <c r="V1180" t="s">
        <v>10</v>
      </c>
      <c r="W1180" t="s">
        <v>67</v>
      </c>
      <c r="X1180" t="s">
        <v>164</v>
      </c>
      <c r="Y1180" t="s">
        <v>24</v>
      </c>
      <c r="Z1180">
        <v>2.2400000000000002</v>
      </c>
      <c r="AA1180">
        <f t="shared" si="54"/>
        <v>46428.41</v>
      </c>
      <c r="AB1180">
        <f t="shared" si="55"/>
        <v>4.8435959933712136E-2</v>
      </c>
      <c r="AC1180">
        <f t="shared" si="56"/>
        <v>0</v>
      </c>
      <c r="AD1180">
        <v>2025</v>
      </c>
      <c r="AE1180">
        <v>4</v>
      </c>
      <c r="AF1180" t="s">
        <v>154</v>
      </c>
      <c r="AG1180" t="s">
        <v>155</v>
      </c>
    </row>
    <row r="1181" spans="1:33">
      <c r="A1181" t="s">
        <v>1332</v>
      </c>
      <c r="B1181">
        <v>45987</v>
      </c>
      <c r="C1181">
        <v>45988</v>
      </c>
      <c r="D1181" t="s">
        <v>23</v>
      </c>
      <c r="E1181">
        <v>500</v>
      </c>
      <c r="F1181">
        <v>1425.04</v>
      </c>
      <c r="G1181">
        <v>2.14</v>
      </c>
      <c r="H1181">
        <v>697272.07</v>
      </c>
      <c r="I1181" t="s">
        <v>1727</v>
      </c>
      <c r="J1181">
        <v>1076.48</v>
      </c>
      <c r="K1181">
        <v>538240</v>
      </c>
      <c r="L1181">
        <v>5139.12</v>
      </c>
      <c r="M1181">
        <v>1139.68</v>
      </c>
      <c r="N1181">
        <v>5065.26</v>
      </c>
      <c r="O1181">
        <v>549584.06000000006</v>
      </c>
      <c r="P1181">
        <v>159032.07</v>
      </c>
      <c r="Q1181">
        <v>147688.01</v>
      </c>
      <c r="R1181" t="s">
        <v>65</v>
      </c>
      <c r="S1181">
        <v>697272.07</v>
      </c>
      <c r="T1181">
        <v>0</v>
      </c>
      <c r="U1181" t="s">
        <v>66</v>
      </c>
      <c r="V1181" t="s">
        <v>12</v>
      </c>
      <c r="W1181" t="s">
        <v>141</v>
      </c>
      <c r="X1181" t="s">
        <v>205</v>
      </c>
      <c r="Y1181" t="s">
        <v>24</v>
      </c>
      <c r="Z1181">
        <v>0.31</v>
      </c>
      <c r="AA1181">
        <f t="shared" si="54"/>
        <v>147688.01</v>
      </c>
      <c r="AB1181">
        <f t="shared" si="55"/>
        <v>0.21180829744119828</v>
      </c>
      <c r="AC1181">
        <f t="shared" si="56"/>
        <v>0</v>
      </c>
      <c r="AD1181">
        <v>2025</v>
      </c>
      <c r="AE1181">
        <v>11</v>
      </c>
      <c r="AF1181" t="s">
        <v>128</v>
      </c>
      <c r="AG1181" t="s">
        <v>135</v>
      </c>
    </row>
    <row r="1182" spans="1:33">
      <c r="A1182" t="s">
        <v>1333</v>
      </c>
      <c r="B1182">
        <v>45987</v>
      </c>
      <c r="C1182">
        <v>45989</v>
      </c>
      <c r="D1182" t="s">
        <v>21</v>
      </c>
      <c r="E1182">
        <v>50</v>
      </c>
      <c r="F1182">
        <v>960.15</v>
      </c>
      <c r="G1182">
        <v>0.55000000000000004</v>
      </c>
      <c r="H1182">
        <v>47743.46</v>
      </c>
      <c r="I1182" t="s">
        <v>1726</v>
      </c>
      <c r="J1182">
        <v>707.37</v>
      </c>
      <c r="K1182">
        <v>35368.5</v>
      </c>
      <c r="L1182">
        <v>437.33</v>
      </c>
      <c r="M1182">
        <v>167.07</v>
      </c>
      <c r="N1182">
        <v>9232.01</v>
      </c>
      <c r="O1182">
        <v>45204.91</v>
      </c>
      <c r="P1182">
        <v>12374.96</v>
      </c>
      <c r="Q1182">
        <v>2538.5500000000002</v>
      </c>
      <c r="R1182" t="s">
        <v>65</v>
      </c>
      <c r="S1182">
        <v>47743.46</v>
      </c>
      <c r="T1182">
        <v>0</v>
      </c>
      <c r="U1182" t="s">
        <v>73</v>
      </c>
      <c r="V1182" t="s">
        <v>6</v>
      </c>
      <c r="W1182" t="s">
        <v>74</v>
      </c>
      <c r="X1182" t="s">
        <v>68</v>
      </c>
      <c r="Y1182" t="s">
        <v>31</v>
      </c>
      <c r="Z1182">
        <v>0.1</v>
      </c>
      <c r="AA1182">
        <f t="shared" si="54"/>
        <v>2538.5500000000002</v>
      </c>
      <c r="AB1182">
        <f t="shared" si="55"/>
        <v>5.317063321342861E-2</v>
      </c>
      <c r="AC1182">
        <f t="shared" si="56"/>
        <v>0</v>
      </c>
      <c r="AD1182">
        <v>2025</v>
      </c>
      <c r="AE1182">
        <v>11</v>
      </c>
      <c r="AF1182" t="s">
        <v>128</v>
      </c>
      <c r="AG1182" t="s">
        <v>135</v>
      </c>
    </row>
    <row r="1183" spans="1:33">
      <c r="A1183" t="s">
        <v>1334</v>
      </c>
      <c r="B1183">
        <v>45486</v>
      </c>
      <c r="D1183" t="s">
        <v>21</v>
      </c>
      <c r="E1183">
        <v>1000</v>
      </c>
      <c r="F1183">
        <v>885.18</v>
      </c>
      <c r="G1183">
        <v>2.29</v>
      </c>
      <c r="H1183">
        <v>864909.38</v>
      </c>
      <c r="I1183" t="s">
        <v>1727</v>
      </c>
      <c r="J1183">
        <v>729.2</v>
      </c>
      <c r="K1183">
        <v>729200</v>
      </c>
      <c r="L1183">
        <v>18197.599999999999</v>
      </c>
      <c r="M1183">
        <v>1700.71</v>
      </c>
      <c r="N1183">
        <v>1386.88</v>
      </c>
      <c r="O1183">
        <v>750485.19</v>
      </c>
      <c r="P1183">
        <v>135709.38</v>
      </c>
      <c r="Q1183">
        <v>114424.19</v>
      </c>
      <c r="R1183" t="s">
        <v>65</v>
      </c>
      <c r="S1183">
        <v>864909.38</v>
      </c>
      <c r="T1183">
        <v>0</v>
      </c>
      <c r="U1183" t="s">
        <v>91</v>
      </c>
      <c r="V1183" t="s">
        <v>10</v>
      </c>
      <c r="W1183" t="s">
        <v>74</v>
      </c>
      <c r="X1183" t="s">
        <v>230</v>
      </c>
      <c r="Y1183" t="s">
        <v>31</v>
      </c>
      <c r="Z1183">
        <v>0.21</v>
      </c>
      <c r="AA1183">
        <f t="shared" si="54"/>
        <v>114424.19</v>
      </c>
      <c r="AB1183">
        <f t="shared" si="55"/>
        <v>0.13229616032144315</v>
      </c>
      <c r="AC1183">
        <f t="shared" si="56"/>
        <v>0</v>
      </c>
      <c r="AD1183">
        <v>2024</v>
      </c>
      <c r="AE1183">
        <v>7</v>
      </c>
      <c r="AF1183" t="s">
        <v>69</v>
      </c>
      <c r="AG1183" t="s">
        <v>70</v>
      </c>
    </row>
    <row r="1184" spans="1:33">
      <c r="A1184" t="s">
        <v>1335</v>
      </c>
      <c r="B1184">
        <v>45775</v>
      </c>
      <c r="C1184">
        <v>45782</v>
      </c>
      <c r="D1184" t="s">
        <v>21</v>
      </c>
      <c r="E1184">
        <v>500</v>
      </c>
      <c r="F1184">
        <v>851.06</v>
      </c>
      <c r="G1184">
        <v>3.38</v>
      </c>
      <c r="H1184">
        <v>411147.09</v>
      </c>
      <c r="I1184" t="s">
        <v>1726</v>
      </c>
      <c r="J1184">
        <v>665.52</v>
      </c>
      <c r="K1184">
        <v>332760</v>
      </c>
      <c r="L1184">
        <v>10528.1</v>
      </c>
      <c r="M1184">
        <v>1681.06</v>
      </c>
      <c r="N1184">
        <v>6773.26</v>
      </c>
      <c r="O1184">
        <v>351742.42</v>
      </c>
      <c r="P1184">
        <v>78387.09</v>
      </c>
      <c r="Q1184">
        <v>59404.67</v>
      </c>
      <c r="R1184" t="s">
        <v>65</v>
      </c>
      <c r="S1184">
        <v>411147.09</v>
      </c>
      <c r="T1184">
        <v>0</v>
      </c>
      <c r="U1184" t="s">
        <v>66</v>
      </c>
      <c r="V1184" t="s">
        <v>12</v>
      </c>
      <c r="W1184" t="s">
        <v>74</v>
      </c>
      <c r="X1184" t="s">
        <v>185</v>
      </c>
      <c r="Y1184" t="s">
        <v>31</v>
      </c>
      <c r="Z1184">
        <v>1.1499999999999999</v>
      </c>
      <c r="AA1184">
        <f t="shared" si="54"/>
        <v>59404.67</v>
      </c>
      <c r="AB1184">
        <f t="shared" si="55"/>
        <v>0.14448520114784225</v>
      </c>
      <c r="AC1184">
        <f t="shared" si="56"/>
        <v>0</v>
      </c>
      <c r="AD1184">
        <v>2025</v>
      </c>
      <c r="AE1184">
        <v>4</v>
      </c>
      <c r="AF1184" t="s">
        <v>154</v>
      </c>
      <c r="AG1184" t="s">
        <v>155</v>
      </c>
    </row>
    <row r="1185" spans="1:33">
      <c r="A1185" t="s">
        <v>1336</v>
      </c>
      <c r="B1185">
        <v>45404</v>
      </c>
      <c r="D1185" t="s">
        <v>21</v>
      </c>
      <c r="E1185">
        <v>250</v>
      </c>
      <c r="F1185">
        <v>913.19</v>
      </c>
      <c r="G1185">
        <v>1.53</v>
      </c>
      <c r="H1185">
        <v>224804.55</v>
      </c>
      <c r="I1185" t="s">
        <v>1726</v>
      </c>
      <c r="J1185">
        <v>741.6</v>
      </c>
      <c r="K1185">
        <v>185400</v>
      </c>
      <c r="L1185">
        <v>5166.42</v>
      </c>
      <c r="M1185">
        <v>1297.45</v>
      </c>
      <c r="N1185">
        <v>7511.41</v>
      </c>
      <c r="O1185">
        <v>199375.28</v>
      </c>
      <c r="P1185">
        <v>39404.550000000003</v>
      </c>
      <c r="Q1185">
        <v>25429.27</v>
      </c>
      <c r="R1185" t="s">
        <v>65</v>
      </c>
      <c r="S1185">
        <v>224804.55</v>
      </c>
      <c r="T1185">
        <v>0</v>
      </c>
      <c r="U1185" t="s">
        <v>91</v>
      </c>
      <c r="V1185" t="s">
        <v>6</v>
      </c>
      <c r="W1185" t="s">
        <v>74</v>
      </c>
      <c r="X1185" t="s">
        <v>108</v>
      </c>
      <c r="Y1185" t="s">
        <v>22</v>
      </c>
      <c r="Z1185">
        <v>1.5</v>
      </c>
      <c r="AA1185">
        <f t="shared" si="54"/>
        <v>25429.27</v>
      </c>
      <c r="AB1185">
        <f t="shared" si="55"/>
        <v>0.11311723895268135</v>
      </c>
      <c r="AC1185">
        <f t="shared" si="56"/>
        <v>0</v>
      </c>
      <c r="AD1185">
        <v>2024</v>
      </c>
      <c r="AE1185">
        <v>4</v>
      </c>
      <c r="AF1185" t="s">
        <v>154</v>
      </c>
      <c r="AG1185" t="s">
        <v>157</v>
      </c>
    </row>
    <row r="1186" spans="1:33">
      <c r="A1186" t="s">
        <v>1337</v>
      </c>
      <c r="B1186">
        <v>45727</v>
      </c>
      <c r="D1186" t="s">
        <v>21</v>
      </c>
      <c r="E1186">
        <v>150</v>
      </c>
      <c r="F1186">
        <v>914.32</v>
      </c>
      <c r="G1186">
        <v>0.33</v>
      </c>
      <c r="H1186">
        <v>136695.41</v>
      </c>
      <c r="I1186" t="s">
        <v>1726</v>
      </c>
      <c r="J1186">
        <v>691.01</v>
      </c>
      <c r="K1186">
        <v>103651.5</v>
      </c>
      <c r="L1186">
        <v>1747.25</v>
      </c>
      <c r="M1186">
        <v>837.81</v>
      </c>
      <c r="N1186">
        <v>11961.12</v>
      </c>
      <c r="O1186">
        <v>118197.68</v>
      </c>
      <c r="P1186">
        <v>33043.910000000003</v>
      </c>
      <c r="Q1186">
        <v>18497.73</v>
      </c>
      <c r="R1186" t="s">
        <v>65</v>
      </c>
      <c r="S1186">
        <v>136695.41</v>
      </c>
      <c r="T1186">
        <v>0</v>
      </c>
      <c r="U1186" t="s">
        <v>91</v>
      </c>
      <c r="V1186" t="s">
        <v>12</v>
      </c>
      <c r="W1186" t="s">
        <v>67</v>
      </c>
      <c r="X1186" t="s">
        <v>125</v>
      </c>
      <c r="Y1186" t="s">
        <v>24</v>
      </c>
      <c r="Z1186">
        <v>0.36</v>
      </c>
      <c r="AA1186">
        <f t="shared" si="54"/>
        <v>18497.73</v>
      </c>
      <c r="AB1186">
        <f t="shared" si="55"/>
        <v>0.13532078363128652</v>
      </c>
      <c r="AC1186">
        <f t="shared" si="56"/>
        <v>0</v>
      </c>
      <c r="AD1186">
        <v>2025</v>
      </c>
      <c r="AE1186">
        <v>3</v>
      </c>
      <c r="AF1186" t="s">
        <v>105</v>
      </c>
      <c r="AG1186" t="s">
        <v>106</v>
      </c>
    </row>
    <row r="1187" spans="1:33">
      <c r="A1187" t="s">
        <v>1338</v>
      </c>
      <c r="B1187">
        <v>45880</v>
      </c>
      <c r="C1187">
        <v>45892</v>
      </c>
      <c r="D1187" t="s">
        <v>21</v>
      </c>
      <c r="E1187">
        <v>250</v>
      </c>
      <c r="F1187">
        <v>880.85</v>
      </c>
      <c r="G1187">
        <v>1.05</v>
      </c>
      <c r="H1187">
        <v>217900.27</v>
      </c>
      <c r="I1187" t="s">
        <v>1726</v>
      </c>
      <c r="J1187">
        <v>698.09</v>
      </c>
      <c r="K1187">
        <v>174522.5</v>
      </c>
      <c r="L1187">
        <v>3982.23</v>
      </c>
      <c r="M1187">
        <v>1263.53</v>
      </c>
      <c r="N1187">
        <v>8119.08</v>
      </c>
      <c r="O1187">
        <v>187887.34</v>
      </c>
      <c r="P1187">
        <v>43377.77</v>
      </c>
      <c r="Q1187">
        <v>30012.93</v>
      </c>
      <c r="R1187" t="s">
        <v>65</v>
      </c>
      <c r="S1187">
        <v>217900.27</v>
      </c>
      <c r="T1187">
        <v>0</v>
      </c>
      <c r="U1187" t="s">
        <v>66</v>
      </c>
      <c r="V1187" t="s">
        <v>10</v>
      </c>
      <c r="W1187" t="s">
        <v>80</v>
      </c>
      <c r="X1187" t="s">
        <v>68</v>
      </c>
      <c r="Y1187" t="s">
        <v>31</v>
      </c>
      <c r="Z1187">
        <v>1.33</v>
      </c>
      <c r="AA1187">
        <f t="shared" si="54"/>
        <v>30012.93</v>
      </c>
      <c r="AB1187">
        <f t="shared" si="55"/>
        <v>0.13773700234515543</v>
      </c>
      <c r="AC1187">
        <f t="shared" si="56"/>
        <v>0</v>
      </c>
      <c r="AD1187">
        <v>2025</v>
      </c>
      <c r="AE1187">
        <v>8</v>
      </c>
      <c r="AF1187" t="s">
        <v>82</v>
      </c>
      <c r="AG1187" t="s">
        <v>87</v>
      </c>
    </row>
    <row r="1188" spans="1:33">
      <c r="A1188" t="s">
        <v>1339</v>
      </c>
      <c r="B1188">
        <v>45786</v>
      </c>
      <c r="C1188">
        <v>45800</v>
      </c>
      <c r="D1188" t="s">
        <v>27</v>
      </c>
      <c r="E1188">
        <v>200</v>
      </c>
      <c r="F1188">
        <v>701.87</v>
      </c>
      <c r="G1188">
        <v>1.41</v>
      </c>
      <c r="H1188">
        <v>138394.73000000001</v>
      </c>
      <c r="I1188" t="s">
        <v>1726</v>
      </c>
      <c r="J1188">
        <v>585.09</v>
      </c>
      <c r="K1188">
        <v>117018</v>
      </c>
      <c r="L1188">
        <v>2171.92</v>
      </c>
      <c r="M1188">
        <v>408.02</v>
      </c>
      <c r="N1188">
        <v>2681.57</v>
      </c>
      <c r="O1188">
        <v>122279.51</v>
      </c>
      <c r="P1188">
        <v>21376.73</v>
      </c>
      <c r="Q1188">
        <v>16115.22</v>
      </c>
      <c r="R1188" t="s">
        <v>65</v>
      </c>
      <c r="S1188">
        <v>138394.73000000001</v>
      </c>
      <c r="T1188">
        <v>0</v>
      </c>
      <c r="U1188" t="s">
        <v>66</v>
      </c>
      <c r="V1188" t="s">
        <v>8</v>
      </c>
      <c r="W1188" t="s">
        <v>141</v>
      </c>
      <c r="X1188" t="s">
        <v>127</v>
      </c>
      <c r="Y1188" t="s">
        <v>22</v>
      </c>
      <c r="Z1188">
        <v>0.06</v>
      </c>
      <c r="AA1188">
        <f t="shared" si="54"/>
        <v>16115.22</v>
      </c>
      <c r="AB1188">
        <f t="shared" si="55"/>
        <v>0.11644388482133675</v>
      </c>
      <c r="AC1188">
        <f t="shared" si="56"/>
        <v>0</v>
      </c>
      <c r="AD1188">
        <v>2025</v>
      </c>
      <c r="AE1188">
        <v>5</v>
      </c>
      <c r="AF1188" t="s">
        <v>76</v>
      </c>
      <c r="AG1188" t="s">
        <v>94</v>
      </c>
    </row>
    <row r="1189" spans="1:33">
      <c r="A1189" t="s">
        <v>1340</v>
      </c>
      <c r="B1189">
        <v>45351</v>
      </c>
      <c r="C1189">
        <v>45355</v>
      </c>
      <c r="D1189" t="s">
        <v>21</v>
      </c>
      <c r="E1189">
        <v>300</v>
      </c>
      <c r="F1189">
        <v>862.53</v>
      </c>
      <c r="G1189">
        <v>0.32</v>
      </c>
      <c r="H1189">
        <v>257930.97</v>
      </c>
      <c r="I1189" t="s">
        <v>1727</v>
      </c>
      <c r="J1189">
        <v>738.64</v>
      </c>
      <c r="K1189">
        <v>221592</v>
      </c>
      <c r="L1189">
        <v>6799.1</v>
      </c>
      <c r="M1189">
        <v>1382.91</v>
      </c>
      <c r="N1189">
        <v>923.19</v>
      </c>
      <c r="O1189">
        <v>230697.2</v>
      </c>
      <c r="P1189">
        <v>36338.97</v>
      </c>
      <c r="Q1189">
        <v>27233.77</v>
      </c>
      <c r="R1189" t="s">
        <v>85</v>
      </c>
      <c r="S1189">
        <v>191107.44</v>
      </c>
      <c r="T1189">
        <v>66823.53</v>
      </c>
      <c r="U1189" t="s">
        <v>66</v>
      </c>
      <c r="V1189" t="s">
        <v>8</v>
      </c>
      <c r="W1189" t="s">
        <v>67</v>
      </c>
      <c r="X1189" t="s">
        <v>162</v>
      </c>
      <c r="Y1189" t="s">
        <v>26</v>
      </c>
      <c r="Z1189">
        <v>1.83</v>
      </c>
      <c r="AA1189">
        <f t="shared" si="54"/>
        <v>27233.77</v>
      </c>
      <c r="AB1189">
        <f t="shared" si="55"/>
        <v>0.10558549832150828</v>
      </c>
      <c r="AC1189">
        <f t="shared" si="56"/>
        <v>0</v>
      </c>
      <c r="AD1189">
        <v>2024</v>
      </c>
      <c r="AE1189">
        <v>2</v>
      </c>
      <c r="AF1189" t="s">
        <v>172</v>
      </c>
      <c r="AG1189" t="s">
        <v>173</v>
      </c>
    </row>
    <row r="1190" spans="1:33">
      <c r="A1190" t="s">
        <v>1341</v>
      </c>
      <c r="B1190">
        <v>45514</v>
      </c>
      <c r="C1190">
        <v>45519</v>
      </c>
      <c r="D1190" t="s">
        <v>21</v>
      </c>
      <c r="E1190">
        <v>50</v>
      </c>
      <c r="F1190">
        <v>923.98</v>
      </c>
      <c r="G1190">
        <v>1.72</v>
      </c>
      <c r="H1190">
        <v>45404.38</v>
      </c>
      <c r="I1190" t="s">
        <v>1727</v>
      </c>
      <c r="J1190">
        <v>719.92</v>
      </c>
      <c r="K1190">
        <v>35996</v>
      </c>
      <c r="L1190">
        <v>1131.55</v>
      </c>
      <c r="M1190">
        <v>167.68</v>
      </c>
      <c r="N1190">
        <v>7395.91</v>
      </c>
      <c r="O1190">
        <v>44691.14</v>
      </c>
      <c r="P1190">
        <v>9408.3799999999992</v>
      </c>
      <c r="Q1190">
        <v>713.24</v>
      </c>
      <c r="R1190" t="s">
        <v>85</v>
      </c>
      <c r="S1190">
        <v>17365.25</v>
      </c>
      <c r="T1190">
        <v>28039.13</v>
      </c>
      <c r="U1190" t="s">
        <v>66</v>
      </c>
      <c r="V1190" t="s">
        <v>6</v>
      </c>
      <c r="W1190" t="s">
        <v>80</v>
      </c>
      <c r="X1190" t="s">
        <v>164</v>
      </c>
      <c r="Y1190" t="s">
        <v>24</v>
      </c>
      <c r="Z1190">
        <v>1.45</v>
      </c>
      <c r="AA1190">
        <f t="shared" si="54"/>
        <v>713.24</v>
      </c>
      <c r="AB1190">
        <f t="shared" si="55"/>
        <v>1.5708616657688093E-2</v>
      </c>
      <c r="AC1190">
        <f t="shared" si="56"/>
        <v>0</v>
      </c>
      <c r="AD1190">
        <v>2024</v>
      </c>
      <c r="AE1190">
        <v>8</v>
      </c>
      <c r="AF1190" t="s">
        <v>82</v>
      </c>
      <c r="AG1190" t="s">
        <v>83</v>
      </c>
    </row>
    <row r="1191" spans="1:33">
      <c r="A1191" t="s">
        <v>1342</v>
      </c>
      <c r="B1191">
        <v>45675</v>
      </c>
      <c r="C1191">
        <v>45686</v>
      </c>
      <c r="D1191" t="s">
        <v>21</v>
      </c>
      <c r="E1191">
        <v>300</v>
      </c>
      <c r="F1191">
        <v>888.41</v>
      </c>
      <c r="G1191">
        <v>1.8</v>
      </c>
      <c r="H1191">
        <v>261725.59</v>
      </c>
      <c r="I1191" t="s">
        <v>1727</v>
      </c>
      <c r="J1191">
        <v>691.57</v>
      </c>
      <c r="K1191">
        <v>207471</v>
      </c>
      <c r="L1191">
        <v>6493.98</v>
      </c>
      <c r="M1191">
        <v>1267.69</v>
      </c>
      <c r="N1191">
        <v>4483.46</v>
      </c>
      <c r="O1191">
        <v>219716.13</v>
      </c>
      <c r="P1191">
        <v>54254.59</v>
      </c>
      <c r="Q1191">
        <v>42009.46</v>
      </c>
      <c r="R1191" t="s">
        <v>65</v>
      </c>
      <c r="S1191">
        <v>261725.59</v>
      </c>
      <c r="T1191">
        <v>0</v>
      </c>
      <c r="U1191" t="s">
        <v>66</v>
      </c>
      <c r="V1191" t="s">
        <v>12</v>
      </c>
      <c r="W1191" t="s">
        <v>74</v>
      </c>
      <c r="X1191" t="s">
        <v>239</v>
      </c>
      <c r="Y1191" t="s">
        <v>28</v>
      </c>
      <c r="Z1191">
        <v>1.2</v>
      </c>
      <c r="AA1191">
        <f t="shared" si="54"/>
        <v>42009.46</v>
      </c>
      <c r="AB1191">
        <f t="shared" si="55"/>
        <v>0.1605095627064973</v>
      </c>
      <c r="AC1191">
        <f t="shared" si="56"/>
        <v>0</v>
      </c>
      <c r="AD1191">
        <v>2025</v>
      </c>
      <c r="AE1191">
        <v>1</v>
      </c>
      <c r="AF1191" t="s">
        <v>102</v>
      </c>
      <c r="AG1191" t="s">
        <v>118</v>
      </c>
    </row>
    <row r="1192" spans="1:33">
      <c r="A1192" t="s">
        <v>1343</v>
      </c>
      <c r="B1192">
        <v>45324</v>
      </c>
      <c r="C1192">
        <v>45327</v>
      </c>
      <c r="D1192" t="s">
        <v>27</v>
      </c>
      <c r="E1192">
        <v>100</v>
      </c>
      <c r="F1192">
        <v>705.36</v>
      </c>
      <c r="G1192">
        <v>0.89</v>
      </c>
      <c r="H1192">
        <v>69908.23</v>
      </c>
      <c r="I1192" t="s">
        <v>1729</v>
      </c>
      <c r="J1192">
        <v>601.67999999999995</v>
      </c>
      <c r="K1192">
        <v>60168</v>
      </c>
      <c r="L1192">
        <v>565.1</v>
      </c>
      <c r="M1192">
        <v>446.28</v>
      </c>
      <c r="N1192">
        <v>5827.59</v>
      </c>
      <c r="O1192">
        <v>67006.97</v>
      </c>
      <c r="P1192">
        <v>9740.23</v>
      </c>
      <c r="Q1192">
        <v>2901.26</v>
      </c>
      <c r="R1192" t="s">
        <v>65</v>
      </c>
      <c r="S1192">
        <v>69908.23</v>
      </c>
      <c r="T1192">
        <v>0</v>
      </c>
      <c r="U1192" t="s">
        <v>73</v>
      </c>
      <c r="V1192" t="s">
        <v>12</v>
      </c>
      <c r="W1192" t="s">
        <v>67</v>
      </c>
      <c r="X1192" t="s">
        <v>108</v>
      </c>
      <c r="Y1192" t="s">
        <v>22</v>
      </c>
      <c r="Z1192">
        <v>1.36</v>
      </c>
      <c r="AA1192">
        <f t="shared" si="54"/>
        <v>2901.26</v>
      </c>
      <c r="AB1192">
        <f t="shared" si="55"/>
        <v>4.1500979212318781E-2</v>
      </c>
      <c r="AC1192">
        <f t="shared" si="56"/>
        <v>0</v>
      </c>
      <c r="AD1192">
        <v>2024</v>
      </c>
      <c r="AE1192">
        <v>2</v>
      </c>
      <c r="AF1192" t="s">
        <v>172</v>
      </c>
      <c r="AG1192" t="s">
        <v>173</v>
      </c>
    </row>
    <row r="1193" spans="1:33">
      <c r="A1193" t="s">
        <v>1344</v>
      </c>
      <c r="B1193">
        <v>45715</v>
      </c>
      <c r="C1193">
        <v>45728</v>
      </c>
      <c r="D1193" t="s">
        <v>21</v>
      </c>
      <c r="E1193">
        <v>300</v>
      </c>
      <c r="F1193">
        <v>870.05</v>
      </c>
      <c r="G1193">
        <v>1.45</v>
      </c>
      <c r="H1193">
        <v>257230.28</v>
      </c>
      <c r="I1193" t="s">
        <v>1727</v>
      </c>
      <c r="J1193">
        <v>668.02</v>
      </c>
      <c r="K1193">
        <v>200406</v>
      </c>
      <c r="L1193">
        <v>5931.85</v>
      </c>
      <c r="M1193">
        <v>754.18</v>
      </c>
      <c r="N1193">
        <v>1326.59</v>
      </c>
      <c r="O1193">
        <v>208418.62</v>
      </c>
      <c r="P1193">
        <v>56824.28</v>
      </c>
      <c r="Q1193">
        <v>48811.66</v>
      </c>
      <c r="R1193" t="s">
        <v>85</v>
      </c>
      <c r="S1193">
        <v>215162.7</v>
      </c>
      <c r="T1193">
        <v>42067.58</v>
      </c>
      <c r="U1193" t="s">
        <v>66</v>
      </c>
      <c r="V1193" t="s">
        <v>14</v>
      </c>
      <c r="W1193" t="s">
        <v>80</v>
      </c>
      <c r="X1193" t="s">
        <v>123</v>
      </c>
      <c r="Y1193" t="s">
        <v>22</v>
      </c>
      <c r="Z1193">
        <v>0.7</v>
      </c>
      <c r="AA1193">
        <f t="shared" si="54"/>
        <v>48811.66</v>
      </c>
      <c r="AB1193">
        <f t="shared" si="55"/>
        <v>0.18975860851218607</v>
      </c>
      <c r="AC1193">
        <f t="shared" si="56"/>
        <v>0</v>
      </c>
      <c r="AD1193">
        <v>2025</v>
      </c>
      <c r="AE1193">
        <v>2</v>
      </c>
      <c r="AF1193" t="s">
        <v>172</v>
      </c>
      <c r="AG1193" t="s">
        <v>244</v>
      </c>
    </row>
    <row r="1194" spans="1:33">
      <c r="A1194" t="s">
        <v>1345</v>
      </c>
      <c r="B1194">
        <v>45703</v>
      </c>
      <c r="D1194" t="s">
        <v>27</v>
      </c>
      <c r="E1194">
        <v>1000</v>
      </c>
      <c r="F1194">
        <v>690.28</v>
      </c>
      <c r="G1194">
        <v>1.72</v>
      </c>
      <c r="H1194">
        <v>678407.18</v>
      </c>
      <c r="I1194" t="s">
        <v>1728</v>
      </c>
      <c r="J1194">
        <v>526.54</v>
      </c>
      <c r="K1194">
        <v>526540</v>
      </c>
      <c r="L1194">
        <v>16985.25</v>
      </c>
      <c r="M1194">
        <v>5215.3</v>
      </c>
      <c r="N1194">
        <v>2346.13</v>
      </c>
      <c r="O1194">
        <v>551086.68000000005</v>
      </c>
      <c r="P1194">
        <v>151867.18</v>
      </c>
      <c r="Q1194">
        <v>127320.5</v>
      </c>
      <c r="R1194" t="s">
        <v>65</v>
      </c>
      <c r="S1194">
        <v>678407.18</v>
      </c>
      <c r="T1194">
        <v>0</v>
      </c>
      <c r="U1194" t="s">
        <v>91</v>
      </c>
      <c r="V1194" t="s">
        <v>12</v>
      </c>
      <c r="W1194" t="s">
        <v>74</v>
      </c>
      <c r="X1194" t="s">
        <v>145</v>
      </c>
      <c r="Y1194" t="s">
        <v>30</v>
      </c>
      <c r="Z1194">
        <v>1.36</v>
      </c>
      <c r="AA1194">
        <f t="shared" si="54"/>
        <v>127320.5</v>
      </c>
      <c r="AB1194">
        <f t="shared" si="55"/>
        <v>0.1876756375131525</v>
      </c>
      <c r="AC1194">
        <f t="shared" si="56"/>
        <v>0</v>
      </c>
      <c r="AD1194">
        <v>2025</v>
      </c>
      <c r="AE1194">
        <v>2</v>
      </c>
      <c r="AF1194" t="s">
        <v>172</v>
      </c>
      <c r="AG1194" t="s">
        <v>244</v>
      </c>
    </row>
    <row r="1195" spans="1:33">
      <c r="A1195" t="s">
        <v>1346</v>
      </c>
      <c r="B1195">
        <v>45904</v>
      </c>
      <c r="C1195">
        <v>45907</v>
      </c>
      <c r="D1195" t="s">
        <v>25</v>
      </c>
      <c r="E1195">
        <v>250</v>
      </c>
      <c r="F1195">
        <v>961.16</v>
      </c>
      <c r="G1195">
        <v>1.69</v>
      </c>
      <c r="H1195">
        <v>236229.1</v>
      </c>
      <c r="I1195" t="s">
        <v>1727</v>
      </c>
      <c r="J1195">
        <v>789.01</v>
      </c>
      <c r="K1195">
        <v>197252.5</v>
      </c>
      <c r="L1195">
        <v>5231.33</v>
      </c>
      <c r="M1195">
        <v>522.87</v>
      </c>
      <c r="N1195">
        <v>2033.41</v>
      </c>
      <c r="O1195">
        <v>205040.11</v>
      </c>
      <c r="P1195">
        <v>38976.6</v>
      </c>
      <c r="Q1195">
        <v>31188.99</v>
      </c>
      <c r="R1195" t="s">
        <v>65</v>
      </c>
      <c r="S1195">
        <v>236229.1</v>
      </c>
      <c r="T1195">
        <v>0</v>
      </c>
      <c r="U1195" t="s">
        <v>66</v>
      </c>
      <c r="V1195" t="s">
        <v>14</v>
      </c>
      <c r="W1195" t="s">
        <v>80</v>
      </c>
      <c r="X1195" t="s">
        <v>208</v>
      </c>
      <c r="Y1195" t="s">
        <v>26</v>
      </c>
      <c r="Z1195">
        <v>0.78</v>
      </c>
      <c r="AA1195">
        <f t="shared" si="54"/>
        <v>31188.99</v>
      </c>
      <c r="AB1195">
        <f t="shared" si="55"/>
        <v>0.13202856887656941</v>
      </c>
      <c r="AC1195">
        <f t="shared" si="56"/>
        <v>0</v>
      </c>
      <c r="AD1195">
        <v>2025</v>
      </c>
      <c r="AE1195">
        <v>9</v>
      </c>
      <c r="AF1195" t="s">
        <v>131</v>
      </c>
      <c r="AG1195" t="s">
        <v>132</v>
      </c>
    </row>
    <row r="1196" spans="1:33">
      <c r="A1196" t="s">
        <v>1347</v>
      </c>
      <c r="B1196">
        <v>45560</v>
      </c>
      <c r="D1196" t="s">
        <v>23</v>
      </c>
      <c r="E1196">
        <v>500</v>
      </c>
      <c r="F1196">
        <v>1318.07</v>
      </c>
      <c r="G1196">
        <v>4.8</v>
      </c>
      <c r="H1196">
        <v>627401.31999999995</v>
      </c>
      <c r="I1196" t="s">
        <v>1726</v>
      </c>
      <c r="J1196">
        <v>980.04</v>
      </c>
      <c r="K1196">
        <v>490020</v>
      </c>
      <c r="L1196">
        <v>10081.959999999999</v>
      </c>
      <c r="M1196">
        <v>2457.2399999999998</v>
      </c>
      <c r="N1196">
        <v>4709</v>
      </c>
      <c r="O1196">
        <v>507268.2</v>
      </c>
      <c r="P1196">
        <v>137381.32</v>
      </c>
      <c r="Q1196">
        <v>120133.12</v>
      </c>
      <c r="R1196" t="s">
        <v>85</v>
      </c>
      <c r="S1196">
        <v>309027.56</v>
      </c>
      <c r="T1196">
        <v>318373.76000000001</v>
      </c>
      <c r="U1196" t="s">
        <v>91</v>
      </c>
      <c r="V1196" t="s">
        <v>8</v>
      </c>
      <c r="W1196" t="s">
        <v>141</v>
      </c>
      <c r="X1196" t="s">
        <v>127</v>
      </c>
      <c r="Y1196" t="s">
        <v>22</v>
      </c>
      <c r="Z1196">
        <v>1.1299999999999999</v>
      </c>
      <c r="AA1196">
        <f t="shared" si="54"/>
        <v>120133.12</v>
      </c>
      <c r="AB1196">
        <f t="shared" si="55"/>
        <v>0.19147731471141949</v>
      </c>
      <c r="AC1196">
        <f t="shared" si="56"/>
        <v>0</v>
      </c>
      <c r="AD1196">
        <v>2024</v>
      </c>
      <c r="AE1196">
        <v>9</v>
      </c>
      <c r="AF1196" t="s">
        <v>131</v>
      </c>
      <c r="AG1196" t="s">
        <v>188</v>
      </c>
    </row>
    <row r="1197" spans="1:33">
      <c r="A1197" t="s">
        <v>1348</v>
      </c>
      <c r="B1197">
        <v>45650</v>
      </c>
      <c r="C1197">
        <v>45659</v>
      </c>
      <c r="D1197" t="s">
        <v>27</v>
      </c>
      <c r="E1197">
        <v>200</v>
      </c>
      <c r="F1197">
        <v>706.31</v>
      </c>
      <c r="G1197">
        <v>0.8</v>
      </c>
      <c r="H1197">
        <v>140131.9</v>
      </c>
      <c r="I1197" t="s">
        <v>1728</v>
      </c>
      <c r="J1197">
        <v>587.19000000000005</v>
      </c>
      <c r="K1197">
        <v>117438</v>
      </c>
      <c r="L1197">
        <v>1337.7</v>
      </c>
      <c r="M1197">
        <v>620.14</v>
      </c>
      <c r="N1197">
        <v>450.88</v>
      </c>
      <c r="O1197">
        <v>119846.72</v>
      </c>
      <c r="P1197">
        <v>22693.9</v>
      </c>
      <c r="Q1197">
        <v>20285.18</v>
      </c>
      <c r="R1197" t="s">
        <v>65</v>
      </c>
      <c r="S1197">
        <v>140131.9</v>
      </c>
      <c r="T1197">
        <v>0</v>
      </c>
      <c r="U1197" t="s">
        <v>73</v>
      </c>
      <c r="V1197" t="s">
        <v>8</v>
      </c>
      <c r="W1197" t="s">
        <v>74</v>
      </c>
      <c r="X1197" t="s">
        <v>208</v>
      </c>
      <c r="Y1197" t="s">
        <v>26</v>
      </c>
      <c r="Z1197">
        <v>1.17</v>
      </c>
      <c r="AA1197">
        <f t="shared" si="54"/>
        <v>20285.18</v>
      </c>
      <c r="AB1197">
        <f t="shared" si="55"/>
        <v>0.14475776036719692</v>
      </c>
      <c r="AC1197">
        <f t="shared" si="56"/>
        <v>0</v>
      </c>
      <c r="AD1197">
        <v>2024</v>
      </c>
      <c r="AE1197">
        <v>12</v>
      </c>
      <c r="AF1197" t="s">
        <v>98</v>
      </c>
      <c r="AG1197" t="s">
        <v>99</v>
      </c>
    </row>
    <row r="1198" spans="1:33">
      <c r="A1198" t="s">
        <v>1349</v>
      </c>
      <c r="B1198">
        <v>45640</v>
      </c>
      <c r="C1198">
        <v>45646</v>
      </c>
      <c r="D1198" t="s">
        <v>21</v>
      </c>
      <c r="E1198">
        <v>200</v>
      </c>
      <c r="F1198">
        <v>880.62</v>
      </c>
      <c r="G1198">
        <v>1.4</v>
      </c>
      <c r="H1198">
        <v>173658.26</v>
      </c>
      <c r="I1198" t="s">
        <v>1729</v>
      </c>
      <c r="J1198">
        <v>680.44</v>
      </c>
      <c r="K1198">
        <v>136088</v>
      </c>
      <c r="L1198">
        <v>1700.53</v>
      </c>
      <c r="M1198">
        <v>606.94000000000005</v>
      </c>
      <c r="N1198">
        <v>6321.58</v>
      </c>
      <c r="O1198">
        <v>144717.04999999999</v>
      </c>
      <c r="P1198">
        <v>37570.26</v>
      </c>
      <c r="Q1198">
        <v>28941.21</v>
      </c>
      <c r="R1198" t="s">
        <v>65</v>
      </c>
      <c r="S1198">
        <v>173658.26</v>
      </c>
      <c r="T1198">
        <v>0</v>
      </c>
      <c r="U1198" t="s">
        <v>66</v>
      </c>
      <c r="V1198" t="s">
        <v>16</v>
      </c>
      <c r="W1198" t="s">
        <v>74</v>
      </c>
      <c r="X1198" t="s">
        <v>68</v>
      </c>
      <c r="Y1198" t="s">
        <v>31</v>
      </c>
      <c r="Z1198">
        <v>1.59</v>
      </c>
      <c r="AA1198">
        <f t="shared" si="54"/>
        <v>28941.21</v>
      </c>
      <c r="AB1198">
        <f t="shared" si="55"/>
        <v>0.16665610953374749</v>
      </c>
      <c r="AC1198">
        <f t="shared" si="56"/>
        <v>0</v>
      </c>
      <c r="AD1198">
        <v>2024</v>
      </c>
      <c r="AE1198">
        <v>12</v>
      </c>
      <c r="AF1198" t="s">
        <v>98</v>
      </c>
      <c r="AG1198" t="s">
        <v>99</v>
      </c>
    </row>
    <row r="1199" spans="1:33">
      <c r="A1199" t="s">
        <v>1350</v>
      </c>
      <c r="B1199">
        <v>45298</v>
      </c>
      <c r="C1199">
        <v>45305</v>
      </c>
      <c r="D1199" t="s">
        <v>23</v>
      </c>
      <c r="E1199">
        <v>150</v>
      </c>
      <c r="F1199">
        <v>1345.74</v>
      </c>
      <c r="G1199">
        <v>2.12</v>
      </c>
      <c r="H1199">
        <v>197581.55</v>
      </c>
      <c r="I1199" t="s">
        <v>1726</v>
      </c>
      <c r="J1199">
        <v>1118.21</v>
      </c>
      <c r="K1199">
        <v>167731.5</v>
      </c>
      <c r="L1199">
        <v>1676.12</v>
      </c>
      <c r="M1199">
        <v>443.35</v>
      </c>
      <c r="N1199">
        <v>4004.46</v>
      </c>
      <c r="O1199">
        <v>173855.43</v>
      </c>
      <c r="P1199">
        <v>29850.05</v>
      </c>
      <c r="Q1199">
        <v>23726.12</v>
      </c>
      <c r="R1199" t="s">
        <v>85</v>
      </c>
      <c r="S1199">
        <v>57694.93</v>
      </c>
      <c r="T1199">
        <v>139886.62</v>
      </c>
      <c r="U1199" t="s">
        <v>66</v>
      </c>
      <c r="V1199" t="s">
        <v>16</v>
      </c>
      <c r="W1199" t="s">
        <v>74</v>
      </c>
      <c r="X1199" t="s">
        <v>176</v>
      </c>
      <c r="Y1199" t="s">
        <v>22</v>
      </c>
      <c r="Z1199">
        <v>2.2200000000000002</v>
      </c>
      <c r="AA1199">
        <f t="shared" si="54"/>
        <v>23726.12</v>
      </c>
      <c r="AB1199">
        <f t="shared" si="55"/>
        <v>0.12008266966222302</v>
      </c>
      <c r="AC1199">
        <f t="shared" si="56"/>
        <v>0</v>
      </c>
      <c r="AD1199">
        <v>2024</v>
      </c>
      <c r="AE1199">
        <v>1</v>
      </c>
      <c r="AF1199" t="s">
        <v>102</v>
      </c>
      <c r="AG1199" t="s">
        <v>103</v>
      </c>
    </row>
    <row r="1200" spans="1:33">
      <c r="A1200" t="s">
        <v>1351</v>
      </c>
      <c r="B1200">
        <v>45539</v>
      </c>
      <c r="C1200">
        <v>45545</v>
      </c>
      <c r="D1200" t="s">
        <v>27</v>
      </c>
      <c r="E1200">
        <v>200</v>
      </c>
      <c r="F1200">
        <v>689.69</v>
      </c>
      <c r="G1200">
        <v>1.73</v>
      </c>
      <c r="H1200">
        <v>135551.67000000001</v>
      </c>
      <c r="I1200" t="s">
        <v>1726</v>
      </c>
      <c r="J1200">
        <v>589.84</v>
      </c>
      <c r="K1200">
        <v>117968</v>
      </c>
      <c r="L1200">
        <v>1371.83</v>
      </c>
      <c r="M1200">
        <v>391.75</v>
      </c>
      <c r="N1200">
        <v>6300.1</v>
      </c>
      <c r="O1200">
        <v>126031.67999999999</v>
      </c>
      <c r="P1200">
        <v>17583.669999999998</v>
      </c>
      <c r="Q1200">
        <v>9519.99</v>
      </c>
      <c r="R1200" t="s">
        <v>65</v>
      </c>
      <c r="S1200">
        <v>135551.67000000001</v>
      </c>
      <c r="T1200">
        <v>0</v>
      </c>
      <c r="U1200" t="s">
        <v>66</v>
      </c>
      <c r="V1200" t="s">
        <v>10</v>
      </c>
      <c r="W1200" t="s">
        <v>74</v>
      </c>
      <c r="X1200" t="s">
        <v>97</v>
      </c>
      <c r="Y1200" t="s">
        <v>24</v>
      </c>
      <c r="Z1200">
        <v>0.23</v>
      </c>
      <c r="AA1200">
        <f t="shared" si="54"/>
        <v>9519.99</v>
      </c>
      <c r="AB1200">
        <f t="shared" si="55"/>
        <v>7.0231447535836322E-2</v>
      </c>
      <c r="AC1200">
        <f t="shared" si="56"/>
        <v>0</v>
      </c>
      <c r="AD1200">
        <v>2024</v>
      </c>
      <c r="AE1200">
        <v>9</v>
      </c>
      <c r="AF1200" t="s">
        <v>131</v>
      </c>
      <c r="AG1200" t="s">
        <v>188</v>
      </c>
    </row>
    <row r="1201" spans="1:33">
      <c r="A1201" t="s">
        <v>1352</v>
      </c>
      <c r="B1201">
        <v>45644</v>
      </c>
      <c r="C1201">
        <v>45658</v>
      </c>
      <c r="D1201" t="s">
        <v>21</v>
      </c>
      <c r="E1201">
        <v>500</v>
      </c>
      <c r="F1201">
        <v>875.25</v>
      </c>
      <c r="G1201">
        <v>2.2799999999999998</v>
      </c>
      <c r="H1201">
        <v>427647.15</v>
      </c>
      <c r="I1201" t="s">
        <v>1728</v>
      </c>
      <c r="J1201">
        <v>652.29</v>
      </c>
      <c r="K1201">
        <v>326145</v>
      </c>
      <c r="L1201">
        <v>7877.48</v>
      </c>
      <c r="M1201">
        <v>1319.52</v>
      </c>
      <c r="N1201">
        <v>5726.15</v>
      </c>
      <c r="O1201">
        <v>341068.15</v>
      </c>
      <c r="P1201">
        <v>101502.15</v>
      </c>
      <c r="Q1201">
        <v>86579</v>
      </c>
      <c r="R1201" t="s">
        <v>65</v>
      </c>
      <c r="S1201">
        <v>427647.15</v>
      </c>
      <c r="T1201">
        <v>0</v>
      </c>
      <c r="U1201" t="s">
        <v>66</v>
      </c>
      <c r="V1201" t="s">
        <v>12</v>
      </c>
      <c r="W1201" t="s">
        <v>67</v>
      </c>
      <c r="X1201" t="s">
        <v>108</v>
      </c>
      <c r="Y1201" t="s">
        <v>22</v>
      </c>
      <c r="Z1201">
        <v>0.5</v>
      </c>
      <c r="AA1201">
        <f t="shared" si="54"/>
        <v>86579</v>
      </c>
      <c r="AB1201">
        <f t="shared" si="55"/>
        <v>0.20245428971057094</v>
      </c>
      <c r="AC1201">
        <f t="shared" si="56"/>
        <v>0</v>
      </c>
      <c r="AD1201">
        <v>2024</v>
      </c>
      <c r="AE1201">
        <v>12</v>
      </c>
      <c r="AF1201" t="s">
        <v>98</v>
      </c>
      <c r="AG1201" t="s">
        <v>99</v>
      </c>
    </row>
    <row r="1202" spans="1:33">
      <c r="A1202" t="s">
        <v>1353</v>
      </c>
      <c r="B1202">
        <v>45435</v>
      </c>
      <c r="C1202">
        <v>45439</v>
      </c>
      <c r="D1202" t="s">
        <v>23</v>
      </c>
      <c r="E1202">
        <v>750</v>
      </c>
      <c r="F1202">
        <v>1277.29</v>
      </c>
      <c r="G1202">
        <v>1</v>
      </c>
      <c r="H1202">
        <v>948387.82</v>
      </c>
      <c r="I1202" t="s">
        <v>1729</v>
      </c>
      <c r="J1202">
        <v>1104.98</v>
      </c>
      <c r="K1202">
        <v>828735</v>
      </c>
      <c r="L1202">
        <v>5205.5</v>
      </c>
      <c r="M1202">
        <v>3574.76</v>
      </c>
      <c r="N1202">
        <v>1668.41</v>
      </c>
      <c r="O1202">
        <v>839183.67</v>
      </c>
      <c r="P1202">
        <v>119652.82</v>
      </c>
      <c r="Q1202">
        <v>109204.15</v>
      </c>
      <c r="R1202" t="s">
        <v>65</v>
      </c>
      <c r="S1202">
        <v>948387.82</v>
      </c>
      <c r="T1202">
        <v>0</v>
      </c>
      <c r="U1202" t="s">
        <v>66</v>
      </c>
      <c r="V1202" t="s">
        <v>12</v>
      </c>
      <c r="W1202" t="s">
        <v>67</v>
      </c>
      <c r="X1202" t="s">
        <v>125</v>
      </c>
      <c r="Y1202" t="s">
        <v>24</v>
      </c>
      <c r="Z1202">
        <v>0.49</v>
      </c>
      <c r="AA1202">
        <f t="shared" si="54"/>
        <v>109204.15</v>
      </c>
      <c r="AB1202">
        <f t="shared" si="55"/>
        <v>0.11514714518370765</v>
      </c>
      <c r="AC1202">
        <f t="shared" si="56"/>
        <v>0</v>
      </c>
      <c r="AD1202">
        <v>2024</v>
      </c>
      <c r="AE1202">
        <v>5</v>
      </c>
      <c r="AF1202" t="s">
        <v>76</v>
      </c>
      <c r="AG1202" t="s">
        <v>77</v>
      </c>
    </row>
    <row r="1203" spans="1:33">
      <c r="A1203" t="s">
        <v>1354</v>
      </c>
      <c r="B1203">
        <v>45515</v>
      </c>
      <c r="C1203">
        <v>45521</v>
      </c>
      <c r="D1203" t="s">
        <v>21</v>
      </c>
      <c r="E1203">
        <v>100</v>
      </c>
      <c r="F1203">
        <v>856.48</v>
      </c>
      <c r="G1203">
        <v>1.99</v>
      </c>
      <c r="H1203">
        <v>83943.6</v>
      </c>
      <c r="I1203" t="s">
        <v>1728</v>
      </c>
      <c r="J1203">
        <v>683.8</v>
      </c>
      <c r="K1203">
        <v>68380</v>
      </c>
      <c r="L1203">
        <v>1900.35</v>
      </c>
      <c r="M1203">
        <v>461.32</v>
      </c>
      <c r="N1203">
        <v>162.38</v>
      </c>
      <c r="O1203">
        <v>70904.05</v>
      </c>
      <c r="P1203">
        <v>15563.6</v>
      </c>
      <c r="Q1203">
        <v>13039.55</v>
      </c>
      <c r="R1203" t="s">
        <v>85</v>
      </c>
      <c r="S1203">
        <v>29893.11</v>
      </c>
      <c r="T1203">
        <v>54050.49</v>
      </c>
      <c r="U1203" t="s">
        <v>66</v>
      </c>
      <c r="V1203" t="s">
        <v>14</v>
      </c>
      <c r="W1203" t="s">
        <v>74</v>
      </c>
      <c r="X1203" t="s">
        <v>164</v>
      </c>
      <c r="Y1203" t="s">
        <v>24</v>
      </c>
      <c r="Z1203">
        <v>0.66</v>
      </c>
      <c r="AA1203">
        <f t="shared" si="54"/>
        <v>13039.55</v>
      </c>
      <c r="AB1203">
        <f t="shared" si="55"/>
        <v>0.15533703581928818</v>
      </c>
      <c r="AC1203">
        <f t="shared" si="56"/>
        <v>0</v>
      </c>
      <c r="AD1203">
        <v>2024</v>
      </c>
      <c r="AE1203">
        <v>8</v>
      </c>
      <c r="AF1203" t="s">
        <v>82</v>
      </c>
      <c r="AG1203" t="s">
        <v>83</v>
      </c>
    </row>
    <row r="1204" spans="1:33">
      <c r="A1204" t="s">
        <v>1355</v>
      </c>
      <c r="B1204">
        <v>45355</v>
      </c>
      <c r="C1204">
        <v>45362</v>
      </c>
      <c r="D1204" t="s">
        <v>23</v>
      </c>
      <c r="E1204">
        <v>200</v>
      </c>
      <c r="F1204">
        <v>1244.71</v>
      </c>
      <c r="G1204">
        <v>0.76</v>
      </c>
      <c r="H1204">
        <v>247050.04</v>
      </c>
      <c r="I1204" t="s">
        <v>1726</v>
      </c>
      <c r="J1204">
        <v>1108.0999999999999</v>
      </c>
      <c r="K1204">
        <v>221620</v>
      </c>
      <c r="L1204">
        <v>1453.62</v>
      </c>
      <c r="M1204">
        <v>614.25</v>
      </c>
      <c r="N1204">
        <v>11273.93</v>
      </c>
      <c r="O1204">
        <v>234961.8</v>
      </c>
      <c r="P1204">
        <v>25430.04</v>
      </c>
      <c r="Q1204">
        <v>12088.24</v>
      </c>
      <c r="R1204" t="s">
        <v>65</v>
      </c>
      <c r="S1204">
        <v>247050.04</v>
      </c>
      <c r="T1204">
        <v>0</v>
      </c>
      <c r="U1204" t="s">
        <v>66</v>
      </c>
      <c r="V1204" t="s">
        <v>14</v>
      </c>
      <c r="W1204" t="s">
        <v>92</v>
      </c>
      <c r="X1204" t="s">
        <v>115</v>
      </c>
      <c r="Y1204" t="s">
        <v>22</v>
      </c>
      <c r="Z1204">
        <v>2.38</v>
      </c>
      <c r="AA1204">
        <f t="shared" si="54"/>
        <v>12088.24</v>
      </c>
      <c r="AB1204">
        <f t="shared" si="55"/>
        <v>4.89303300659251E-2</v>
      </c>
      <c r="AC1204">
        <f t="shared" si="56"/>
        <v>0</v>
      </c>
      <c r="AD1204">
        <v>2024</v>
      </c>
      <c r="AE1204">
        <v>3</v>
      </c>
      <c r="AF1204" t="s">
        <v>105</v>
      </c>
      <c r="AG1204" t="s">
        <v>120</v>
      </c>
    </row>
    <row r="1205" spans="1:33">
      <c r="A1205" t="s">
        <v>1356</v>
      </c>
      <c r="B1205">
        <v>45432</v>
      </c>
      <c r="C1205">
        <v>45432</v>
      </c>
      <c r="D1205" t="s">
        <v>21</v>
      </c>
      <c r="E1205">
        <v>150</v>
      </c>
      <c r="F1205">
        <v>886.5</v>
      </c>
      <c r="G1205">
        <v>1.21</v>
      </c>
      <c r="H1205">
        <v>131366</v>
      </c>
      <c r="I1205" t="s">
        <v>1728</v>
      </c>
      <c r="J1205">
        <v>724.73</v>
      </c>
      <c r="K1205">
        <v>108709.5</v>
      </c>
      <c r="L1205">
        <v>3597.82</v>
      </c>
      <c r="M1205">
        <v>812.78</v>
      </c>
      <c r="N1205">
        <v>6420.28</v>
      </c>
      <c r="O1205">
        <v>119540.38</v>
      </c>
      <c r="P1205">
        <v>22656.5</v>
      </c>
      <c r="Q1205">
        <v>11825.62</v>
      </c>
      <c r="R1205" t="s">
        <v>85</v>
      </c>
      <c r="S1205">
        <v>61292.5</v>
      </c>
      <c r="T1205">
        <v>70073.5</v>
      </c>
      <c r="U1205" t="s">
        <v>66</v>
      </c>
      <c r="V1205" t="s">
        <v>10</v>
      </c>
      <c r="W1205" t="s">
        <v>67</v>
      </c>
      <c r="X1205" t="s">
        <v>239</v>
      </c>
      <c r="Y1205" t="s">
        <v>28</v>
      </c>
      <c r="Z1205">
        <v>2.37</v>
      </c>
      <c r="AA1205">
        <f t="shared" si="54"/>
        <v>11825.62</v>
      </c>
      <c r="AB1205">
        <f t="shared" si="55"/>
        <v>9.0020401017005924E-2</v>
      </c>
      <c r="AC1205">
        <f t="shared" si="56"/>
        <v>0</v>
      </c>
      <c r="AD1205">
        <v>2024</v>
      </c>
      <c r="AE1205">
        <v>5</v>
      </c>
      <c r="AF1205" t="s">
        <v>76</v>
      </c>
      <c r="AG1205" t="s">
        <v>77</v>
      </c>
    </row>
    <row r="1206" spans="1:33">
      <c r="A1206" t="s">
        <v>1357</v>
      </c>
      <c r="B1206">
        <v>45319</v>
      </c>
      <c r="C1206">
        <v>45325</v>
      </c>
      <c r="D1206" t="s">
        <v>21</v>
      </c>
      <c r="E1206">
        <v>500</v>
      </c>
      <c r="F1206">
        <v>800.81</v>
      </c>
      <c r="G1206">
        <v>3.89</v>
      </c>
      <c r="H1206">
        <v>384829.25</v>
      </c>
      <c r="I1206" t="s">
        <v>1729</v>
      </c>
      <c r="J1206">
        <v>676.11</v>
      </c>
      <c r="K1206">
        <v>338055</v>
      </c>
      <c r="L1206">
        <v>5404.82</v>
      </c>
      <c r="M1206">
        <v>1182.3499999999999</v>
      </c>
      <c r="N1206">
        <v>1487.45</v>
      </c>
      <c r="O1206">
        <v>346129.62</v>
      </c>
      <c r="P1206">
        <v>46774.25</v>
      </c>
      <c r="Q1206">
        <v>38699.629999999997</v>
      </c>
      <c r="R1206" t="s">
        <v>65</v>
      </c>
      <c r="S1206">
        <v>384829.25</v>
      </c>
      <c r="T1206">
        <v>0</v>
      </c>
      <c r="U1206" t="s">
        <v>66</v>
      </c>
      <c r="V1206" t="s">
        <v>10</v>
      </c>
      <c r="W1206" t="s">
        <v>92</v>
      </c>
      <c r="X1206" t="s">
        <v>176</v>
      </c>
      <c r="Y1206" t="s">
        <v>22</v>
      </c>
      <c r="Z1206">
        <v>1.33</v>
      </c>
      <c r="AA1206">
        <f t="shared" si="54"/>
        <v>38699.629999999997</v>
      </c>
      <c r="AB1206">
        <f t="shared" si="55"/>
        <v>0.10056311987719228</v>
      </c>
      <c r="AC1206">
        <f t="shared" si="56"/>
        <v>0</v>
      </c>
      <c r="AD1206">
        <v>2024</v>
      </c>
      <c r="AE1206">
        <v>1</v>
      </c>
      <c r="AF1206" t="s">
        <v>102</v>
      </c>
      <c r="AG1206" t="s">
        <v>103</v>
      </c>
    </row>
    <row r="1207" spans="1:33">
      <c r="A1207" t="s">
        <v>1358</v>
      </c>
      <c r="B1207">
        <v>45906</v>
      </c>
      <c r="C1207">
        <v>45913</v>
      </c>
      <c r="D1207" t="s">
        <v>27</v>
      </c>
      <c r="E1207">
        <v>1200</v>
      </c>
      <c r="F1207">
        <v>708.32</v>
      </c>
      <c r="G1207">
        <v>0.65</v>
      </c>
      <c r="H1207">
        <v>844459.1</v>
      </c>
      <c r="I1207" t="s">
        <v>1727</v>
      </c>
      <c r="J1207">
        <v>533.24</v>
      </c>
      <c r="K1207">
        <v>639888</v>
      </c>
      <c r="L1207">
        <v>18070.900000000001</v>
      </c>
      <c r="M1207">
        <v>7162.58</v>
      </c>
      <c r="N1207">
        <v>11339.83</v>
      </c>
      <c r="O1207">
        <v>676461.31</v>
      </c>
      <c r="P1207">
        <v>204571.1</v>
      </c>
      <c r="Q1207">
        <v>167997.79</v>
      </c>
      <c r="R1207" t="s">
        <v>134</v>
      </c>
      <c r="S1207">
        <v>0</v>
      </c>
      <c r="T1207">
        <v>844459.1</v>
      </c>
      <c r="U1207" t="s">
        <v>66</v>
      </c>
      <c r="V1207" t="s">
        <v>8</v>
      </c>
      <c r="W1207" t="s">
        <v>80</v>
      </c>
      <c r="X1207" t="s">
        <v>208</v>
      </c>
      <c r="Y1207" t="s">
        <v>26</v>
      </c>
      <c r="Z1207">
        <v>1.19</v>
      </c>
      <c r="AA1207">
        <f t="shared" si="54"/>
        <v>167997.79</v>
      </c>
      <c r="AB1207">
        <f t="shared" si="55"/>
        <v>0.19894129863719867</v>
      </c>
      <c r="AC1207">
        <f t="shared" si="56"/>
        <v>0</v>
      </c>
      <c r="AD1207">
        <v>2025</v>
      </c>
      <c r="AE1207">
        <v>9</v>
      </c>
      <c r="AF1207" t="s">
        <v>131</v>
      </c>
      <c r="AG1207" t="s">
        <v>132</v>
      </c>
    </row>
    <row r="1208" spans="1:33">
      <c r="A1208" t="s">
        <v>1359</v>
      </c>
      <c r="B1208">
        <v>45474</v>
      </c>
      <c r="C1208">
        <v>45483</v>
      </c>
      <c r="D1208" t="s">
        <v>21</v>
      </c>
      <c r="E1208">
        <v>200</v>
      </c>
      <c r="F1208">
        <v>794.53</v>
      </c>
      <c r="G1208">
        <v>0.54</v>
      </c>
      <c r="H1208">
        <v>158047.91</v>
      </c>
      <c r="I1208" t="s">
        <v>1729</v>
      </c>
      <c r="J1208">
        <v>677.56</v>
      </c>
      <c r="K1208">
        <v>135512</v>
      </c>
      <c r="L1208">
        <v>4737.9399999999996</v>
      </c>
      <c r="M1208">
        <v>858.22</v>
      </c>
      <c r="N1208">
        <v>4666.29</v>
      </c>
      <c r="O1208">
        <v>145774.45000000001</v>
      </c>
      <c r="P1208">
        <v>22535.91</v>
      </c>
      <c r="Q1208">
        <v>12273.46</v>
      </c>
      <c r="R1208" t="s">
        <v>134</v>
      </c>
      <c r="S1208">
        <v>0</v>
      </c>
      <c r="T1208">
        <v>158047.91</v>
      </c>
      <c r="U1208" t="s">
        <v>66</v>
      </c>
      <c r="V1208" t="s">
        <v>6</v>
      </c>
      <c r="W1208" t="s">
        <v>141</v>
      </c>
      <c r="X1208" t="s">
        <v>176</v>
      </c>
      <c r="Y1208" t="s">
        <v>22</v>
      </c>
      <c r="Z1208">
        <v>0.82</v>
      </c>
      <c r="AA1208">
        <f t="shared" si="54"/>
        <v>12273.46</v>
      </c>
      <c r="AB1208">
        <f t="shared" si="55"/>
        <v>7.7656578944954091E-2</v>
      </c>
      <c r="AC1208">
        <f t="shared" si="56"/>
        <v>0</v>
      </c>
      <c r="AD1208">
        <v>2024</v>
      </c>
      <c r="AE1208">
        <v>7</v>
      </c>
      <c r="AF1208" t="s">
        <v>69</v>
      </c>
      <c r="AG1208" t="s">
        <v>70</v>
      </c>
    </row>
    <row r="1209" spans="1:33">
      <c r="A1209" t="s">
        <v>1360</v>
      </c>
      <c r="B1209">
        <v>45598</v>
      </c>
      <c r="C1209">
        <v>45603</v>
      </c>
      <c r="D1209" t="s">
        <v>21</v>
      </c>
      <c r="E1209">
        <v>100</v>
      </c>
      <c r="F1209">
        <v>953.99</v>
      </c>
      <c r="G1209">
        <v>1.58</v>
      </c>
      <c r="H1209">
        <v>93891.7</v>
      </c>
      <c r="I1209" t="s">
        <v>1728</v>
      </c>
      <c r="J1209">
        <v>746.51</v>
      </c>
      <c r="K1209">
        <v>74651</v>
      </c>
      <c r="L1209">
        <v>662.27</v>
      </c>
      <c r="M1209">
        <v>576.5</v>
      </c>
      <c r="N1209">
        <v>1289.33</v>
      </c>
      <c r="O1209">
        <v>77179.100000000006</v>
      </c>
      <c r="P1209">
        <v>19240.7</v>
      </c>
      <c r="Q1209">
        <v>16712.599999999999</v>
      </c>
      <c r="R1209" t="s">
        <v>85</v>
      </c>
      <c r="S1209">
        <v>62011.31</v>
      </c>
      <c r="T1209">
        <v>31880.39</v>
      </c>
      <c r="U1209" t="s">
        <v>66</v>
      </c>
      <c r="V1209" t="s">
        <v>12</v>
      </c>
      <c r="W1209" t="s">
        <v>74</v>
      </c>
      <c r="X1209" t="s">
        <v>125</v>
      </c>
      <c r="Y1209" t="s">
        <v>24</v>
      </c>
      <c r="Z1209">
        <v>2.0099999999999998</v>
      </c>
      <c r="AA1209">
        <f t="shared" si="54"/>
        <v>16712.599999999999</v>
      </c>
      <c r="AB1209">
        <f t="shared" si="55"/>
        <v>0.17799869424027895</v>
      </c>
      <c r="AC1209">
        <f t="shared" si="56"/>
        <v>0</v>
      </c>
      <c r="AD1209">
        <v>2024</v>
      </c>
      <c r="AE1209">
        <v>11</v>
      </c>
      <c r="AF1209" t="s">
        <v>128</v>
      </c>
      <c r="AG1209" t="s">
        <v>129</v>
      </c>
    </row>
    <row r="1210" spans="1:33">
      <c r="A1210" t="s">
        <v>1361</v>
      </c>
      <c r="B1210">
        <v>45843</v>
      </c>
      <c r="C1210">
        <v>45846</v>
      </c>
      <c r="D1210" t="s">
        <v>21</v>
      </c>
      <c r="E1210">
        <v>50</v>
      </c>
      <c r="F1210">
        <v>852.17</v>
      </c>
      <c r="G1210">
        <v>1.47</v>
      </c>
      <c r="H1210">
        <v>41982.16</v>
      </c>
      <c r="I1210" t="s">
        <v>1728</v>
      </c>
      <c r="J1210">
        <v>740.98</v>
      </c>
      <c r="K1210">
        <v>37049</v>
      </c>
      <c r="L1210">
        <v>957.48</v>
      </c>
      <c r="M1210">
        <v>297.14</v>
      </c>
      <c r="N1210">
        <v>1006.87</v>
      </c>
      <c r="O1210">
        <v>39310.49</v>
      </c>
      <c r="P1210">
        <v>4933.16</v>
      </c>
      <c r="Q1210">
        <v>2671.67</v>
      </c>
      <c r="R1210" t="s">
        <v>65</v>
      </c>
      <c r="S1210">
        <v>41982.16</v>
      </c>
      <c r="T1210">
        <v>0</v>
      </c>
      <c r="U1210" t="s">
        <v>66</v>
      </c>
      <c r="V1210" t="s">
        <v>6</v>
      </c>
      <c r="W1210" t="s">
        <v>74</v>
      </c>
      <c r="X1210" t="s">
        <v>230</v>
      </c>
      <c r="Y1210" t="s">
        <v>31</v>
      </c>
      <c r="Z1210">
        <v>0.86</v>
      </c>
      <c r="AA1210">
        <f t="shared" si="54"/>
        <v>2671.67</v>
      </c>
      <c r="AB1210">
        <f t="shared" si="55"/>
        <v>6.3638221568399531E-2</v>
      </c>
      <c r="AC1210">
        <f t="shared" si="56"/>
        <v>0</v>
      </c>
      <c r="AD1210">
        <v>2025</v>
      </c>
      <c r="AE1210">
        <v>7</v>
      </c>
      <c r="AF1210" t="s">
        <v>69</v>
      </c>
      <c r="AG1210" t="s">
        <v>151</v>
      </c>
    </row>
    <row r="1211" spans="1:33">
      <c r="A1211" t="s">
        <v>1362</v>
      </c>
      <c r="B1211">
        <v>45856</v>
      </c>
      <c r="C1211">
        <v>45862</v>
      </c>
      <c r="D1211" t="s">
        <v>29</v>
      </c>
      <c r="E1211">
        <v>50</v>
      </c>
      <c r="F1211">
        <v>2720.74</v>
      </c>
      <c r="G1211">
        <v>0.74</v>
      </c>
      <c r="H1211">
        <v>135030.32999999999</v>
      </c>
      <c r="I1211" t="s">
        <v>1729</v>
      </c>
      <c r="J1211">
        <v>2153.1</v>
      </c>
      <c r="K1211">
        <v>107655</v>
      </c>
      <c r="L1211">
        <v>858.68</v>
      </c>
      <c r="M1211">
        <v>263.18</v>
      </c>
      <c r="N1211">
        <v>6637.21</v>
      </c>
      <c r="O1211">
        <v>115414.07</v>
      </c>
      <c r="P1211">
        <v>27375.33</v>
      </c>
      <c r="Q1211">
        <v>19616.259999999998</v>
      </c>
      <c r="R1211" t="s">
        <v>134</v>
      </c>
      <c r="S1211">
        <v>0</v>
      </c>
      <c r="T1211">
        <v>135030.32999999999</v>
      </c>
      <c r="U1211" t="s">
        <v>66</v>
      </c>
      <c r="V1211" t="s">
        <v>10</v>
      </c>
      <c r="W1211" t="s">
        <v>141</v>
      </c>
      <c r="X1211" t="s">
        <v>176</v>
      </c>
      <c r="Y1211" t="s">
        <v>22</v>
      </c>
      <c r="Z1211">
        <v>1.06</v>
      </c>
      <c r="AA1211">
        <f t="shared" si="54"/>
        <v>19616.259999999998</v>
      </c>
      <c r="AB1211">
        <f t="shared" si="55"/>
        <v>0.14527299163084323</v>
      </c>
      <c r="AC1211">
        <f t="shared" si="56"/>
        <v>0</v>
      </c>
      <c r="AD1211">
        <v>2025</v>
      </c>
      <c r="AE1211">
        <v>7</v>
      </c>
      <c r="AF1211" t="s">
        <v>69</v>
      </c>
      <c r="AG1211" t="s">
        <v>151</v>
      </c>
    </row>
    <row r="1212" spans="1:33">
      <c r="A1212" t="s">
        <v>1363</v>
      </c>
      <c r="B1212">
        <v>45496</v>
      </c>
      <c r="C1212">
        <v>45509</v>
      </c>
      <c r="D1212" t="s">
        <v>21</v>
      </c>
      <c r="E1212">
        <v>250</v>
      </c>
      <c r="F1212">
        <v>890.25</v>
      </c>
      <c r="G1212">
        <v>0.47</v>
      </c>
      <c r="H1212">
        <v>221516.46</v>
      </c>
      <c r="I1212" t="s">
        <v>1727</v>
      </c>
      <c r="J1212">
        <v>675.31</v>
      </c>
      <c r="K1212">
        <v>168827.5</v>
      </c>
      <c r="L1212">
        <v>5322.25</v>
      </c>
      <c r="M1212">
        <v>453.25</v>
      </c>
      <c r="N1212">
        <v>4761.5</v>
      </c>
      <c r="O1212">
        <v>179364.5</v>
      </c>
      <c r="P1212">
        <v>52688.959999999999</v>
      </c>
      <c r="Q1212">
        <v>42151.96</v>
      </c>
      <c r="R1212" t="s">
        <v>65</v>
      </c>
      <c r="S1212">
        <v>221516.46</v>
      </c>
      <c r="T1212">
        <v>0</v>
      </c>
      <c r="U1212" t="s">
        <v>66</v>
      </c>
      <c r="V1212" t="s">
        <v>16</v>
      </c>
      <c r="W1212" t="s">
        <v>141</v>
      </c>
      <c r="X1212" t="s">
        <v>127</v>
      </c>
      <c r="Y1212" t="s">
        <v>22</v>
      </c>
      <c r="Z1212">
        <v>0.39</v>
      </c>
      <c r="AA1212">
        <f t="shared" si="54"/>
        <v>42151.96</v>
      </c>
      <c r="AB1212">
        <f t="shared" si="55"/>
        <v>0.19028816188196579</v>
      </c>
      <c r="AC1212">
        <f t="shared" si="56"/>
        <v>0</v>
      </c>
      <c r="AD1212">
        <v>2024</v>
      </c>
      <c r="AE1212">
        <v>7</v>
      </c>
      <c r="AF1212" t="s">
        <v>69</v>
      </c>
      <c r="AG1212" t="s">
        <v>70</v>
      </c>
    </row>
    <row r="1213" spans="1:33">
      <c r="A1213" t="s">
        <v>1364</v>
      </c>
      <c r="B1213">
        <v>45334</v>
      </c>
      <c r="C1213">
        <v>45339</v>
      </c>
      <c r="D1213" t="s">
        <v>21</v>
      </c>
      <c r="E1213">
        <v>50</v>
      </c>
      <c r="F1213">
        <v>902.38</v>
      </c>
      <c r="G1213">
        <v>2.2599999999999998</v>
      </c>
      <c r="H1213">
        <v>44099.31</v>
      </c>
      <c r="I1213" t="s">
        <v>1726</v>
      </c>
      <c r="J1213">
        <v>738.53</v>
      </c>
      <c r="K1213">
        <v>36926.5</v>
      </c>
      <c r="L1213">
        <v>907.25</v>
      </c>
      <c r="M1213">
        <v>196.67</v>
      </c>
      <c r="N1213">
        <v>10324.43</v>
      </c>
      <c r="O1213">
        <v>48354.85</v>
      </c>
      <c r="P1213">
        <v>7172.81</v>
      </c>
      <c r="Q1213">
        <v>-4255.54</v>
      </c>
      <c r="R1213" t="s">
        <v>85</v>
      </c>
      <c r="S1213">
        <v>22240.55</v>
      </c>
      <c r="T1213">
        <v>21858.76</v>
      </c>
      <c r="U1213" t="s">
        <v>66</v>
      </c>
      <c r="V1213" t="s">
        <v>10</v>
      </c>
      <c r="W1213" t="s">
        <v>67</v>
      </c>
      <c r="X1213" t="s">
        <v>75</v>
      </c>
      <c r="Y1213" t="s">
        <v>28</v>
      </c>
      <c r="Z1213">
        <v>1.48</v>
      </c>
      <c r="AA1213">
        <f t="shared" si="54"/>
        <v>-4255.54</v>
      </c>
      <c r="AB1213">
        <f t="shared" si="55"/>
        <v>-9.6499015517476361E-2</v>
      </c>
      <c r="AC1213">
        <f t="shared" si="56"/>
        <v>0</v>
      </c>
      <c r="AD1213">
        <v>2024</v>
      </c>
      <c r="AE1213">
        <v>2</v>
      </c>
      <c r="AF1213" t="s">
        <v>172</v>
      </c>
      <c r="AG1213" t="s">
        <v>173</v>
      </c>
    </row>
    <row r="1214" spans="1:33">
      <c r="A1214" t="s">
        <v>1365</v>
      </c>
      <c r="B1214">
        <v>45932</v>
      </c>
      <c r="C1214">
        <v>45945</v>
      </c>
      <c r="D1214" t="s">
        <v>23</v>
      </c>
      <c r="E1214">
        <v>250</v>
      </c>
      <c r="F1214">
        <v>1235.9000000000001</v>
      </c>
      <c r="G1214">
        <v>0.56000000000000005</v>
      </c>
      <c r="H1214">
        <v>307244.74</v>
      </c>
      <c r="I1214" t="s">
        <v>1729</v>
      </c>
      <c r="J1214">
        <v>1067.06</v>
      </c>
      <c r="K1214">
        <v>266765</v>
      </c>
      <c r="L1214">
        <v>4578.16</v>
      </c>
      <c r="M1214">
        <v>1402.56</v>
      </c>
      <c r="N1214">
        <v>2870.9</v>
      </c>
      <c r="O1214">
        <v>275616.62</v>
      </c>
      <c r="P1214">
        <v>40479.74</v>
      </c>
      <c r="Q1214">
        <v>31628.12</v>
      </c>
      <c r="R1214" t="s">
        <v>65</v>
      </c>
      <c r="S1214">
        <v>307244.74</v>
      </c>
      <c r="T1214">
        <v>0</v>
      </c>
      <c r="U1214" t="s">
        <v>73</v>
      </c>
      <c r="V1214" t="s">
        <v>12</v>
      </c>
      <c r="W1214" t="s">
        <v>74</v>
      </c>
      <c r="X1214" t="s">
        <v>93</v>
      </c>
      <c r="Y1214" t="s">
        <v>26</v>
      </c>
      <c r="Z1214">
        <v>1.8</v>
      </c>
      <c r="AA1214">
        <f t="shared" si="54"/>
        <v>31628.12</v>
      </c>
      <c r="AB1214">
        <f t="shared" si="55"/>
        <v>0.10294112764957343</v>
      </c>
      <c r="AC1214">
        <f t="shared" si="56"/>
        <v>0</v>
      </c>
      <c r="AD1214">
        <v>2025</v>
      </c>
      <c r="AE1214">
        <v>10</v>
      </c>
      <c r="AF1214" t="s">
        <v>138</v>
      </c>
      <c r="AG1214" t="s">
        <v>160</v>
      </c>
    </row>
    <row r="1215" spans="1:33">
      <c r="A1215" t="s">
        <v>1366</v>
      </c>
      <c r="B1215">
        <v>45764</v>
      </c>
      <c r="C1215">
        <v>45765</v>
      </c>
      <c r="D1215" t="s">
        <v>25</v>
      </c>
      <c r="E1215">
        <v>500</v>
      </c>
      <c r="F1215">
        <v>998.61</v>
      </c>
      <c r="G1215">
        <v>2.95</v>
      </c>
      <c r="H1215">
        <v>484575.5</v>
      </c>
      <c r="I1215" t="s">
        <v>1729</v>
      </c>
      <c r="J1215">
        <v>794.96</v>
      </c>
      <c r="K1215">
        <v>397480</v>
      </c>
      <c r="L1215">
        <v>4565.6000000000004</v>
      </c>
      <c r="M1215">
        <v>2572.0500000000002</v>
      </c>
      <c r="N1215">
        <v>5617.92</v>
      </c>
      <c r="O1215">
        <v>410235.57</v>
      </c>
      <c r="P1215">
        <v>87095.5</v>
      </c>
      <c r="Q1215">
        <v>74339.929999999993</v>
      </c>
      <c r="R1215" t="s">
        <v>65</v>
      </c>
      <c r="S1215">
        <v>484575.5</v>
      </c>
      <c r="T1215">
        <v>0</v>
      </c>
      <c r="U1215" t="s">
        <v>73</v>
      </c>
      <c r="V1215" t="s">
        <v>16</v>
      </c>
      <c r="W1215" t="s">
        <v>92</v>
      </c>
      <c r="X1215" t="s">
        <v>162</v>
      </c>
      <c r="Y1215" t="s">
        <v>26</v>
      </c>
      <c r="Z1215">
        <v>0.09</v>
      </c>
      <c r="AA1215">
        <f t="shared" si="54"/>
        <v>74339.929999999993</v>
      </c>
      <c r="AB1215">
        <f t="shared" si="55"/>
        <v>0.15341248164630691</v>
      </c>
      <c r="AC1215">
        <f t="shared" si="56"/>
        <v>0</v>
      </c>
      <c r="AD1215">
        <v>2025</v>
      </c>
      <c r="AE1215">
        <v>4</v>
      </c>
      <c r="AF1215" t="s">
        <v>154</v>
      </c>
      <c r="AG1215" t="s">
        <v>155</v>
      </c>
    </row>
    <row r="1216" spans="1:33">
      <c r="A1216" t="s">
        <v>1367</v>
      </c>
      <c r="B1216">
        <v>45290</v>
      </c>
      <c r="C1216">
        <v>45292</v>
      </c>
      <c r="D1216" t="s">
        <v>21</v>
      </c>
      <c r="E1216">
        <v>1000</v>
      </c>
      <c r="F1216">
        <v>902.69</v>
      </c>
      <c r="G1216">
        <v>2.12</v>
      </c>
      <c r="H1216">
        <v>883552.97</v>
      </c>
      <c r="I1216" t="s">
        <v>1727</v>
      </c>
      <c r="J1216">
        <v>706.47</v>
      </c>
      <c r="K1216">
        <v>706470</v>
      </c>
      <c r="L1216">
        <v>5764.37</v>
      </c>
      <c r="M1216">
        <v>2614.77</v>
      </c>
      <c r="N1216">
        <v>3270.06</v>
      </c>
      <c r="O1216">
        <v>718119.2</v>
      </c>
      <c r="P1216">
        <v>177082.97</v>
      </c>
      <c r="Q1216">
        <v>165433.76999999999</v>
      </c>
      <c r="R1216" t="s">
        <v>65</v>
      </c>
      <c r="S1216">
        <v>883552.97</v>
      </c>
      <c r="T1216">
        <v>0</v>
      </c>
      <c r="U1216" t="s">
        <v>66</v>
      </c>
      <c r="V1216" t="s">
        <v>12</v>
      </c>
      <c r="W1216" t="s">
        <v>67</v>
      </c>
      <c r="X1216" t="s">
        <v>108</v>
      </c>
      <c r="Y1216" t="s">
        <v>22</v>
      </c>
      <c r="Z1216">
        <v>1.31</v>
      </c>
      <c r="AA1216">
        <f t="shared" si="54"/>
        <v>165433.76999999999</v>
      </c>
      <c r="AB1216">
        <f t="shared" si="55"/>
        <v>0.18723695762122783</v>
      </c>
      <c r="AC1216">
        <f t="shared" si="56"/>
        <v>0</v>
      </c>
      <c r="AD1216">
        <v>2023</v>
      </c>
      <c r="AE1216">
        <v>12</v>
      </c>
      <c r="AF1216" t="s">
        <v>98</v>
      </c>
      <c r="AG1216" t="s">
        <v>232</v>
      </c>
    </row>
    <row r="1217" spans="1:33">
      <c r="A1217" t="s">
        <v>1368</v>
      </c>
      <c r="B1217">
        <v>45530</v>
      </c>
      <c r="C1217">
        <v>45542</v>
      </c>
      <c r="D1217" t="s">
        <v>23</v>
      </c>
      <c r="E1217">
        <v>1000</v>
      </c>
      <c r="F1217">
        <v>1346.03</v>
      </c>
      <c r="G1217">
        <v>0.74</v>
      </c>
      <c r="H1217">
        <v>1336069.3799999999</v>
      </c>
      <c r="I1217" t="s">
        <v>1726</v>
      </c>
      <c r="J1217">
        <v>1083.8599999999999</v>
      </c>
      <c r="K1217">
        <v>1083860</v>
      </c>
      <c r="L1217">
        <v>9321.24</v>
      </c>
      <c r="M1217">
        <v>4190.0200000000004</v>
      </c>
      <c r="N1217">
        <v>1516.77</v>
      </c>
      <c r="O1217">
        <v>1098888.03</v>
      </c>
      <c r="P1217">
        <v>252209.38</v>
      </c>
      <c r="Q1217">
        <v>237181.35</v>
      </c>
      <c r="R1217" t="s">
        <v>134</v>
      </c>
      <c r="S1217">
        <v>0</v>
      </c>
      <c r="T1217">
        <v>1336069.3799999999</v>
      </c>
      <c r="U1217" t="s">
        <v>66</v>
      </c>
      <c r="V1217" t="s">
        <v>6</v>
      </c>
      <c r="W1217" t="s">
        <v>141</v>
      </c>
      <c r="X1217" t="s">
        <v>159</v>
      </c>
      <c r="Y1217" t="s">
        <v>30</v>
      </c>
      <c r="Z1217">
        <v>0.1</v>
      </c>
      <c r="AA1217">
        <f t="shared" si="54"/>
        <v>237181.35</v>
      </c>
      <c r="AB1217">
        <f t="shared" si="55"/>
        <v>0.17752173169330474</v>
      </c>
      <c r="AC1217">
        <f t="shared" si="56"/>
        <v>0</v>
      </c>
      <c r="AD1217">
        <v>2024</v>
      </c>
      <c r="AE1217">
        <v>8</v>
      </c>
      <c r="AF1217" t="s">
        <v>82</v>
      </c>
      <c r="AG1217" t="s">
        <v>83</v>
      </c>
    </row>
    <row r="1218" spans="1:33">
      <c r="A1218" t="s">
        <v>1369</v>
      </c>
      <c r="B1218">
        <v>45793</v>
      </c>
      <c r="C1218">
        <v>45796</v>
      </c>
      <c r="D1218" t="s">
        <v>21</v>
      </c>
      <c r="E1218">
        <v>300</v>
      </c>
      <c r="F1218">
        <v>913.41</v>
      </c>
      <c r="G1218">
        <v>0.76</v>
      </c>
      <c r="H1218">
        <v>271940.43</v>
      </c>
      <c r="I1218" t="s">
        <v>1726</v>
      </c>
      <c r="J1218">
        <v>674.42</v>
      </c>
      <c r="K1218">
        <v>202326</v>
      </c>
      <c r="L1218">
        <v>5149.17</v>
      </c>
      <c r="M1218">
        <v>1328.13</v>
      </c>
      <c r="N1218">
        <v>988.74</v>
      </c>
      <c r="O1218">
        <v>209792.04</v>
      </c>
      <c r="P1218">
        <v>69614.429999999993</v>
      </c>
      <c r="Q1218">
        <v>62148.39</v>
      </c>
      <c r="R1218" t="s">
        <v>65</v>
      </c>
      <c r="S1218">
        <v>271940.43</v>
      </c>
      <c r="T1218">
        <v>0</v>
      </c>
      <c r="U1218" t="s">
        <v>73</v>
      </c>
      <c r="V1218" t="s">
        <v>6</v>
      </c>
      <c r="W1218" t="s">
        <v>74</v>
      </c>
      <c r="X1218" t="s">
        <v>162</v>
      </c>
      <c r="Y1218" t="s">
        <v>26</v>
      </c>
      <c r="Z1218">
        <v>1.27</v>
      </c>
      <c r="AA1218">
        <f t="shared" ref="AA1218:AA1281" si="57">ROUND(H1218-O1218,2)</f>
        <v>62148.39</v>
      </c>
      <c r="AB1218">
        <f t="shared" ref="AB1218:AB1281" si="58">AA1218/H1218</f>
        <v>0.22853677917623355</v>
      </c>
      <c r="AC1218">
        <f t="shared" ref="AC1218:AC1281" si="59">ROUND(AA1218-Q1218,2)</f>
        <v>0</v>
      </c>
      <c r="AD1218">
        <v>2025</v>
      </c>
      <c r="AE1218">
        <v>5</v>
      </c>
      <c r="AF1218" t="s">
        <v>76</v>
      </c>
      <c r="AG1218" t="s">
        <v>94</v>
      </c>
    </row>
    <row r="1219" spans="1:33">
      <c r="A1219" t="s">
        <v>1370</v>
      </c>
      <c r="B1219">
        <v>45466</v>
      </c>
      <c r="C1219">
        <v>45466</v>
      </c>
      <c r="D1219" t="s">
        <v>27</v>
      </c>
      <c r="E1219">
        <v>100</v>
      </c>
      <c r="F1219">
        <v>722.29</v>
      </c>
      <c r="G1219">
        <v>1.1299999999999999</v>
      </c>
      <c r="H1219">
        <v>71412.81</v>
      </c>
      <c r="I1219" t="s">
        <v>1728</v>
      </c>
      <c r="J1219">
        <v>539.12</v>
      </c>
      <c r="K1219">
        <v>53912</v>
      </c>
      <c r="L1219">
        <v>1362.79</v>
      </c>
      <c r="M1219">
        <v>576.85</v>
      </c>
      <c r="N1219">
        <v>933.04</v>
      </c>
      <c r="O1219">
        <v>56784.68</v>
      </c>
      <c r="P1219">
        <v>17500.810000000001</v>
      </c>
      <c r="Q1219">
        <v>14628.13</v>
      </c>
      <c r="R1219" t="s">
        <v>65</v>
      </c>
      <c r="S1219">
        <v>71412.81</v>
      </c>
      <c r="T1219">
        <v>0</v>
      </c>
      <c r="U1219" t="s">
        <v>66</v>
      </c>
      <c r="V1219" t="s">
        <v>10</v>
      </c>
      <c r="W1219" t="s">
        <v>74</v>
      </c>
      <c r="X1219" t="s">
        <v>81</v>
      </c>
      <c r="Y1219" t="s">
        <v>24</v>
      </c>
      <c r="Z1219">
        <v>0.41</v>
      </c>
      <c r="AA1219">
        <f t="shared" si="57"/>
        <v>14628.13</v>
      </c>
      <c r="AB1219">
        <f t="shared" si="58"/>
        <v>0.20483901977810423</v>
      </c>
      <c r="AC1219">
        <f t="shared" si="59"/>
        <v>0</v>
      </c>
      <c r="AD1219">
        <v>2024</v>
      </c>
      <c r="AE1219">
        <v>6</v>
      </c>
      <c r="AF1219" t="s">
        <v>111</v>
      </c>
      <c r="AG1219" t="s">
        <v>148</v>
      </c>
    </row>
    <row r="1220" spans="1:33">
      <c r="A1220" t="s">
        <v>1371</v>
      </c>
      <c r="B1220">
        <v>45858</v>
      </c>
      <c r="C1220">
        <v>45858</v>
      </c>
      <c r="D1220" t="s">
        <v>21</v>
      </c>
      <c r="E1220">
        <v>300</v>
      </c>
      <c r="F1220">
        <v>873.78</v>
      </c>
      <c r="G1220">
        <v>1.96</v>
      </c>
      <c r="H1220">
        <v>256996.17</v>
      </c>
      <c r="I1220" t="s">
        <v>1727</v>
      </c>
      <c r="J1220">
        <v>724.78</v>
      </c>
      <c r="K1220">
        <v>217434</v>
      </c>
      <c r="L1220">
        <v>4373.24</v>
      </c>
      <c r="M1220">
        <v>1313.97</v>
      </c>
      <c r="N1220">
        <v>1412.44</v>
      </c>
      <c r="O1220">
        <v>224533.65</v>
      </c>
      <c r="P1220">
        <v>39562.17</v>
      </c>
      <c r="Q1220">
        <v>32462.52</v>
      </c>
      <c r="R1220" t="s">
        <v>65</v>
      </c>
      <c r="S1220">
        <v>256996.17</v>
      </c>
      <c r="T1220">
        <v>0</v>
      </c>
      <c r="U1220" t="s">
        <v>66</v>
      </c>
      <c r="V1220" t="s">
        <v>12</v>
      </c>
      <c r="W1220" t="s">
        <v>92</v>
      </c>
      <c r="X1220" t="s">
        <v>176</v>
      </c>
      <c r="Y1220" t="s">
        <v>22</v>
      </c>
      <c r="Z1220">
        <v>0.75</v>
      </c>
      <c r="AA1220">
        <f t="shared" si="57"/>
        <v>32462.52</v>
      </c>
      <c r="AB1220">
        <f t="shared" si="58"/>
        <v>0.12631518983337378</v>
      </c>
      <c r="AC1220">
        <f t="shared" si="59"/>
        <v>0</v>
      </c>
      <c r="AD1220">
        <v>2025</v>
      </c>
      <c r="AE1220">
        <v>7</v>
      </c>
      <c r="AF1220" t="s">
        <v>69</v>
      </c>
      <c r="AG1220" t="s">
        <v>151</v>
      </c>
    </row>
    <row r="1221" spans="1:33">
      <c r="A1221" t="s">
        <v>1372</v>
      </c>
      <c r="B1221">
        <v>45436</v>
      </c>
      <c r="C1221">
        <v>45443</v>
      </c>
      <c r="D1221" t="s">
        <v>23</v>
      </c>
      <c r="E1221">
        <v>200</v>
      </c>
      <c r="F1221">
        <v>1222.22</v>
      </c>
      <c r="G1221">
        <v>1.92</v>
      </c>
      <c r="H1221">
        <v>239750.68</v>
      </c>
      <c r="I1221" t="s">
        <v>1729</v>
      </c>
      <c r="J1221">
        <v>1120.21</v>
      </c>
      <c r="K1221">
        <v>224042</v>
      </c>
      <c r="L1221">
        <v>2506.84</v>
      </c>
      <c r="M1221">
        <v>961.53</v>
      </c>
      <c r="N1221">
        <v>8048.36</v>
      </c>
      <c r="O1221">
        <v>235558.73</v>
      </c>
      <c r="P1221">
        <v>15708.68</v>
      </c>
      <c r="Q1221">
        <v>4191.95</v>
      </c>
      <c r="R1221" t="s">
        <v>134</v>
      </c>
      <c r="S1221">
        <v>0</v>
      </c>
      <c r="T1221">
        <v>239750.68</v>
      </c>
      <c r="U1221" t="s">
        <v>66</v>
      </c>
      <c r="V1221" t="s">
        <v>10</v>
      </c>
      <c r="W1221" t="s">
        <v>141</v>
      </c>
      <c r="X1221" t="s">
        <v>176</v>
      </c>
      <c r="Y1221" t="s">
        <v>22</v>
      </c>
      <c r="Z1221">
        <v>1.47</v>
      </c>
      <c r="AA1221">
        <f t="shared" si="57"/>
        <v>4191.95</v>
      </c>
      <c r="AB1221">
        <f t="shared" si="58"/>
        <v>1.7484621941426817E-2</v>
      </c>
      <c r="AC1221">
        <f t="shared" si="59"/>
        <v>0</v>
      </c>
      <c r="AD1221">
        <v>2024</v>
      </c>
      <c r="AE1221">
        <v>5</v>
      </c>
      <c r="AF1221" t="s">
        <v>76</v>
      </c>
      <c r="AG1221" t="s">
        <v>77</v>
      </c>
    </row>
    <row r="1222" spans="1:33">
      <c r="A1222" t="s">
        <v>1373</v>
      </c>
      <c r="B1222">
        <v>45916</v>
      </c>
      <c r="C1222">
        <v>45923</v>
      </c>
      <c r="D1222" t="s">
        <v>25</v>
      </c>
      <c r="E1222">
        <v>1000</v>
      </c>
      <c r="F1222">
        <v>930.66</v>
      </c>
      <c r="G1222">
        <v>0.9</v>
      </c>
      <c r="H1222">
        <v>922284.06</v>
      </c>
      <c r="I1222" t="s">
        <v>1726</v>
      </c>
      <c r="J1222">
        <v>762.01</v>
      </c>
      <c r="K1222">
        <v>762010</v>
      </c>
      <c r="L1222">
        <v>13453.39</v>
      </c>
      <c r="M1222">
        <v>1842.69</v>
      </c>
      <c r="N1222">
        <v>2379.1799999999998</v>
      </c>
      <c r="O1222">
        <v>779685.26</v>
      </c>
      <c r="P1222">
        <v>160274.06</v>
      </c>
      <c r="Q1222">
        <v>142598.79999999999</v>
      </c>
      <c r="R1222" t="s">
        <v>65</v>
      </c>
      <c r="S1222">
        <v>922284.06</v>
      </c>
      <c r="T1222">
        <v>0</v>
      </c>
      <c r="U1222" t="s">
        <v>66</v>
      </c>
      <c r="V1222" t="s">
        <v>6</v>
      </c>
      <c r="W1222" t="s">
        <v>67</v>
      </c>
      <c r="X1222" t="s">
        <v>145</v>
      </c>
      <c r="Y1222" t="s">
        <v>30</v>
      </c>
      <c r="Z1222">
        <v>0.36</v>
      </c>
      <c r="AA1222">
        <f t="shared" si="57"/>
        <v>142598.79999999999</v>
      </c>
      <c r="AB1222">
        <f t="shared" si="58"/>
        <v>0.15461483742872015</v>
      </c>
      <c r="AC1222">
        <f t="shared" si="59"/>
        <v>0</v>
      </c>
      <c r="AD1222">
        <v>2025</v>
      </c>
      <c r="AE1222">
        <v>9</v>
      </c>
      <c r="AF1222" t="s">
        <v>131</v>
      </c>
      <c r="AG1222" t="s">
        <v>132</v>
      </c>
    </row>
    <row r="1223" spans="1:33">
      <c r="A1223" t="s">
        <v>1374</v>
      </c>
      <c r="B1223">
        <v>45413</v>
      </c>
      <c r="D1223" t="s">
        <v>23</v>
      </c>
      <c r="E1223">
        <v>500</v>
      </c>
      <c r="F1223">
        <v>1238.1400000000001</v>
      </c>
      <c r="G1223">
        <v>2.0299999999999998</v>
      </c>
      <c r="H1223">
        <v>606502.88</v>
      </c>
      <c r="I1223" t="s">
        <v>1729</v>
      </c>
      <c r="J1223">
        <v>984.68</v>
      </c>
      <c r="K1223">
        <v>492340</v>
      </c>
      <c r="L1223">
        <v>5579.21</v>
      </c>
      <c r="M1223">
        <v>2604.94</v>
      </c>
      <c r="N1223">
        <v>2831.17</v>
      </c>
      <c r="O1223">
        <v>503355.32</v>
      </c>
      <c r="P1223">
        <v>114162.88</v>
      </c>
      <c r="Q1223">
        <v>103147.56</v>
      </c>
      <c r="R1223" t="s">
        <v>65</v>
      </c>
      <c r="S1223">
        <v>606502.88</v>
      </c>
      <c r="T1223">
        <v>0</v>
      </c>
      <c r="U1223" t="s">
        <v>91</v>
      </c>
      <c r="V1223" t="s">
        <v>12</v>
      </c>
      <c r="W1223" t="s">
        <v>80</v>
      </c>
      <c r="X1223" t="s">
        <v>101</v>
      </c>
      <c r="Y1223" t="s">
        <v>22</v>
      </c>
      <c r="Z1223">
        <v>1.89</v>
      </c>
      <c r="AA1223">
        <f t="shared" si="57"/>
        <v>103147.56</v>
      </c>
      <c r="AB1223">
        <f t="shared" si="58"/>
        <v>0.17006936554035817</v>
      </c>
      <c r="AC1223">
        <f t="shared" si="59"/>
        <v>0</v>
      </c>
      <c r="AD1223">
        <v>2024</v>
      </c>
      <c r="AE1223">
        <v>5</v>
      </c>
      <c r="AF1223" t="s">
        <v>76</v>
      </c>
      <c r="AG1223" t="s">
        <v>77</v>
      </c>
    </row>
    <row r="1224" spans="1:33">
      <c r="A1224" t="s">
        <v>1375</v>
      </c>
      <c r="B1224">
        <v>45651</v>
      </c>
      <c r="C1224">
        <v>45660</v>
      </c>
      <c r="D1224" t="s">
        <v>21</v>
      </c>
      <c r="E1224">
        <v>250</v>
      </c>
      <c r="F1224">
        <v>859.71</v>
      </c>
      <c r="G1224">
        <v>1.19</v>
      </c>
      <c r="H1224">
        <v>212369.86</v>
      </c>
      <c r="I1224" t="s">
        <v>1726</v>
      </c>
      <c r="J1224">
        <v>716.29</v>
      </c>
      <c r="K1224">
        <v>179072.5</v>
      </c>
      <c r="L1224">
        <v>3603.4</v>
      </c>
      <c r="M1224">
        <v>1314.56</v>
      </c>
      <c r="N1224">
        <v>9546.2900000000009</v>
      </c>
      <c r="O1224">
        <v>193536.75</v>
      </c>
      <c r="P1224">
        <v>33297.360000000001</v>
      </c>
      <c r="Q1224">
        <v>18833.11</v>
      </c>
      <c r="R1224" t="s">
        <v>65</v>
      </c>
      <c r="S1224">
        <v>212369.86</v>
      </c>
      <c r="T1224">
        <v>0</v>
      </c>
      <c r="U1224" t="s">
        <v>73</v>
      </c>
      <c r="V1224" t="s">
        <v>12</v>
      </c>
      <c r="W1224" t="s">
        <v>67</v>
      </c>
      <c r="X1224" t="s">
        <v>205</v>
      </c>
      <c r="Y1224" t="s">
        <v>24</v>
      </c>
      <c r="Z1224">
        <v>1.61</v>
      </c>
      <c r="AA1224">
        <f t="shared" si="57"/>
        <v>18833.11</v>
      </c>
      <c r="AB1224">
        <f t="shared" si="58"/>
        <v>8.8680710153502956E-2</v>
      </c>
      <c r="AC1224">
        <f t="shared" si="59"/>
        <v>0</v>
      </c>
      <c r="AD1224">
        <v>2024</v>
      </c>
      <c r="AE1224">
        <v>12</v>
      </c>
      <c r="AF1224" t="s">
        <v>98</v>
      </c>
      <c r="AG1224" t="s">
        <v>99</v>
      </c>
    </row>
    <row r="1225" spans="1:33">
      <c r="A1225" t="s">
        <v>1376</v>
      </c>
      <c r="B1225">
        <v>45379</v>
      </c>
      <c r="C1225">
        <v>45391</v>
      </c>
      <c r="D1225" t="s">
        <v>23</v>
      </c>
      <c r="E1225">
        <v>200</v>
      </c>
      <c r="F1225">
        <v>1371.85</v>
      </c>
      <c r="G1225">
        <v>0.17</v>
      </c>
      <c r="H1225">
        <v>273903.57</v>
      </c>
      <c r="I1225" t="s">
        <v>1728</v>
      </c>
      <c r="J1225">
        <v>973.07</v>
      </c>
      <c r="K1225">
        <v>194614</v>
      </c>
      <c r="L1225">
        <v>4655.7700000000004</v>
      </c>
      <c r="M1225">
        <v>578.66999999999996</v>
      </c>
      <c r="N1225">
        <v>3357.1</v>
      </c>
      <c r="O1225">
        <v>203205.54</v>
      </c>
      <c r="P1225">
        <v>79289.570000000007</v>
      </c>
      <c r="Q1225">
        <v>70698.03</v>
      </c>
      <c r="R1225" t="s">
        <v>65</v>
      </c>
      <c r="S1225">
        <v>273903.57</v>
      </c>
      <c r="T1225">
        <v>0</v>
      </c>
      <c r="U1225" t="s">
        <v>73</v>
      </c>
      <c r="V1225" t="s">
        <v>10</v>
      </c>
      <c r="W1225" t="s">
        <v>74</v>
      </c>
      <c r="X1225" t="s">
        <v>108</v>
      </c>
      <c r="Y1225" t="s">
        <v>22</v>
      </c>
      <c r="Z1225">
        <v>0.84</v>
      </c>
      <c r="AA1225">
        <f t="shared" si="57"/>
        <v>70698.03</v>
      </c>
      <c r="AB1225">
        <f t="shared" si="58"/>
        <v>0.25811284606476653</v>
      </c>
      <c r="AC1225">
        <f t="shared" si="59"/>
        <v>0</v>
      </c>
      <c r="AD1225">
        <v>2024</v>
      </c>
      <c r="AE1225">
        <v>3</v>
      </c>
      <c r="AF1225" t="s">
        <v>105</v>
      </c>
      <c r="AG1225" t="s">
        <v>120</v>
      </c>
    </row>
    <row r="1226" spans="1:33">
      <c r="A1226" t="s">
        <v>1377</v>
      </c>
      <c r="B1226">
        <v>45460</v>
      </c>
      <c r="C1226">
        <v>45469</v>
      </c>
      <c r="D1226" t="s">
        <v>21</v>
      </c>
      <c r="E1226">
        <v>200</v>
      </c>
      <c r="F1226">
        <v>908.22</v>
      </c>
      <c r="G1226">
        <v>1.29</v>
      </c>
      <c r="H1226">
        <v>179300.79</v>
      </c>
      <c r="I1226" t="s">
        <v>1728</v>
      </c>
      <c r="J1226">
        <v>733.45</v>
      </c>
      <c r="K1226">
        <v>146690</v>
      </c>
      <c r="L1226">
        <v>4008.79</v>
      </c>
      <c r="M1226">
        <v>400.38</v>
      </c>
      <c r="N1226">
        <v>8218.7999999999993</v>
      </c>
      <c r="O1226">
        <v>159317.97</v>
      </c>
      <c r="P1226">
        <v>32610.79</v>
      </c>
      <c r="Q1226">
        <v>19982.82</v>
      </c>
      <c r="R1226" t="s">
        <v>65</v>
      </c>
      <c r="S1226">
        <v>179300.79</v>
      </c>
      <c r="T1226">
        <v>0</v>
      </c>
      <c r="U1226" t="s">
        <v>73</v>
      </c>
      <c r="V1226" t="s">
        <v>6</v>
      </c>
      <c r="W1226" t="s">
        <v>74</v>
      </c>
      <c r="X1226" t="s">
        <v>123</v>
      </c>
      <c r="Y1226" t="s">
        <v>22</v>
      </c>
      <c r="Z1226">
        <v>0.01</v>
      </c>
      <c r="AA1226">
        <f t="shared" si="57"/>
        <v>19982.82</v>
      </c>
      <c r="AB1226">
        <f t="shared" si="58"/>
        <v>0.11144858870950874</v>
      </c>
      <c r="AC1226">
        <f t="shared" si="59"/>
        <v>0</v>
      </c>
      <c r="AD1226">
        <v>2024</v>
      </c>
      <c r="AE1226">
        <v>6</v>
      </c>
      <c r="AF1226" t="s">
        <v>111</v>
      </c>
      <c r="AG1226" t="s">
        <v>148</v>
      </c>
    </row>
    <row r="1227" spans="1:33">
      <c r="A1227" t="s">
        <v>1378</v>
      </c>
      <c r="B1227">
        <v>45638</v>
      </c>
      <c r="C1227">
        <v>45650</v>
      </c>
      <c r="D1227" t="s">
        <v>27</v>
      </c>
      <c r="E1227">
        <v>200</v>
      </c>
      <c r="F1227">
        <v>758.34</v>
      </c>
      <c r="G1227">
        <v>0.37</v>
      </c>
      <c r="H1227">
        <v>151106.82999999999</v>
      </c>
      <c r="I1227" t="s">
        <v>1726</v>
      </c>
      <c r="J1227">
        <v>591.59</v>
      </c>
      <c r="K1227">
        <v>118318</v>
      </c>
      <c r="L1227">
        <v>2531.4499999999998</v>
      </c>
      <c r="M1227">
        <v>759.41</v>
      </c>
      <c r="N1227">
        <v>1.8</v>
      </c>
      <c r="O1227">
        <v>121610.66</v>
      </c>
      <c r="P1227">
        <v>32788.83</v>
      </c>
      <c r="Q1227">
        <v>29496.17</v>
      </c>
      <c r="R1227" t="s">
        <v>65</v>
      </c>
      <c r="S1227">
        <v>151106.82999999999</v>
      </c>
      <c r="T1227">
        <v>0</v>
      </c>
      <c r="U1227" t="s">
        <v>73</v>
      </c>
      <c r="V1227" t="s">
        <v>12</v>
      </c>
      <c r="W1227" t="s">
        <v>67</v>
      </c>
      <c r="X1227" t="s">
        <v>108</v>
      </c>
      <c r="Y1227" t="s">
        <v>22</v>
      </c>
      <c r="Z1227">
        <v>0.01</v>
      </c>
      <c r="AA1227">
        <f t="shared" si="57"/>
        <v>29496.17</v>
      </c>
      <c r="AB1227">
        <f t="shared" si="58"/>
        <v>0.19520077285718984</v>
      </c>
      <c r="AC1227">
        <f t="shared" si="59"/>
        <v>0</v>
      </c>
      <c r="AD1227">
        <v>2024</v>
      </c>
      <c r="AE1227">
        <v>12</v>
      </c>
      <c r="AF1227" t="s">
        <v>98</v>
      </c>
      <c r="AG1227" t="s">
        <v>99</v>
      </c>
    </row>
    <row r="1228" spans="1:33">
      <c r="A1228" t="s">
        <v>1379</v>
      </c>
      <c r="B1228">
        <v>45860</v>
      </c>
      <c r="D1228" t="s">
        <v>21</v>
      </c>
      <c r="E1228">
        <v>500</v>
      </c>
      <c r="F1228">
        <v>885.62</v>
      </c>
      <c r="G1228">
        <v>0.74</v>
      </c>
      <c r="H1228">
        <v>439533.21</v>
      </c>
      <c r="I1228" t="s">
        <v>1726</v>
      </c>
      <c r="J1228">
        <v>676.92</v>
      </c>
      <c r="K1228">
        <v>338460</v>
      </c>
      <c r="L1228">
        <v>7290.41</v>
      </c>
      <c r="M1228">
        <v>753.43</v>
      </c>
      <c r="N1228">
        <v>2450.1999999999998</v>
      </c>
      <c r="O1228">
        <v>348954.04</v>
      </c>
      <c r="P1228">
        <v>101073.21</v>
      </c>
      <c r="Q1228">
        <v>90579.17</v>
      </c>
      <c r="R1228" t="s">
        <v>65</v>
      </c>
      <c r="S1228">
        <v>439533.21</v>
      </c>
      <c r="T1228">
        <v>0</v>
      </c>
      <c r="U1228" t="s">
        <v>91</v>
      </c>
      <c r="V1228" t="s">
        <v>8</v>
      </c>
      <c r="W1228" t="s">
        <v>67</v>
      </c>
      <c r="X1228" t="s">
        <v>81</v>
      </c>
      <c r="Y1228" t="s">
        <v>24</v>
      </c>
      <c r="Z1228">
        <v>1.24</v>
      </c>
      <c r="AA1228">
        <f t="shared" si="57"/>
        <v>90579.17</v>
      </c>
      <c r="AB1228">
        <f t="shared" si="58"/>
        <v>0.20608037786268754</v>
      </c>
      <c r="AC1228">
        <f t="shared" si="59"/>
        <v>0</v>
      </c>
      <c r="AD1228">
        <v>2025</v>
      </c>
      <c r="AE1228">
        <v>7</v>
      </c>
      <c r="AF1228" t="s">
        <v>69</v>
      </c>
      <c r="AG1228" t="s">
        <v>151</v>
      </c>
    </row>
    <row r="1229" spans="1:33">
      <c r="A1229" t="s">
        <v>1380</v>
      </c>
      <c r="B1229">
        <v>45858</v>
      </c>
      <c r="C1229">
        <v>45871</v>
      </c>
      <c r="D1229" t="s">
        <v>21</v>
      </c>
      <c r="E1229">
        <v>100</v>
      </c>
      <c r="F1229">
        <v>893.53</v>
      </c>
      <c r="G1229">
        <v>0.56999999999999995</v>
      </c>
      <c r="H1229">
        <v>88843.69</v>
      </c>
      <c r="I1229" t="s">
        <v>1726</v>
      </c>
      <c r="J1229">
        <v>720.58</v>
      </c>
      <c r="K1229">
        <v>72058</v>
      </c>
      <c r="L1229">
        <v>1208.57</v>
      </c>
      <c r="M1229">
        <v>291.91000000000003</v>
      </c>
      <c r="N1229">
        <v>6930.76</v>
      </c>
      <c r="O1229">
        <v>80489.240000000005</v>
      </c>
      <c r="P1229">
        <v>16785.689999999999</v>
      </c>
      <c r="Q1229">
        <v>8354.4500000000007</v>
      </c>
      <c r="R1229" t="s">
        <v>85</v>
      </c>
      <c r="S1229">
        <v>47526.080000000002</v>
      </c>
      <c r="T1229">
        <v>41317.61</v>
      </c>
      <c r="U1229" t="s">
        <v>66</v>
      </c>
      <c r="V1229" t="s">
        <v>10</v>
      </c>
      <c r="W1229" t="s">
        <v>92</v>
      </c>
      <c r="X1229" t="s">
        <v>115</v>
      </c>
      <c r="Y1229" t="s">
        <v>22</v>
      </c>
      <c r="Z1229">
        <v>1.44</v>
      </c>
      <c r="AA1229">
        <f t="shared" si="57"/>
        <v>8354.4500000000007</v>
      </c>
      <c r="AB1229">
        <f t="shared" si="58"/>
        <v>9.4035378314430665E-2</v>
      </c>
      <c r="AC1229">
        <f t="shared" si="59"/>
        <v>0</v>
      </c>
      <c r="AD1229">
        <v>2025</v>
      </c>
      <c r="AE1229">
        <v>7</v>
      </c>
      <c r="AF1229" t="s">
        <v>69</v>
      </c>
      <c r="AG1229" t="s">
        <v>151</v>
      </c>
    </row>
    <row r="1230" spans="1:33">
      <c r="A1230" t="s">
        <v>1381</v>
      </c>
      <c r="B1230">
        <v>45776</v>
      </c>
      <c r="C1230">
        <v>45782</v>
      </c>
      <c r="D1230" t="s">
        <v>21</v>
      </c>
      <c r="E1230">
        <v>250</v>
      </c>
      <c r="F1230">
        <v>931.67</v>
      </c>
      <c r="G1230">
        <v>1.71</v>
      </c>
      <c r="H1230">
        <v>228934.61</v>
      </c>
      <c r="I1230" t="s">
        <v>1726</v>
      </c>
      <c r="J1230">
        <v>751.16</v>
      </c>
      <c r="K1230">
        <v>187790</v>
      </c>
      <c r="L1230">
        <v>4445.5200000000004</v>
      </c>
      <c r="M1230">
        <v>716.19</v>
      </c>
      <c r="N1230">
        <v>8152.14</v>
      </c>
      <c r="O1230">
        <v>201103.85</v>
      </c>
      <c r="P1230">
        <v>41144.61</v>
      </c>
      <c r="Q1230">
        <v>27830.76</v>
      </c>
      <c r="R1230" t="s">
        <v>65</v>
      </c>
      <c r="S1230">
        <v>228934.61</v>
      </c>
      <c r="T1230">
        <v>0</v>
      </c>
      <c r="U1230" t="s">
        <v>66</v>
      </c>
      <c r="V1230" t="s">
        <v>16</v>
      </c>
      <c r="W1230" t="s">
        <v>67</v>
      </c>
      <c r="X1230" t="s">
        <v>195</v>
      </c>
      <c r="Y1230" t="s">
        <v>26</v>
      </c>
      <c r="Z1230">
        <v>0.03</v>
      </c>
      <c r="AA1230">
        <f t="shared" si="57"/>
        <v>27830.76</v>
      </c>
      <c r="AB1230">
        <f t="shared" si="58"/>
        <v>0.12156641584249755</v>
      </c>
      <c r="AC1230">
        <f t="shared" si="59"/>
        <v>0</v>
      </c>
      <c r="AD1230">
        <v>2025</v>
      </c>
      <c r="AE1230">
        <v>4</v>
      </c>
      <c r="AF1230" t="s">
        <v>154</v>
      </c>
      <c r="AG1230" t="s">
        <v>155</v>
      </c>
    </row>
    <row r="1231" spans="1:33">
      <c r="A1231" t="s">
        <v>1382</v>
      </c>
      <c r="B1231">
        <v>45933</v>
      </c>
      <c r="C1231">
        <v>45947</v>
      </c>
      <c r="D1231" t="s">
        <v>29</v>
      </c>
      <c r="E1231">
        <v>100</v>
      </c>
      <c r="F1231">
        <v>3113.24</v>
      </c>
      <c r="G1231">
        <v>1.1200000000000001</v>
      </c>
      <c r="H1231">
        <v>307837.17</v>
      </c>
      <c r="I1231" t="s">
        <v>1726</v>
      </c>
      <c r="J1231">
        <v>2441.2800000000002</v>
      </c>
      <c r="K1231">
        <v>244128</v>
      </c>
      <c r="L1231">
        <v>662.59</v>
      </c>
      <c r="M1231">
        <v>300.14999999999998</v>
      </c>
      <c r="N1231">
        <v>5486.23</v>
      </c>
      <c r="O1231">
        <v>250576.97</v>
      </c>
      <c r="P1231">
        <v>63709.17</v>
      </c>
      <c r="Q1231">
        <v>57260.2</v>
      </c>
      <c r="R1231" t="s">
        <v>85</v>
      </c>
      <c r="S1231">
        <v>201723.84</v>
      </c>
      <c r="T1231">
        <v>106113.33</v>
      </c>
      <c r="U1231" t="s">
        <v>66</v>
      </c>
      <c r="V1231" t="s">
        <v>8</v>
      </c>
      <c r="W1231" t="s">
        <v>74</v>
      </c>
      <c r="X1231" t="s">
        <v>275</v>
      </c>
      <c r="Y1231" t="s">
        <v>31</v>
      </c>
      <c r="Z1231">
        <v>1.05</v>
      </c>
      <c r="AA1231">
        <f t="shared" si="57"/>
        <v>57260.2</v>
      </c>
      <c r="AB1231">
        <f t="shared" si="58"/>
        <v>0.18600807693236004</v>
      </c>
      <c r="AC1231">
        <f t="shared" si="59"/>
        <v>0</v>
      </c>
      <c r="AD1231">
        <v>2025</v>
      </c>
      <c r="AE1231">
        <v>10</v>
      </c>
      <c r="AF1231" t="s">
        <v>138</v>
      </c>
      <c r="AG1231" t="s">
        <v>160</v>
      </c>
    </row>
    <row r="1232" spans="1:33">
      <c r="A1232" t="s">
        <v>1383</v>
      </c>
      <c r="B1232">
        <v>45650</v>
      </c>
      <c r="C1232">
        <v>45664</v>
      </c>
      <c r="D1232" t="s">
        <v>23</v>
      </c>
      <c r="E1232">
        <v>200</v>
      </c>
      <c r="F1232">
        <v>1304.54</v>
      </c>
      <c r="G1232">
        <v>0.65</v>
      </c>
      <c r="H1232">
        <v>259212.1</v>
      </c>
      <c r="I1232" t="s">
        <v>1727</v>
      </c>
      <c r="J1232">
        <v>1052.81</v>
      </c>
      <c r="K1232">
        <v>210562</v>
      </c>
      <c r="L1232">
        <v>4386.1499999999996</v>
      </c>
      <c r="M1232">
        <v>1006.22</v>
      </c>
      <c r="N1232">
        <v>5300.97</v>
      </c>
      <c r="O1232">
        <v>221255.34</v>
      </c>
      <c r="P1232">
        <v>48650.1</v>
      </c>
      <c r="Q1232">
        <v>37956.76</v>
      </c>
      <c r="R1232" t="s">
        <v>65</v>
      </c>
      <c r="S1232">
        <v>259212.1</v>
      </c>
      <c r="T1232">
        <v>0</v>
      </c>
      <c r="U1232" t="s">
        <v>66</v>
      </c>
      <c r="V1232" t="s">
        <v>14</v>
      </c>
      <c r="W1232" t="s">
        <v>80</v>
      </c>
      <c r="X1232" t="s">
        <v>125</v>
      </c>
      <c r="Y1232" t="s">
        <v>24</v>
      </c>
      <c r="Z1232">
        <v>0.85</v>
      </c>
      <c r="AA1232">
        <f t="shared" si="57"/>
        <v>37956.76</v>
      </c>
      <c r="AB1232">
        <f t="shared" si="58"/>
        <v>0.14643128156440227</v>
      </c>
      <c r="AC1232">
        <f t="shared" si="59"/>
        <v>0</v>
      </c>
      <c r="AD1232">
        <v>2024</v>
      </c>
      <c r="AE1232">
        <v>12</v>
      </c>
      <c r="AF1232" t="s">
        <v>98</v>
      </c>
      <c r="AG1232" t="s">
        <v>99</v>
      </c>
    </row>
    <row r="1233" spans="1:33">
      <c r="A1233" t="s">
        <v>1384</v>
      </c>
      <c r="B1233">
        <v>45620</v>
      </c>
      <c r="C1233">
        <v>45625</v>
      </c>
      <c r="D1233" t="s">
        <v>23</v>
      </c>
      <c r="E1233">
        <v>200</v>
      </c>
      <c r="F1233">
        <v>1270.4000000000001</v>
      </c>
      <c r="G1233">
        <v>2.41</v>
      </c>
      <c r="H1233">
        <v>247956.67</v>
      </c>
      <c r="I1233" t="s">
        <v>1727</v>
      </c>
      <c r="J1233">
        <v>1099.47</v>
      </c>
      <c r="K1233">
        <v>219894</v>
      </c>
      <c r="L1233">
        <v>1115.51</v>
      </c>
      <c r="M1233">
        <v>1054.3800000000001</v>
      </c>
      <c r="N1233">
        <v>95.07</v>
      </c>
      <c r="O1233">
        <v>222158.96</v>
      </c>
      <c r="P1233">
        <v>28062.67</v>
      </c>
      <c r="Q1233">
        <v>25797.71</v>
      </c>
      <c r="R1233" t="s">
        <v>85</v>
      </c>
      <c r="S1233">
        <v>173930.38</v>
      </c>
      <c r="T1233">
        <v>74026.289999999994</v>
      </c>
      <c r="U1233" t="s">
        <v>73</v>
      </c>
      <c r="V1233" t="s">
        <v>14</v>
      </c>
      <c r="W1233" t="s">
        <v>80</v>
      </c>
      <c r="X1233" t="s">
        <v>89</v>
      </c>
      <c r="Y1233" t="s">
        <v>28</v>
      </c>
      <c r="Z1233">
        <v>0.52</v>
      </c>
      <c r="AA1233">
        <f t="shared" si="57"/>
        <v>25797.71</v>
      </c>
      <c r="AB1233">
        <f t="shared" si="58"/>
        <v>0.10404120203743661</v>
      </c>
      <c r="AC1233">
        <f t="shared" si="59"/>
        <v>0</v>
      </c>
      <c r="AD1233">
        <v>2024</v>
      </c>
      <c r="AE1233">
        <v>11</v>
      </c>
      <c r="AF1233" t="s">
        <v>128</v>
      </c>
      <c r="AG1233" t="s">
        <v>129</v>
      </c>
    </row>
    <row r="1234" spans="1:33">
      <c r="A1234" t="s">
        <v>1385</v>
      </c>
      <c r="B1234">
        <v>45298</v>
      </c>
      <c r="C1234">
        <v>45303</v>
      </c>
      <c r="D1234" t="s">
        <v>21</v>
      </c>
      <c r="E1234">
        <v>750</v>
      </c>
      <c r="F1234">
        <v>865.27</v>
      </c>
      <c r="G1234">
        <v>2.81</v>
      </c>
      <c r="H1234">
        <v>630716.93000000005</v>
      </c>
      <c r="I1234" t="s">
        <v>1727</v>
      </c>
      <c r="J1234">
        <v>735.97</v>
      </c>
      <c r="K1234">
        <v>551977.5</v>
      </c>
      <c r="L1234">
        <v>17889.61</v>
      </c>
      <c r="M1234">
        <v>3600.55</v>
      </c>
      <c r="N1234">
        <v>4549.08</v>
      </c>
      <c r="O1234">
        <v>578016.74</v>
      </c>
      <c r="P1234">
        <v>78739.429999999993</v>
      </c>
      <c r="Q1234">
        <v>52700.19</v>
      </c>
      <c r="R1234" t="s">
        <v>65</v>
      </c>
      <c r="S1234">
        <v>630716.93000000005</v>
      </c>
      <c r="T1234">
        <v>0</v>
      </c>
      <c r="U1234" t="s">
        <v>73</v>
      </c>
      <c r="V1234" t="s">
        <v>12</v>
      </c>
      <c r="W1234" t="s">
        <v>92</v>
      </c>
      <c r="X1234" t="s">
        <v>75</v>
      </c>
      <c r="Y1234" t="s">
        <v>28</v>
      </c>
      <c r="Z1234">
        <v>0.22</v>
      </c>
      <c r="AA1234">
        <f t="shared" si="57"/>
        <v>52700.19</v>
      </c>
      <c r="AB1234">
        <f t="shared" si="58"/>
        <v>8.3556009825200034E-2</v>
      </c>
      <c r="AC1234">
        <f t="shared" si="59"/>
        <v>0</v>
      </c>
      <c r="AD1234">
        <v>2024</v>
      </c>
      <c r="AE1234">
        <v>1</v>
      </c>
      <c r="AF1234" t="s">
        <v>102</v>
      </c>
      <c r="AG1234" t="s">
        <v>103</v>
      </c>
    </row>
    <row r="1235" spans="1:33">
      <c r="A1235" t="s">
        <v>1386</v>
      </c>
      <c r="B1235">
        <v>45689</v>
      </c>
      <c r="C1235">
        <v>45701</v>
      </c>
      <c r="D1235" t="s">
        <v>21</v>
      </c>
      <c r="E1235">
        <v>250</v>
      </c>
      <c r="F1235">
        <v>850.62</v>
      </c>
      <c r="G1235">
        <v>1.97</v>
      </c>
      <c r="H1235">
        <v>208465.7</v>
      </c>
      <c r="I1235" t="s">
        <v>1727</v>
      </c>
      <c r="J1235">
        <v>735.88</v>
      </c>
      <c r="K1235">
        <v>183970</v>
      </c>
      <c r="L1235">
        <v>2313.29</v>
      </c>
      <c r="M1235">
        <v>1192.4000000000001</v>
      </c>
      <c r="N1235">
        <v>6226.63</v>
      </c>
      <c r="O1235">
        <v>193702.32</v>
      </c>
      <c r="P1235">
        <v>24495.7</v>
      </c>
      <c r="Q1235">
        <v>14763.38</v>
      </c>
      <c r="R1235" t="s">
        <v>65</v>
      </c>
      <c r="S1235">
        <v>208465.7</v>
      </c>
      <c r="T1235">
        <v>0</v>
      </c>
      <c r="U1235" t="s">
        <v>73</v>
      </c>
      <c r="V1235" t="s">
        <v>8</v>
      </c>
      <c r="W1235" t="s">
        <v>80</v>
      </c>
      <c r="X1235" t="s">
        <v>127</v>
      </c>
      <c r="Y1235" t="s">
        <v>22</v>
      </c>
      <c r="Z1235">
        <v>0.26</v>
      </c>
      <c r="AA1235">
        <f t="shared" si="57"/>
        <v>14763.38</v>
      </c>
      <c r="AB1235">
        <f t="shared" si="58"/>
        <v>7.0819228295110406E-2</v>
      </c>
      <c r="AC1235">
        <f t="shared" si="59"/>
        <v>0</v>
      </c>
      <c r="AD1235">
        <v>2025</v>
      </c>
      <c r="AE1235">
        <v>2</v>
      </c>
      <c r="AF1235" t="s">
        <v>172</v>
      </c>
      <c r="AG1235" t="s">
        <v>244</v>
      </c>
    </row>
    <row r="1236" spans="1:33">
      <c r="A1236" t="s">
        <v>1387</v>
      </c>
      <c r="B1236">
        <v>45856</v>
      </c>
      <c r="C1236">
        <v>45860</v>
      </c>
      <c r="D1236" t="s">
        <v>23</v>
      </c>
      <c r="E1236">
        <v>1200</v>
      </c>
      <c r="F1236">
        <v>1167.7</v>
      </c>
      <c r="G1236">
        <v>1.8</v>
      </c>
      <c r="H1236">
        <v>1376017.68</v>
      </c>
      <c r="I1236" t="s">
        <v>1727</v>
      </c>
      <c r="J1236">
        <v>1063.28</v>
      </c>
      <c r="K1236">
        <v>1275936</v>
      </c>
      <c r="L1236">
        <v>10238.68</v>
      </c>
      <c r="M1236">
        <v>5239.88</v>
      </c>
      <c r="N1236">
        <v>9757.69</v>
      </c>
      <c r="O1236">
        <v>1301172.25</v>
      </c>
      <c r="P1236">
        <v>100081.68</v>
      </c>
      <c r="Q1236">
        <v>74845.429999999993</v>
      </c>
      <c r="R1236" t="s">
        <v>85</v>
      </c>
      <c r="S1236">
        <v>352932.53</v>
      </c>
      <c r="T1236">
        <v>1023085.15</v>
      </c>
      <c r="U1236" t="s">
        <v>66</v>
      </c>
      <c r="V1236" t="s">
        <v>6</v>
      </c>
      <c r="W1236" t="s">
        <v>74</v>
      </c>
      <c r="X1236" t="s">
        <v>101</v>
      </c>
      <c r="Y1236" t="s">
        <v>22</v>
      </c>
      <c r="Z1236">
        <v>2.19</v>
      </c>
      <c r="AA1236">
        <f t="shared" si="57"/>
        <v>74845.429999999993</v>
      </c>
      <c r="AB1236">
        <f t="shared" si="58"/>
        <v>5.4392782220647043E-2</v>
      </c>
      <c r="AC1236">
        <f t="shared" si="59"/>
        <v>0</v>
      </c>
      <c r="AD1236">
        <v>2025</v>
      </c>
      <c r="AE1236">
        <v>7</v>
      </c>
      <c r="AF1236" t="s">
        <v>69</v>
      </c>
      <c r="AG1236" t="s">
        <v>151</v>
      </c>
    </row>
    <row r="1237" spans="1:33">
      <c r="A1237" t="s">
        <v>1388</v>
      </c>
      <c r="B1237">
        <v>45821</v>
      </c>
      <c r="C1237">
        <v>45824</v>
      </c>
      <c r="D1237" t="s">
        <v>21</v>
      </c>
      <c r="E1237">
        <v>200</v>
      </c>
      <c r="F1237">
        <v>876.71</v>
      </c>
      <c r="G1237">
        <v>2.02</v>
      </c>
      <c r="H1237">
        <v>171800.09</v>
      </c>
      <c r="I1237" t="s">
        <v>1726</v>
      </c>
      <c r="J1237">
        <v>732.3</v>
      </c>
      <c r="K1237">
        <v>146460</v>
      </c>
      <c r="L1237">
        <v>1139.56</v>
      </c>
      <c r="M1237">
        <v>1136.24</v>
      </c>
      <c r="N1237">
        <v>1249.3800000000001</v>
      </c>
      <c r="O1237">
        <v>149985.18</v>
      </c>
      <c r="P1237">
        <v>25340.09</v>
      </c>
      <c r="Q1237">
        <v>21814.91</v>
      </c>
      <c r="R1237" t="s">
        <v>65</v>
      </c>
      <c r="S1237">
        <v>171800.09</v>
      </c>
      <c r="T1237">
        <v>0</v>
      </c>
      <c r="U1237" t="s">
        <v>66</v>
      </c>
      <c r="V1237" t="s">
        <v>12</v>
      </c>
      <c r="W1237" t="s">
        <v>141</v>
      </c>
      <c r="X1237" t="s">
        <v>93</v>
      </c>
      <c r="Y1237" t="s">
        <v>26</v>
      </c>
      <c r="Z1237">
        <v>2.25</v>
      </c>
      <c r="AA1237">
        <f t="shared" si="57"/>
        <v>21814.91</v>
      </c>
      <c r="AB1237">
        <f t="shared" si="58"/>
        <v>0.12697845501710739</v>
      </c>
      <c r="AC1237">
        <f t="shared" si="59"/>
        <v>0</v>
      </c>
      <c r="AD1237">
        <v>2025</v>
      </c>
      <c r="AE1237">
        <v>6</v>
      </c>
      <c r="AF1237" t="s">
        <v>111</v>
      </c>
      <c r="AG1237" t="s">
        <v>112</v>
      </c>
    </row>
    <row r="1238" spans="1:33">
      <c r="A1238" t="s">
        <v>1389</v>
      </c>
      <c r="B1238">
        <v>45646</v>
      </c>
      <c r="C1238">
        <v>45654</v>
      </c>
      <c r="D1238" t="s">
        <v>21</v>
      </c>
      <c r="E1238">
        <v>500</v>
      </c>
      <c r="F1238">
        <v>906.78</v>
      </c>
      <c r="G1238">
        <v>3.24</v>
      </c>
      <c r="H1238">
        <v>438700.16</v>
      </c>
      <c r="I1238" t="s">
        <v>1727</v>
      </c>
      <c r="J1238">
        <v>683.89</v>
      </c>
      <c r="K1238">
        <v>341945</v>
      </c>
      <c r="L1238">
        <v>4620.42</v>
      </c>
      <c r="M1238">
        <v>2606.33</v>
      </c>
      <c r="N1238">
        <v>6989.64</v>
      </c>
      <c r="O1238">
        <v>356161.39</v>
      </c>
      <c r="P1238">
        <v>96755.16</v>
      </c>
      <c r="Q1238">
        <v>82538.77</v>
      </c>
      <c r="R1238" t="s">
        <v>85</v>
      </c>
      <c r="S1238">
        <v>120274.16</v>
      </c>
      <c r="T1238">
        <v>318426</v>
      </c>
      <c r="U1238" t="s">
        <v>73</v>
      </c>
      <c r="V1238" t="s">
        <v>16</v>
      </c>
      <c r="W1238" t="s">
        <v>80</v>
      </c>
      <c r="X1238" t="s">
        <v>108</v>
      </c>
      <c r="Y1238" t="s">
        <v>22</v>
      </c>
      <c r="Z1238">
        <v>2.02</v>
      </c>
      <c r="AA1238">
        <f t="shared" si="57"/>
        <v>82538.77</v>
      </c>
      <c r="AB1238">
        <f t="shared" si="58"/>
        <v>0.18814392499879645</v>
      </c>
      <c r="AC1238">
        <f t="shared" si="59"/>
        <v>0</v>
      </c>
      <c r="AD1238">
        <v>2024</v>
      </c>
      <c r="AE1238">
        <v>12</v>
      </c>
      <c r="AF1238" t="s">
        <v>98</v>
      </c>
      <c r="AG1238" t="s">
        <v>99</v>
      </c>
    </row>
    <row r="1239" spans="1:33">
      <c r="A1239" t="s">
        <v>1390</v>
      </c>
      <c r="B1239">
        <v>45480</v>
      </c>
      <c r="C1239">
        <v>45492</v>
      </c>
      <c r="D1239" t="s">
        <v>23</v>
      </c>
      <c r="E1239">
        <v>500</v>
      </c>
      <c r="F1239">
        <v>1234.1400000000001</v>
      </c>
      <c r="G1239">
        <v>3.8</v>
      </c>
      <c r="H1239">
        <v>593621.34</v>
      </c>
      <c r="I1239" t="s">
        <v>1727</v>
      </c>
      <c r="J1239">
        <v>991.49</v>
      </c>
      <c r="K1239">
        <v>495745</v>
      </c>
      <c r="L1239">
        <v>7863.81</v>
      </c>
      <c r="M1239">
        <v>1188.6400000000001</v>
      </c>
      <c r="N1239">
        <v>7502.87</v>
      </c>
      <c r="O1239">
        <v>512300.32</v>
      </c>
      <c r="P1239">
        <v>97876.34</v>
      </c>
      <c r="Q1239">
        <v>81321.02</v>
      </c>
      <c r="R1239" t="s">
        <v>134</v>
      </c>
      <c r="S1239">
        <v>0</v>
      </c>
      <c r="T1239">
        <v>593621.34</v>
      </c>
      <c r="U1239" t="s">
        <v>73</v>
      </c>
      <c r="V1239" t="s">
        <v>6</v>
      </c>
      <c r="W1239" t="s">
        <v>80</v>
      </c>
      <c r="X1239" t="s">
        <v>81</v>
      </c>
      <c r="Y1239" t="s">
        <v>24</v>
      </c>
      <c r="Z1239">
        <v>1.82</v>
      </c>
      <c r="AA1239">
        <f t="shared" si="57"/>
        <v>81321.02</v>
      </c>
      <c r="AB1239">
        <f t="shared" si="58"/>
        <v>0.13699140263387433</v>
      </c>
      <c r="AC1239">
        <f t="shared" si="59"/>
        <v>0</v>
      </c>
      <c r="AD1239">
        <v>2024</v>
      </c>
      <c r="AE1239">
        <v>7</v>
      </c>
      <c r="AF1239" t="s">
        <v>69</v>
      </c>
      <c r="AG1239" t="s">
        <v>70</v>
      </c>
    </row>
    <row r="1240" spans="1:33">
      <c r="A1240" t="s">
        <v>1391</v>
      </c>
      <c r="B1240">
        <v>45967</v>
      </c>
      <c r="C1240">
        <v>45970</v>
      </c>
      <c r="D1240" t="s">
        <v>23</v>
      </c>
      <c r="E1240">
        <v>50</v>
      </c>
      <c r="F1240">
        <v>1285.5</v>
      </c>
      <c r="G1240">
        <v>1.03</v>
      </c>
      <c r="H1240">
        <v>63612.97</v>
      </c>
      <c r="I1240" t="s">
        <v>1727</v>
      </c>
      <c r="J1240">
        <v>1055.17</v>
      </c>
      <c r="K1240">
        <v>52758.5</v>
      </c>
      <c r="L1240">
        <v>1099.4100000000001</v>
      </c>
      <c r="M1240">
        <v>202.53</v>
      </c>
      <c r="N1240">
        <v>5852.88</v>
      </c>
      <c r="O1240">
        <v>59913.32</v>
      </c>
      <c r="P1240">
        <v>10854.47</v>
      </c>
      <c r="Q1240">
        <v>3699.65</v>
      </c>
      <c r="R1240" t="s">
        <v>85</v>
      </c>
      <c r="S1240">
        <v>31730.02</v>
      </c>
      <c r="T1240">
        <v>31882.95</v>
      </c>
      <c r="U1240" t="s">
        <v>66</v>
      </c>
      <c r="V1240" t="s">
        <v>10</v>
      </c>
      <c r="W1240" t="s">
        <v>67</v>
      </c>
      <c r="X1240" t="s">
        <v>93</v>
      </c>
      <c r="Y1240" t="s">
        <v>26</v>
      </c>
      <c r="Z1240">
        <v>2.2000000000000002</v>
      </c>
      <c r="AA1240">
        <f t="shared" si="57"/>
        <v>3699.65</v>
      </c>
      <c r="AB1240">
        <f t="shared" si="58"/>
        <v>5.8158737125463565E-2</v>
      </c>
      <c r="AC1240">
        <f t="shared" si="59"/>
        <v>0</v>
      </c>
      <c r="AD1240">
        <v>2025</v>
      </c>
      <c r="AE1240">
        <v>11</v>
      </c>
      <c r="AF1240" t="s">
        <v>128</v>
      </c>
      <c r="AG1240" t="s">
        <v>135</v>
      </c>
    </row>
    <row r="1241" spans="1:33">
      <c r="A1241" t="s">
        <v>1392</v>
      </c>
      <c r="B1241">
        <v>45478</v>
      </c>
      <c r="C1241">
        <v>45481</v>
      </c>
      <c r="D1241" t="s">
        <v>21</v>
      </c>
      <c r="E1241">
        <v>300</v>
      </c>
      <c r="F1241">
        <v>803.51</v>
      </c>
      <c r="G1241">
        <v>0.53</v>
      </c>
      <c r="H1241">
        <v>239775.42</v>
      </c>
      <c r="I1241" t="s">
        <v>1728</v>
      </c>
      <c r="J1241">
        <v>735.22</v>
      </c>
      <c r="K1241">
        <v>220566</v>
      </c>
      <c r="L1241">
        <v>2922.86</v>
      </c>
      <c r="M1241">
        <v>707.04</v>
      </c>
      <c r="N1241">
        <v>749.19</v>
      </c>
      <c r="O1241">
        <v>224945.09</v>
      </c>
      <c r="P1241">
        <v>19209.419999999998</v>
      </c>
      <c r="Q1241">
        <v>14830.33</v>
      </c>
      <c r="R1241" t="s">
        <v>85</v>
      </c>
      <c r="S1241">
        <v>200093.31</v>
      </c>
      <c r="T1241">
        <v>39682.11</v>
      </c>
      <c r="U1241" t="s">
        <v>66</v>
      </c>
      <c r="V1241" t="s">
        <v>14</v>
      </c>
      <c r="W1241" t="s">
        <v>80</v>
      </c>
      <c r="X1241" t="s">
        <v>81</v>
      </c>
      <c r="Y1241" t="s">
        <v>24</v>
      </c>
      <c r="Z1241">
        <v>1.79</v>
      </c>
      <c r="AA1241">
        <f t="shared" si="57"/>
        <v>14830.33</v>
      </c>
      <c r="AB1241">
        <f t="shared" si="58"/>
        <v>6.185091866380632E-2</v>
      </c>
      <c r="AC1241">
        <f t="shared" si="59"/>
        <v>0</v>
      </c>
      <c r="AD1241">
        <v>2024</v>
      </c>
      <c r="AE1241">
        <v>7</v>
      </c>
      <c r="AF1241" t="s">
        <v>69</v>
      </c>
      <c r="AG1241" t="s">
        <v>70</v>
      </c>
    </row>
    <row r="1242" spans="1:33">
      <c r="A1242" t="s">
        <v>1393</v>
      </c>
      <c r="B1242">
        <v>45664</v>
      </c>
      <c r="C1242">
        <v>45674</v>
      </c>
      <c r="D1242" t="s">
        <v>21</v>
      </c>
      <c r="E1242">
        <v>1000</v>
      </c>
      <c r="F1242">
        <v>926.16</v>
      </c>
      <c r="G1242">
        <v>1.29</v>
      </c>
      <c r="H1242">
        <v>914212.54</v>
      </c>
      <c r="I1242" t="s">
        <v>1726</v>
      </c>
      <c r="J1242">
        <v>749.3</v>
      </c>
      <c r="K1242">
        <v>749300</v>
      </c>
      <c r="L1242">
        <v>18312.849999999999</v>
      </c>
      <c r="M1242">
        <v>3628.04</v>
      </c>
      <c r="N1242">
        <v>2151.73</v>
      </c>
      <c r="O1242">
        <v>773392.62</v>
      </c>
      <c r="P1242">
        <v>164912.54</v>
      </c>
      <c r="Q1242">
        <v>140819.92000000001</v>
      </c>
      <c r="R1242" t="s">
        <v>65</v>
      </c>
      <c r="S1242">
        <v>914212.54</v>
      </c>
      <c r="T1242">
        <v>0</v>
      </c>
      <c r="U1242" t="s">
        <v>66</v>
      </c>
      <c r="V1242" t="s">
        <v>12</v>
      </c>
      <c r="W1242" t="s">
        <v>92</v>
      </c>
      <c r="X1242" t="s">
        <v>275</v>
      </c>
      <c r="Y1242" t="s">
        <v>31</v>
      </c>
      <c r="Z1242">
        <v>1.04</v>
      </c>
      <c r="AA1242">
        <f t="shared" si="57"/>
        <v>140819.92000000001</v>
      </c>
      <c r="AB1242">
        <f t="shared" si="58"/>
        <v>0.15403411552416466</v>
      </c>
      <c r="AC1242">
        <f t="shared" si="59"/>
        <v>0</v>
      </c>
      <c r="AD1242">
        <v>2025</v>
      </c>
      <c r="AE1242">
        <v>1</v>
      </c>
      <c r="AF1242" t="s">
        <v>102</v>
      </c>
      <c r="AG1242" t="s">
        <v>118</v>
      </c>
    </row>
    <row r="1243" spans="1:33">
      <c r="A1243" t="s">
        <v>1394</v>
      </c>
      <c r="B1243">
        <v>45418</v>
      </c>
      <c r="C1243">
        <v>45420</v>
      </c>
      <c r="D1243" t="s">
        <v>21</v>
      </c>
      <c r="E1243">
        <v>1000</v>
      </c>
      <c r="F1243">
        <v>849.63</v>
      </c>
      <c r="G1243">
        <v>4.3099999999999996</v>
      </c>
      <c r="H1243">
        <v>813010.95</v>
      </c>
      <c r="I1243" t="s">
        <v>1726</v>
      </c>
      <c r="J1243">
        <v>690.31</v>
      </c>
      <c r="K1243">
        <v>690310</v>
      </c>
      <c r="L1243">
        <v>14830.23</v>
      </c>
      <c r="M1243">
        <v>3348.8</v>
      </c>
      <c r="N1243">
        <v>2665.31</v>
      </c>
      <c r="O1243">
        <v>711154.34</v>
      </c>
      <c r="P1243">
        <v>122700.95</v>
      </c>
      <c r="Q1243">
        <v>101856.61</v>
      </c>
      <c r="R1243" t="s">
        <v>65</v>
      </c>
      <c r="S1243">
        <v>813010.95</v>
      </c>
      <c r="T1243">
        <v>0</v>
      </c>
      <c r="U1243" t="s">
        <v>66</v>
      </c>
      <c r="V1243" t="s">
        <v>14</v>
      </c>
      <c r="W1243" t="s">
        <v>92</v>
      </c>
      <c r="X1243" t="s">
        <v>81</v>
      </c>
      <c r="Y1243" t="s">
        <v>24</v>
      </c>
      <c r="Z1243">
        <v>0.49</v>
      </c>
      <c r="AA1243">
        <f t="shared" si="57"/>
        <v>101856.61</v>
      </c>
      <c r="AB1243">
        <f t="shared" si="58"/>
        <v>0.12528319575523553</v>
      </c>
      <c r="AC1243">
        <f t="shared" si="59"/>
        <v>0</v>
      </c>
      <c r="AD1243">
        <v>2024</v>
      </c>
      <c r="AE1243">
        <v>5</v>
      </c>
      <c r="AF1243" t="s">
        <v>76</v>
      </c>
      <c r="AG1243" t="s">
        <v>77</v>
      </c>
    </row>
    <row r="1244" spans="1:33">
      <c r="A1244" t="s">
        <v>1395</v>
      </c>
      <c r="B1244">
        <v>45878</v>
      </c>
      <c r="C1244">
        <v>45886</v>
      </c>
      <c r="D1244" t="s">
        <v>23</v>
      </c>
      <c r="E1244">
        <v>50</v>
      </c>
      <c r="F1244">
        <v>1355.51</v>
      </c>
      <c r="G1244">
        <v>0.34</v>
      </c>
      <c r="H1244">
        <v>67545.06</v>
      </c>
      <c r="I1244" t="s">
        <v>1726</v>
      </c>
      <c r="J1244">
        <v>1118.97</v>
      </c>
      <c r="K1244">
        <v>55948.5</v>
      </c>
      <c r="L1244">
        <v>809.97</v>
      </c>
      <c r="M1244">
        <v>233.7</v>
      </c>
      <c r="N1244">
        <v>5526.42</v>
      </c>
      <c r="O1244">
        <v>62518.59</v>
      </c>
      <c r="P1244">
        <v>11596.56</v>
      </c>
      <c r="Q1244">
        <v>5026.47</v>
      </c>
      <c r="R1244" t="s">
        <v>85</v>
      </c>
      <c r="S1244">
        <v>43284.51</v>
      </c>
      <c r="T1244">
        <v>24260.55</v>
      </c>
      <c r="U1244" t="s">
        <v>66</v>
      </c>
      <c r="V1244" t="s">
        <v>16</v>
      </c>
      <c r="W1244" t="s">
        <v>74</v>
      </c>
      <c r="X1244" t="s">
        <v>81</v>
      </c>
      <c r="Y1244" t="s">
        <v>24</v>
      </c>
      <c r="Z1244">
        <v>1.34</v>
      </c>
      <c r="AA1244">
        <f t="shared" si="57"/>
        <v>5026.47</v>
      </c>
      <c r="AB1244">
        <f t="shared" si="58"/>
        <v>7.4416545044152752E-2</v>
      </c>
      <c r="AC1244">
        <f t="shared" si="59"/>
        <v>0</v>
      </c>
      <c r="AD1244">
        <v>2025</v>
      </c>
      <c r="AE1244">
        <v>8</v>
      </c>
      <c r="AF1244" t="s">
        <v>82</v>
      </c>
      <c r="AG1244" t="s">
        <v>87</v>
      </c>
    </row>
    <row r="1245" spans="1:33">
      <c r="A1245" t="s">
        <v>1396</v>
      </c>
      <c r="B1245">
        <v>45686</v>
      </c>
      <c r="C1245">
        <v>45692</v>
      </c>
      <c r="D1245" t="s">
        <v>21</v>
      </c>
      <c r="E1245">
        <v>200</v>
      </c>
      <c r="F1245">
        <v>888.91</v>
      </c>
      <c r="G1245">
        <v>1.19</v>
      </c>
      <c r="H1245">
        <v>175666.39</v>
      </c>
      <c r="I1245" t="s">
        <v>1728</v>
      </c>
      <c r="J1245">
        <v>748.23</v>
      </c>
      <c r="K1245">
        <v>149646</v>
      </c>
      <c r="L1245">
        <v>1571.16</v>
      </c>
      <c r="M1245">
        <v>965.6</v>
      </c>
      <c r="N1245">
        <v>4141.8599999999997</v>
      </c>
      <c r="O1245">
        <v>156324.62</v>
      </c>
      <c r="P1245">
        <v>26020.39</v>
      </c>
      <c r="Q1245">
        <v>19341.77</v>
      </c>
      <c r="R1245" t="s">
        <v>65</v>
      </c>
      <c r="S1245">
        <v>175666.39</v>
      </c>
      <c r="T1245">
        <v>0</v>
      </c>
      <c r="U1245" t="s">
        <v>66</v>
      </c>
      <c r="V1245" t="s">
        <v>10</v>
      </c>
      <c r="W1245" t="s">
        <v>67</v>
      </c>
      <c r="X1245" t="s">
        <v>193</v>
      </c>
      <c r="Y1245" t="s">
        <v>30</v>
      </c>
      <c r="Z1245">
        <v>0.76</v>
      </c>
      <c r="AA1245">
        <f t="shared" si="57"/>
        <v>19341.77</v>
      </c>
      <c r="AB1245">
        <f t="shared" si="58"/>
        <v>0.11010512597202003</v>
      </c>
      <c r="AC1245">
        <f t="shared" si="59"/>
        <v>0</v>
      </c>
      <c r="AD1245">
        <v>2025</v>
      </c>
      <c r="AE1245">
        <v>1</v>
      </c>
      <c r="AF1245" t="s">
        <v>102</v>
      </c>
      <c r="AG1245" t="s">
        <v>118</v>
      </c>
    </row>
    <row r="1246" spans="1:33">
      <c r="A1246" t="s">
        <v>1397</v>
      </c>
      <c r="B1246">
        <v>45938</v>
      </c>
      <c r="C1246">
        <v>45950</v>
      </c>
      <c r="D1246" t="s">
        <v>27</v>
      </c>
      <c r="E1246">
        <v>750</v>
      </c>
      <c r="F1246">
        <v>761.35</v>
      </c>
      <c r="G1246">
        <v>2.93</v>
      </c>
      <c r="H1246">
        <v>554281.82999999996</v>
      </c>
      <c r="I1246" t="s">
        <v>1726</v>
      </c>
      <c r="J1246">
        <v>542.46</v>
      </c>
      <c r="K1246">
        <v>406845</v>
      </c>
      <c r="L1246">
        <v>5055.28</v>
      </c>
      <c r="M1246">
        <v>1359.73</v>
      </c>
      <c r="N1246">
        <v>11307.14</v>
      </c>
      <c r="O1246">
        <v>424567.15</v>
      </c>
      <c r="P1246">
        <v>147436.82999999999</v>
      </c>
      <c r="Q1246">
        <v>129714.68</v>
      </c>
      <c r="R1246" t="s">
        <v>65</v>
      </c>
      <c r="S1246">
        <v>554281.82999999996</v>
      </c>
      <c r="T1246">
        <v>0</v>
      </c>
      <c r="U1246" t="s">
        <v>66</v>
      </c>
      <c r="V1246" t="s">
        <v>8</v>
      </c>
      <c r="W1246" t="s">
        <v>74</v>
      </c>
      <c r="X1246" t="s">
        <v>162</v>
      </c>
      <c r="Y1246" t="s">
        <v>26</v>
      </c>
      <c r="Z1246">
        <v>0.82</v>
      </c>
      <c r="AA1246">
        <f t="shared" si="57"/>
        <v>129714.68</v>
      </c>
      <c r="AB1246">
        <f t="shared" si="58"/>
        <v>0.23402296986715224</v>
      </c>
      <c r="AC1246">
        <f t="shared" si="59"/>
        <v>0</v>
      </c>
      <c r="AD1246">
        <v>2025</v>
      </c>
      <c r="AE1246">
        <v>10</v>
      </c>
      <c r="AF1246" t="s">
        <v>138</v>
      </c>
      <c r="AG1246" t="s">
        <v>160</v>
      </c>
    </row>
    <row r="1247" spans="1:33">
      <c r="A1247" t="s">
        <v>1398</v>
      </c>
      <c r="B1247">
        <v>45454</v>
      </c>
      <c r="C1247">
        <v>45461</v>
      </c>
      <c r="D1247" t="s">
        <v>21</v>
      </c>
      <c r="E1247">
        <v>50</v>
      </c>
      <c r="F1247">
        <v>913.16</v>
      </c>
      <c r="G1247">
        <v>1.43</v>
      </c>
      <c r="H1247">
        <v>45005.09</v>
      </c>
      <c r="I1247" t="s">
        <v>1726</v>
      </c>
      <c r="J1247">
        <v>737.09</v>
      </c>
      <c r="K1247">
        <v>36854.5</v>
      </c>
      <c r="L1247">
        <v>734.81</v>
      </c>
      <c r="M1247">
        <v>140.76</v>
      </c>
      <c r="N1247">
        <v>609.27</v>
      </c>
      <c r="O1247">
        <v>38339.339999999997</v>
      </c>
      <c r="P1247">
        <v>8150.59</v>
      </c>
      <c r="Q1247">
        <v>6665.75</v>
      </c>
      <c r="R1247" t="s">
        <v>65</v>
      </c>
      <c r="S1247">
        <v>45005.09</v>
      </c>
      <c r="T1247">
        <v>0</v>
      </c>
      <c r="U1247" t="s">
        <v>66</v>
      </c>
      <c r="V1247" t="s">
        <v>12</v>
      </c>
      <c r="W1247" t="s">
        <v>141</v>
      </c>
      <c r="X1247" t="s">
        <v>127</v>
      </c>
      <c r="Y1247" t="s">
        <v>22</v>
      </c>
      <c r="Z1247">
        <v>1.08</v>
      </c>
      <c r="AA1247">
        <f t="shared" si="57"/>
        <v>6665.75</v>
      </c>
      <c r="AB1247">
        <f t="shared" si="58"/>
        <v>0.14811102477519766</v>
      </c>
      <c r="AC1247">
        <f t="shared" si="59"/>
        <v>0</v>
      </c>
      <c r="AD1247">
        <v>2024</v>
      </c>
      <c r="AE1247">
        <v>6</v>
      </c>
      <c r="AF1247" t="s">
        <v>111</v>
      </c>
      <c r="AG1247" t="s">
        <v>148</v>
      </c>
    </row>
    <row r="1248" spans="1:33">
      <c r="A1248" t="s">
        <v>1399</v>
      </c>
      <c r="B1248">
        <v>45586</v>
      </c>
      <c r="C1248">
        <v>45591</v>
      </c>
      <c r="D1248" t="s">
        <v>23</v>
      </c>
      <c r="E1248">
        <v>200</v>
      </c>
      <c r="F1248">
        <v>1240.94</v>
      </c>
      <c r="G1248">
        <v>1.38</v>
      </c>
      <c r="H1248">
        <v>244763.01</v>
      </c>
      <c r="I1248" t="s">
        <v>1729</v>
      </c>
      <c r="J1248">
        <v>1106.53</v>
      </c>
      <c r="K1248">
        <v>221306</v>
      </c>
      <c r="L1248">
        <v>4496.22</v>
      </c>
      <c r="M1248">
        <v>763.28</v>
      </c>
      <c r="N1248">
        <v>1453.89</v>
      </c>
      <c r="O1248">
        <v>228019.39</v>
      </c>
      <c r="P1248">
        <v>23457.01</v>
      </c>
      <c r="Q1248">
        <v>16743.62</v>
      </c>
      <c r="R1248" t="s">
        <v>65</v>
      </c>
      <c r="S1248">
        <v>244763.01</v>
      </c>
      <c r="T1248">
        <v>0</v>
      </c>
      <c r="U1248" t="s">
        <v>66</v>
      </c>
      <c r="V1248" t="s">
        <v>6</v>
      </c>
      <c r="W1248" t="s">
        <v>67</v>
      </c>
      <c r="X1248" t="s">
        <v>75</v>
      </c>
      <c r="Y1248" t="s">
        <v>28</v>
      </c>
      <c r="Z1248">
        <v>1.4</v>
      </c>
      <c r="AA1248">
        <f t="shared" si="57"/>
        <v>16743.62</v>
      </c>
      <c r="AB1248">
        <f t="shared" si="58"/>
        <v>6.8407477093863162E-2</v>
      </c>
      <c r="AC1248">
        <f t="shared" si="59"/>
        <v>0</v>
      </c>
      <c r="AD1248">
        <v>2024</v>
      </c>
      <c r="AE1248">
        <v>10</v>
      </c>
      <c r="AF1248" t="s">
        <v>138</v>
      </c>
      <c r="AG1248" t="s">
        <v>139</v>
      </c>
    </row>
    <row r="1249" spans="1:33">
      <c r="A1249" t="s">
        <v>1400</v>
      </c>
      <c r="B1249">
        <v>45800</v>
      </c>
      <c r="C1249">
        <v>45804</v>
      </c>
      <c r="D1249" t="s">
        <v>27</v>
      </c>
      <c r="E1249">
        <v>200</v>
      </c>
      <c r="F1249">
        <v>681.34</v>
      </c>
      <c r="G1249">
        <v>0.81</v>
      </c>
      <c r="H1249">
        <v>135164.23000000001</v>
      </c>
      <c r="I1249" t="s">
        <v>1729</v>
      </c>
      <c r="J1249">
        <v>560.41</v>
      </c>
      <c r="K1249">
        <v>112082</v>
      </c>
      <c r="L1249">
        <v>4320.8599999999997</v>
      </c>
      <c r="M1249">
        <v>1160.02</v>
      </c>
      <c r="N1249">
        <v>2876.98</v>
      </c>
      <c r="O1249">
        <v>120439.86</v>
      </c>
      <c r="P1249">
        <v>23082.23</v>
      </c>
      <c r="Q1249">
        <v>14724.37</v>
      </c>
      <c r="R1249" t="s">
        <v>65</v>
      </c>
      <c r="S1249">
        <v>135164.23000000001</v>
      </c>
      <c r="T1249">
        <v>0</v>
      </c>
      <c r="U1249" t="s">
        <v>73</v>
      </c>
      <c r="V1249" t="s">
        <v>6</v>
      </c>
      <c r="W1249" t="s">
        <v>80</v>
      </c>
      <c r="X1249" t="s">
        <v>127</v>
      </c>
      <c r="Y1249" t="s">
        <v>22</v>
      </c>
      <c r="Z1249">
        <v>0.66</v>
      </c>
      <c r="AA1249">
        <f t="shared" si="57"/>
        <v>14724.37</v>
      </c>
      <c r="AB1249">
        <f t="shared" si="58"/>
        <v>0.10893688367107185</v>
      </c>
      <c r="AC1249">
        <f t="shared" si="59"/>
        <v>0</v>
      </c>
      <c r="AD1249">
        <v>2025</v>
      </c>
      <c r="AE1249">
        <v>5</v>
      </c>
      <c r="AF1249" t="s">
        <v>76</v>
      </c>
      <c r="AG1249" t="s">
        <v>94</v>
      </c>
    </row>
    <row r="1250" spans="1:33">
      <c r="A1250" t="s">
        <v>1401</v>
      </c>
      <c r="B1250">
        <v>45681</v>
      </c>
      <c r="C1250">
        <v>45695</v>
      </c>
      <c r="D1250" t="s">
        <v>21</v>
      </c>
      <c r="E1250">
        <v>50</v>
      </c>
      <c r="F1250">
        <v>823.98</v>
      </c>
      <c r="G1250">
        <v>0.26</v>
      </c>
      <c r="H1250">
        <v>41091.879999999997</v>
      </c>
      <c r="I1250" t="s">
        <v>1726</v>
      </c>
      <c r="J1250">
        <v>733.47</v>
      </c>
      <c r="K1250">
        <v>36673.5</v>
      </c>
      <c r="L1250">
        <v>748.52</v>
      </c>
      <c r="M1250">
        <v>254.73</v>
      </c>
      <c r="N1250">
        <v>6734.98</v>
      </c>
      <c r="O1250">
        <v>44411.73</v>
      </c>
      <c r="P1250">
        <v>4418.38</v>
      </c>
      <c r="Q1250">
        <v>-3319.85</v>
      </c>
      <c r="R1250" t="s">
        <v>85</v>
      </c>
      <c r="S1250">
        <v>11737.97</v>
      </c>
      <c r="T1250">
        <v>29353.91</v>
      </c>
      <c r="U1250" t="s">
        <v>66</v>
      </c>
      <c r="V1250" t="s">
        <v>14</v>
      </c>
      <c r="W1250" t="s">
        <v>74</v>
      </c>
      <c r="X1250" t="s">
        <v>75</v>
      </c>
      <c r="Y1250" t="s">
        <v>28</v>
      </c>
      <c r="Z1250">
        <v>2.06</v>
      </c>
      <c r="AA1250">
        <f t="shared" si="57"/>
        <v>-3319.85</v>
      </c>
      <c r="AB1250">
        <f t="shared" si="58"/>
        <v>-8.0790900781370925E-2</v>
      </c>
      <c r="AC1250">
        <f t="shared" si="59"/>
        <v>0</v>
      </c>
      <c r="AD1250">
        <v>2025</v>
      </c>
      <c r="AE1250">
        <v>1</v>
      </c>
      <c r="AF1250" t="s">
        <v>102</v>
      </c>
      <c r="AG1250" t="s">
        <v>118</v>
      </c>
    </row>
    <row r="1251" spans="1:33">
      <c r="A1251" t="s">
        <v>1402</v>
      </c>
      <c r="B1251">
        <v>45763</v>
      </c>
      <c r="C1251">
        <v>45776</v>
      </c>
      <c r="D1251" t="s">
        <v>21</v>
      </c>
      <c r="E1251">
        <v>1000</v>
      </c>
      <c r="F1251">
        <v>944.86</v>
      </c>
      <c r="G1251">
        <v>2.2200000000000002</v>
      </c>
      <c r="H1251">
        <v>923884.11</v>
      </c>
      <c r="I1251" t="s">
        <v>1729</v>
      </c>
      <c r="J1251">
        <v>692.81</v>
      </c>
      <c r="K1251">
        <v>692810</v>
      </c>
      <c r="L1251">
        <v>23524.240000000002</v>
      </c>
      <c r="M1251">
        <v>4112.82</v>
      </c>
      <c r="N1251">
        <v>286</v>
      </c>
      <c r="O1251">
        <v>720733.06</v>
      </c>
      <c r="P1251">
        <v>231074.11</v>
      </c>
      <c r="Q1251">
        <v>203151.05</v>
      </c>
      <c r="R1251" t="s">
        <v>65</v>
      </c>
      <c r="S1251">
        <v>923884.11</v>
      </c>
      <c r="T1251">
        <v>0</v>
      </c>
      <c r="U1251" t="s">
        <v>73</v>
      </c>
      <c r="V1251" t="s">
        <v>14</v>
      </c>
      <c r="W1251" t="s">
        <v>141</v>
      </c>
      <c r="X1251" t="s">
        <v>110</v>
      </c>
      <c r="Y1251" t="s">
        <v>28</v>
      </c>
      <c r="Z1251">
        <v>1.37</v>
      </c>
      <c r="AA1251">
        <f t="shared" si="57"/>
        <v>203151.05</v>
      </c>
      <c r="AB1251">
        <f t="shared" si="58"/>
        <v>0.2198880225356403</v>
      </c>
      <c r="AC1251">
        <f t="shared" si="59"/>
        <v>0</v>
      </c>
      <c r="AD1251">
        <v>2025</v>
      </c>
      <c r="AE1251">
        <v>4</v>
      </c>
      <c r="AF1251" t="s">
        <v>154</v>
      </c>
      <c r="AG1251" t="s">
        <v>155</v>
      </c>
    </row>
    <row r="1252" spans="1:33">
      <c r="A1252" t="s">
        <v>1403</v>
      </c>
      <c r="B1252">
        <v>45767</v>
      </c>
      <c r="C1252">
        <v>45776</v>
      </c>
      <c r="D1252" t="s">
        <v>21</v>
      </c>
      <c r="E1252">
        <v>500</v>
      </c>
      <c r="F1252">
        <v>879.16</v>
      </c>
      <c r="G1252">
        <v>4.6100000000000003</v>
      </c>
      <c r="H1252">
        <v>419315.36</v>
      </c>
      <c r="I1252" t="s">
        <v>1726</v>
      </c>
      <c r="J1252">
        <v>699.93</v>
      </c>
      <c r="K1252">
        <v>349965</v>
      </c>
      <c r="L1252">
        <v>5648.48</v>
      </c>
      <c r="M1252">
        <v>2324.2600000000002</v>
      </c>
      <c r="N1252">
        <v>1364</v>
      </c>
      <c r="O1252">
        <v>359301.74</v>
      </c>
      <c r="P1252">
        <v>69350.36</v>
      </c>
      <c r="Q1252">
        <v>60013.62</v>
      </c>
      <c r="R1252" t="s">
        <v>65</v>
      </c>
      <c r="S1252">
        <v>419315.36</v>
      </c>
      <c r="T1252">
        <v>0</v>
      </c>
      <c r="U1252" t="s">
        <v>73</v>
      </c>
      <c r="V1252" t="s">
        <v>6</v>
      </c>
      <c r="W1252" t="s">
        <v>67</v>
      </c>
      <c r="X1252" t="s">
        <v>115</v>
      </c>
      <c r="Y1252" t="s">
        <v>22</v>
      </c>
      <c r="Z1252">
        <v>0.32</v>
      </c>
      <c r="AA1252">
        <f t="shared" si="57"/>
        <v>60013.62</v>
      </c>
      <c r="AB1252">
        <f t="shared" si="58"/>
        <v>0.14312287534613569</v>
      </c>
      <c r="AC1252">
        <f t="shared" si="59"/>
        <v>0</v>
      </c>
      <c r="AD1252">
        <v>2025</v>
      </c>
      <c r="AE1252">
        <v>4</v>
      </c>
      <c r="AF1252" t="s">
        <v>154</v>
      </c>
      <c r="AG1252" t="s">
        <v>155</v>
      </c>
    </row>
    <row r="1253" spans="1:33">
      <c r="A1253" t="s">
        <v>1404</v>
      </c>
      <c r="B1253">
        <v>45921</v>
      </c>
      <c r="C1253">
        <v>45921</v>
      </c>
      <c r="D1253" t="s">
        <v>21</v>
      </c>
      <c r="E1253">
        <v>300</v>
      </c>
      <c r="F1253">
        <v>887.53</v>
      </c>
      <c r="G1253">
        <v>0.67</v>
      </c>
      <c r="H1253">
        <v>264475.06</v>
      </c>
      <c r="I1253" t="s">
        <v>1727</v>
      </c>
      <c r="J1253">
        <v>675.91</v>
      </c>
      <c r="K1253">
        <v>202773</v>
      </c>
      <c r="L1253">
        <v>2549.2399999999998</v>
      </c>
      <c r="M1253">
        <v>1709.34</v>
      </c>
      <c r="N1253">
        <v>3526.51</v>
      </c>
      <c r="O1253">
        <v>210558.09</v>
      </c>
      <c r="P1253">
        <v>61702.06</v>
      </c>
      <c r="Q1253">
        <v>53916.97</v>
      </c>
      <c r="R1253" t="s">
        <v>85</v>
      </c>
      <c r="S1253">
        <v>191720.74</v>
      </c>
      <c r="T1253">
        <v>72754.320000000007</v>
      </c>
      <c r="U1253" t="s">
        <v>73</v>
      </c>
      <c r="V1253" t="s">
        <v>16</v>
      </c>
      <c r="W1253" t="s">
        <v>67</v>
      </c>
      <c r="X1253" t="s">
        <v>89</v>
      </c>
      <c r="Y1253" t="s">
        <v>28</v>
      </c>
      <c r="Z1253">
        <v>2.31</v>
      </c>
      <c r="AA1253">
        <f t="shared" si="57"/>
        <v>53916.97</v>
      </c>
      <c r="AB1253">
        <f t="shared" si="58"/>
        <v>0.20386409969998684</v>
      </c>
      <c r="AC1253">
        <f t="shared" si="59"/>
        <v>0</v>
      </c>
      <c r="AD1253">
        <v>2025</v>
      </c>
      <c r="AE1253">
        <v>9</v>
      </c>
      <c r="AF1253" t="s">
        <v>131</v>
      </c>
      <c r="AG1253" t="s">
        <v>132</v>
      </c>
    </row>
    <row r="1254" spans="1:33">
      <c r="A1254" t="s">
        <v>1405</v>
      </c>
      <c r="B1254">
        <v>45964</v>
      </c>
      <c r="D1254" t="s">
        <v>23</v>
      </c>
      <c r="E1254">
        <v>50</v>
      </c>
      <c r="F1254">
        <v>1409.82</v>
      </c>
      <c r="G1254">
        <v>0.02</v>
      </c>
      <c r="H1254">
        <v>70476.899999999994</v>
      </c>
      <c r="I1254" t="s">
        <v>1728</v>
      </c>
      <c r="J1254">
        <v>989.86</v>
      </c>
      <c r="K1254">
        <v>49493</v>
      </c>
      <c r="L1254">
        <v>468.47</v>
      </c>
      <c r="M1254">
        <v>278.79000000000002</v>
      </c>
      <c r="N1254">
        <v>804.09</v>
      </c>
      <c r="O1254">
        <v>51044.35</v>
      </c>
      <c r="P1254">
        <v>20983.9</v>
      </c>
      <c r="Q1254">
        <v>19432.55</v>
      </c>
      <c r="R1254" t="s">
        <v>85</v>
      </c>
      <c r="S1254">
        <v>19954.95</v>
      </c>
      <c r="T1254">
        <v>50521.95</v>
      </c>
      <c r="U1254" t="s">
        <v>91</v>
      </c>
      <c r="V1254" t="s">
        <v>16</v>
      </c>
      <c r="W1254" t="s">
        <v>141</v>
      </c>
      <c r="X1254" t="s">
        <v>110</v>
      </c>
      <c r="Y1254" t="s">
        <v>28</v>
      </c>
      <c r="Z1254">
        <v>0.75</v>
      </c>
      <c r="AA1254">
        <f t="shared" si="57"/>
        <v>19432.55</v>
      </c>
      <c r="AB1254">
        <f t="shared" si="58"/>
        <v>0.2757293524544922</v>
      </c>
      <c r="AC1254">
        <f t="shared" si="59"/>
        <v>0</v>
      </c>
      <c r="AD1254">
        <v>2025</v>
      </c>
      <c r="AE1254">
        <v>11</v>
      </c>
      <c r="AF1254" t="s">
        <v>128</v>
      </c>
      <c r="AG1254" t="s">
        <v>135</v>
      </c>
    </row>
    <row r="1255" spans="1:33">
      <c r="A1255" t="s">
        <v>1406</v>
      </c>
      <c r="B1255">
        <v>45446</v>
      </c>
      <c r="C1255">
        <v>45460</v>
      </c>
      <c r="D1255" t="s">
        <v>21</v>
      </c>
      <c r="E1255">
        <v>500</v>
      </c>
      <c r="F1255">
        <v>914.29</v>
      </c>
      <c r="G1255">
        <v>2</v>
      </c>
      <c r="H1255">
        <v>448002.1</v>
      </c>
      <c r="I1255" t="s">
        <v>1727</v>
      </c>
      <c r="J1255">
        <v>693.27</v>
      </c>
      <c r="K1255">
        <v>346635</v>
      </c>
      <c r="L1255">
        <v>3965.52</v>
      </c>
      <c r="M1255">
        <v>1831.36</v>
      </c>
      <c r="N1255">
        <v>5938.61</v>
      </c>
      <c r="O1255">
        <v>358370.49</v>
      </c>
      <c r="P1255">
        <v>101367.1</v>
      </c>
      <c r="Q1255">
        <v>89631.61</v>
      </c>
      <c r="R1255" t="s">
        <v>65</v>
      </c>
      <c r="S1255">
        <v>448002.1</v>
      </c>
      <c r="T1255">
        <v>0</v>
      </c>
      <c r="U1255" t="s">
        <v>66</v>
      </c>
      <c r="V1255" t="s">
        <v>14</v>
      </c>
      <c r="W1255" t="s">
        <v>80</v>
      </c>
      <c r="X1255" t="s">
        <v>285</v>
      </c>
      <c r="Y1255" t="s">
        <v>28</v>
      </c>
      <c r="Z1255">
        <v>0.9</v>
      </c>
      <c r="AA1255">
        <f t="shared" si="57"/>
        <v>89631.61</v>
      </c>
      <c r="AB1255">
        <f t="shared" si="58"/>
        <v>0.20006962020936955</v>
      </c>
      <c r="AC1255">
        <f t="shared" si="59"/>
        <v>0</v>
      </c>
      <c r="AD1255">
        <v>2024</v>
      </c>
      <c r="AE1255">
        <v>6</v>
      </c>
      <c r="AF1255" t="s">
        <v>111</v>
      </c>
      <c r="AG1255" t="s">
        <v>148</v>
      </c>
    </row>
    <row r="1256" spans="1:33">
      <c r="A1256" t="s">
        <v>1407</v>
      </c>
      <c r="B1256">
        <v>45898</v>
      </c>
      <c r="C1256">
        <v>45902</v>
      </c>
      <c r="D1256" t="s">
        <v>23</v>
      </c>
      <c r="E1256">
        <v>1000</v>
      </c>
      <c r="F1256">
        <v>1270.5</v>
      </c>
      <c r="G1256">
        <v>3.46</v>
      </c>
      <c r="H1256">
        <v>1226540.7</v>
      </c>
      <c r="I1256" t="s">
        <v>1727</v>
      </c>
      <c r="J1256">
        <v>970.56</v>
      </c>
      <c r="K1256">
        <v>970560</v>
      </c>
      <c r="L1256">
        <v>5234.04</v>
      </c>
      <c r="M1256">
        <v>4086.27</v>
      </c>
      <c r="N1256">
        <v>1455.97</v>
      </c>
      <c r="O1256">
        <v>981336.28</v>
      </c>
      <c r="P1256">
        <v>255980.7</v>
      </c>
      <c r="Q1256">
        <v>245204.42</v>
      </c>
      <c r="R1256" t="s">
        <v>85</v>
      </c>
      <c r="S1256">
        <v>732072.12</v>
      </c>
      <c r="T1256">
        <v>494468.58</v>
      </c>
      <c r="U1256" t="s">
        <v>73</v>
      </c>
      <c r="V1256" t="s">
        <v>6</v>
      </c>
      <c r="W1256" t="s">
        <v>92</v>
      </c>
      <c r="X1256" t="s">
        <v>115</v>
      </c>
      <c r="Y1256" t="s">
        <v>22</v>
      </c>
      <c r="Z1256">
        <v>0.14000000000000001</v>
      </c>
      <c r="AA1256">
        <f t="shared" si="57"/>
        <v>245204.42</v>
      </c>
      <c r="AB1256">
        <f t="shared" si="58"/>
        <v>0.19991543696837782</v>
      </c>
      <c r="AC1256">
        <f t="shared" si="59"/>
        <v>0</v>
      </c>
      <c r="AD1256">
        <v>2025</v>
      </c>
      <c r="AE1256">
        <v>8</v>
      </c>
      <c r="AF1256" t="s">
        <v>82</v>
      </c>
      <c r="AG1256" t="s">
        <v>87</v>
      </c>
    </row>
    <row r="1257" spans="1:33">
      <c r="A1257" t="s">
        <v>1408</v>
      </c>
      <c r="B1257">
        <v>45829</v>
      </c>
      <c r="C1257">
        <v>45835</v>
      </c>
      <c r="D1257" t="s">
        <v>29</v>
      </c>
      <c r="E1257">
        <v>250</v>
      </c>
      <c r="F1257">
        <v>3011.93</v>
      </c>
      <c r="G1257">
        <v>1.8</v>
      </c>
      <c r="H1257">
        <v>739428.82</v>
      </c>
      <c r="I1257" t="s">
        <v>1726</v>
      </c>
      <c r="J1257">
        <v>2226.29</v>
      </c>
      <c r="K1257">
        <v>556572.5</v>
      </c>
      <c r="L1257">
        <v>4160.04</v>
      </c>
      <c r="M1257">
        <v>1085.3699999999999</v>
      </c>
      <c r="N1257">
        <v>8243.0300000000007</v>
      </c>
      <c r="O1257">
        <v>570060.93999999994</v>
      </c>
      <c r="P1257">
        <v>182856.32000000001</v>
      </c>
      <c r="Q1257">
        <v>169367.88</v>
      </c>
      <c r="R1257" t="s">
        <v>65</v>
      </c>
      <c r="S1257">
        <v>739428.82</v>
      </c>
      <c r="T1257">
        <v>0</v>
      </c>
      <c r="U1257" t="s">
        <v>73</v>
      </c>
      <c r="V1257" t="s">
        <v>10</v>
      </c>
      <c r="W1257" t="s">
        <v>92</v>
      </c>
      <c r="X1257" t="s">
        <v>182</v>
      </c>
      <c r="Y1257" t="s">
        <v>26</v>
      </c>
      <c r="Z1257">
        <v>1.53</v>
      </c>
      <c r="AA1257">
        <f t="shared" si="57"/>
        <v>169367.88</v>
      </c>
      <c r="AB1257">
        <f t="shared" si="58"/>
        <v>0.22905231094454773</v>
      </c>
      <c r="AC1257">
        <f t="shared" si="59"/>
        <v>0</v>
      </c>
      <c r="AD1257">
        <v>2025</v>
      </c>
      <c r="AE1257">
        <v>6</v>
      </c>
      <c r="AF1257" t="s">
        <v>111</v>
      </c>
      <c r="AG1257" t="s">
        <v>112</v>
      </c>
    </row>
    <row r="1258" spans="1:33">
      <c r="A1258" t="s">
        <v>1409</v>
      </c>
      <c r="B1258">
        <v>45767</v>
      </c>
      <c r="C1258">
        <v>45768</v>
      </c>
      <c r="D1258" t="s">
        <v>21</v>
      </c>
      <c r="E1258">
        <v>200</v>
      </c>
      <c r="F1258">
        <v>907.07</v>
      </c>
      <c r="G1258">
        <v>0.12</v>
      </c>
      <c r="H1258">
        <v>181196.3</v>
      </c>
      <c r="I1258" t="s">
        <v>1729</v>
      </c>
      <c r="J1258">
        <v>650.13</v>
      </c>
      <c r="K1258">
        <v>130026</v>
      </c>
      <c r="L1258">
        <v>4286.3900000000003</v>
      </c>
      <c r="M1258">
        <v>464.79</v>
      </c>
      <c r="N1258">
        <v>1539.76</v>
      </c>
      <c r="O1258">
        <v>136316.94</v>
      </c>
      <c r="P1258">
        <v>51170.3</v>
      </c>
      <c r="Q1258">
        <v>44879.360000000001</v>
      </c>
      <c r="R1258" t="s">
        <v>134</v>
      </c>
      <c r="S1258">
        <v>0</v>
      </c>
      <c r="T1258">
        <v>181196.3</v>
      </c>
      <c r="U1258" t="s">
        <v>66</v>
      </c>
      <c r="V1258" t="s">
        <v>6</v>
      </c>
      <c r="W1258" t="s">
        <v>67</v>
      </c>
      <c r="X1258" t="s">
        <v>193</v>
      </c>
      <c r="Y1258" t="s">
        <v>30</v>
      </c>
      <c r="Z1258">
        <v>1.69</v>
      </c>
      <c r="AA1258">
        <f t="shared" si="57"/>
        <v>44879.360000000001</v>
      </c>
      <c r="AB1258">
        <f t="shared" si="58"/>
        <v>0.24768364475433552</v>
      </c>
      <c r="AC1258">
        <f t="shared" si="59"/>
        <v>0</v>
      </c>
      <c r="AD1258">
        <v>2025</v>
      </c>
      <c r="AE1258">
        <v>4</v>
      </c>
      <c r="AF1258" t="s">
        <v>154</v>
      </c>
      <c r="AG1258" t="s">
        <v>155</v>
      </c>
    </row>
    <row r="1259" spans="1:33">
      <c r="A1259" t="s">
        <v>1410</v>
      </c>
      <c r="B1259">
        <v>45500</v>
      </c>
      <c r="C1259">
        <v>45501</v>
      </c>
      <c r="D1259" t="s">
        <v>29</v>
      </c>
      <c r="E1259">
        <v>300</v>
      </c>
      <c r="F1259">
        <v>2774.02</v>
      </c>
      <c r="G1259">
        <v>1.04</v>
      </c>
      <c r="H1259">
        <v>823551.06</v>
      </c>
      <c r="I1259" t="s">
        <v>1729</v>
      </c>
      <c r="J1259">
        <v>2121.21</v>
      </c>
      <c r="K1259">
        <v>636363</v>
      </c>
      <c r="L1259">
        <v>2247.1</v>
      </c>
      <c r="M1259">
        <v>814.8</v>
      </c>
      <c r="N1259">
        <v>11432.44</v>
      </c>
      <c r="O1259">
        <v>650857.34</v>
      </c>
      <c r="P1259">
        <v>187188.06</v>
      </c>
      <c r="Q1259">
        <v>172693.72</v>
      </c>
      <c r="R1259" t="s">
        <v>65</v>
      </c>
      <c r="S1259">
        <v>823551.06</v>
      </c>
      <c r="T1259">
        <v>0</v>
      </c>
      <c r="U1259" t="s">
        <v>73</v>
      </c>
      <c r="V1259" t="s">
        <v>6</v>
      </c>
      <c r="W1259" t="s">
        <v>74</v>
      </c>
      <c r="X1259" t="s">
        <v>239</v>
      </c>
      <c r="Y1259" t="s">
        <v>28</v>
      </c>
      <c r="Z1259">
        <v>0.85</v>
      </c>
      <c r="AA1259">
        <f t="shared" si="57"/>
        <v>172693.72</v>
      </c>
      <c r="AB1259">
        <f t="shared" si="58"/>
        <v>0.2096940048865944</v>
      </c>
      <c r="AC1259">
        <f t="shared" si="59"/>
        <v>0</v>
      </c>
      <c r="AD1259">
        <v>2024</v>
      </c>
      <c r="AE1259">
        <v>7</v>
      </c>
      <c r="AF1259" t="s">
        <v>69</v>
      </c>
      <c r="AG1259" t="s">
        <v>70</v>
      </c>
    </row>
    <row r="1260" spans="1:33">
      <c r="A1260" t="s">
        <v>1411</v>
      </c>
      <c r="B1260">
        <v>45703</v>
      </c>
      <c r="C1260">
        <v>45705</v>
      </c>
      <c r="D1260" t="s">
        <v>21</v>
      </c>
      <c r="E1260">
        <v>300</v>
      </c>
      <c r="F1260">
        <v>803.49</v>
      </c>
      <c r="G1260">
        <v>0.27</v>
      </c>
      <c r="H1260">
        <v>240396.17</v>
      </c>
      <c r="I1260" t="s">
        <v>1728</v>
      </c>
      <c r="J1260">
        <v>657.84</v>
      </c>
      <c r="K1260">
        <v>197352</v>
      </c>
      <c r="L1260">
        <v>3902.66</v>
      </c>
      <c r="M1260">
        <v>1508.77</v>
      </c>
      <c r="N1260">
        <v>3996.27</v>
      </c>
      <c r="O1260">
        <v>206759.7</v>
      </c>
      <c r="P1260">
        <v>43044.17</v>
      </c>
      <c r="Q1260">
        <v>33636.47</v>
      </c>
      <c r="R1260" t="s">
        <v>65</v>
      </c>
      <c r="S1260">
        <v>240396.17</v>
      </c>
      <c r="T1260">
        <v>0</v>
      </c>
      <c r="U1260" t="s">
        <v>66</v>
      </c>
      <c r="V1260" t="s">
        <v>8</v>
      </c>
      <c r="W1260" t="s">
        <v>67</v>
      </c>
      <c r="X1260" t="s">
        <v>127</v>
      </c>
      <c r="Y1260" t="s">
        <v>22</v>
      </c>
      <c r="Z1260">
        <v>0.18</v>
      </c>
      <c r="AA1260">
        <f t="shared" si="57"/>
        <v>33636.47</v>
      </c>
      <c r="AB1260">
        <f t="shared" si="58"/>
        <v>0.1399209895898092</v>
      </c>
      <c r="AC1260">
        <f t="shared" si="59"/>
        <v>0</v>
      </c>
      <c r="AD1260">
        <v>2025</v>
      </c>
      <c r="AE1260">
        <v>2</v>
      </c>
      <c r="AF1260" t="s">
        <v>172</v>
      </c>
      <c r="AG1260" t="s">
        <v>244</v>
      </c>
    </row>
    <row r="1261" spans="1:33">
      <c r="A1261" t="s">
        <v>1412</v>
      </c>
      <c r="B1261">
        <v>45953</v>
      </c>
      <c r="C1261">
        <v>45966</v>
      </c>
      <c r="D1261" t="s">
        <v>23</v>
      </c>
      <c r="E1261">
        <v>150</v>
      </c>
      <c r="F1261">
        <v>1286.04</v>
      </c>
      <c r="G1261">
        <v>2.14</v>
      </c>
      <c r="H1261">
        <v>188777.81</v>
      </c>
      <c r="I1261" t="s">
        <v>1726</v>
      </c>
      <c r="J1261">
        <v>1099.1300000000001</v>
      </c>
      <c r="K1261">
        <v>164869.5</v>
      </c>
      <c r="L1261">
        <v>1831.09</v>
      </c>
      <c r="M1261">
        <v>691.38</v>
      </c>
      <c r="N1261">
        <v>5966.16</v>
      </c>
      <c r="O1261">
        <v>173358.13</v>
      </c>
      <c r="P1261">
        <v>23908.31</v>
      </c>
      <c r="Q1261">
        <v>15419.68</v>
      </c>
      <c r="R1261" t="s">
        <v>65</v>
      </c>
      <c r="S1261">
        <v>188777.81</v>
      </c>
      <c r="T1261">
        <v>0</v>
      </c>
      <c r="U1261" t="s">
        <v>66</v>
      </c>
      <c r="V1261" t="s">
        <v>6</v>
      </c>
      <c r="W1261" t="s">
        <v>67</v>
      </c>
      <c r="X1261" t="s">
        <v>182</v>
      </c>
      <c r="Y1261" t="s">
        <v>26</v>
      </c>
      <c r="Z1261">
        <v>0.37</v>
      </c>
      <c r="AA1261">
        <f t="shared" si="57"/>
        <v>15419.68</v>
      </c>
      <c r="AB1261">
        <f t="shared" si="58"/>
        <v>8.1681634086124846E-2</v>
      </c>
      <c r="AC1261">
        <f t="shared" si="59"/>
        <v>0</v>
      </c>
      <c r="AD1261">
        <v>2025</v>
      </c>
      <c r="AE1261">
        <v>10</v>
      </c>
      <c r="AF1261" t="s">
        <v>138</v>
      </c>
      <c r="AG1261" t="s">
        <v>160</v>
      </c>
    </row>
    <row r="1262" spans="1:33">
      <c r="A1262" t="s">
        <v>1413</v>
      </c>
      <c r="B1262">
        <v>46014</v>
      </c>
      <c r="C1262">
        <v>46022</v>
      </c>
      <c r="D1262" t="s">
        <v>23</v>
      </c>
      <c r="E1262">
        <v>300</v>
      </c>
      <c r="F1262">
        <v>1378.04</v>
      </c>
      <c r="G1262">
        <v>0.91</v>
      </c>
      <c r="H1262">
        <v>409649.95</v>
      </c>
      <c r="I1262" t="s">
        <v>1726</v>
      </c>
      <c r="J1262">
        <v>1042.74</v>
      </c>
      <c r="K1262">
        <v>312822</v>
      </c>
      <c r="L1262">
        <v>6585.12</v>
      </c>
      <c r="M1262">
        <v>1115.05</v>
      </c>
      <c r="N1262">
        <v>402.49</v>
      </c>
      <c r="O1262">
        <v>320924.65999999997</v>
      </c>
      <c r="P1262">
        <v>96827.95</v>
      </c>
      <c r="Q1262">
        <v>88725.29</v>
      </c>
      <c r="R1262" t="s">
        <v>65</v>
      </c>
      <c r="S1262">
        <v>409649.95</v>
      </c>
      <c r="T1262">
        <v>0</v>
      </c>
      <c r="U1262" t="s">
        <v>66</v>
      </c>
      <c r="V1262" t="s">
        <v>6</v>
      </c>
      <c r="W1262" t="s">
        <v>92</v>
      </c>
      <c r="X1262" t="s">
        <v>115</v>
      </c>
      <c r="Y1262" t="s">
        <v>22</v>
      </c>
      <c r="Z1262">
        <v>2.12</v>
      </c>
      <c r="AA1262">
        <f t="shared" si="57"/>
        <v>88725.29</v>
      </c>
      <c r="AB1262">
        <f t="shared" si="58"/>
        <v>0.21658806500525629</v>
      </c>
      <c r="AC1262">
        <f t="shared" si="59"/>
        <v>0</v>
      </c>
      <c r="AD1262">
        <v>2025</v>
      </c>
      <c r="AE1262">
        <v>12</v>
      </c>
      <c r="AF1262" t="s">
        <v>98</v>
      </c>
      <c r="AG1262" t="s">
        <v>168</v>
      </c>
    </row>
    <row r="1263" spans="1:33">
      <c r="A1263" t="s">
        <v>1414</v>
      </c>
      <c r="B1263">
        <v>45687</v>
      </c>
      <c r="D1263" t="s">
        <v>23</v>
      </c>
      <c r="E1263">
        <v>500</v>
      </c>
      <c r="F1263">
        <v>1321.57</v>
      </c>
      <c r="G1263">
        <v>3.17</v>
      </c>
      <c r="H1263">
        <v>639838.12</v>
      </c>
      <c r="I1263" t="s">
        <v>1728</v>
      </c>
      <c r="J1263">
        <v>1063.8</v>
      </c>
      <c r="K1263">
        <v>531900</v>
      </c>
      <c r="L1263">
        <v>9472.76</v>
      </c>
      <c r="M1263">
        <v>2197.39</v>
      </c>
      <c r="N1263">
        <v>5404.24</v>
      </c>
      <c r="O1263">
        <v>548974.39</v>
      </c>
      <c r="P1263">
        <v>107938.12</v>
      </c>
      <c r="Q1263">
        <v>90863.73</v>
      </c>
      <c r="R1263" t="s">
        <v>65</v>
      </c>
      <c r="S1263">
        <v>639838.12</v>
      </c>
      <c r="T1263">
        <v>0</v>
      </c>
      <c r="U1263" t="s">
        <v>91</v>
      </c>
      <c r="V1263" t="s">
        <v>14</v>
      </c>
      <c r="W1263" t="s">
        <v>80</v>
      </c>
      <c r="X1263" t="s">
        <v>375</v>
      </c>
      <c r="Y1263" t="s">
        <v>30</v>
      </c>
      <c r="Z1263">
        <v>0.59</v>
      </c>
      <c r="AA1263">
        <f t="shared" si="57"/>
        <v>90863.73</v>
      </c>
      <c r="AB1263">
        <f t="shared" si="58"/>
        <v>0.14201049790531392</v>
      </c>
      <c r="AC1263">
        <f t="shared" si="59"/>
        <v>0</v>
      </c>
      <c r="AD1263">
        <v>2025</v>
      </c>
      <c r="AE1263">
        <v>1</v>
      </c>
      <c r="AF1263" t="s">
        <v>102</v>
      </c>
      <c r="AG1263" t="s">
        <v>118</v>
      </c>
    </row>
    <row r="1264" spans="1:33">
      <c r="A1264" t="s">
        <v>1415</v>
      </c>
      <c r="B1264">
        <v>45701</v>
      </c>
      <c r="C1264">
        <v>45712</v>
      </c>
      <c r="D1264" t="s">
        <v>23</v>
      </c>
      <c r="E1264">
        <v>1000</v>
      </c>
      <c r="F1264">
        <v>1189.28</v>
      </c>
      <c r="G1264">
        <v>4.76</v>
      </c>
      <c r="H1264">
        <v>1132670.27</v>
      </c>
      <c r="I1264" t="s">
        <v>1727</v>
      </c>
      <c r="J1264">
        <v>1023.32</v>
      </c>
      <c r="K1264">
        <v>1023320</v>
      </c>
      <c r="L1264">
        <v>19927.73</v>
      </c>
      <c r="M1264">
        <v>2332.4299999999998</v>
      </c>
      <c r="N1264">
        <v>3392.47</v>
      </c>
      <c r="O1264">
        <v>1048972.6299999999</v>
      </c>
      <c r="P1264">
        <v>109350.27</v>
      </c>
      <c r="Q1264">
        <v>83697.64</v>
      </c>
      <c r="R1264" t="s">
        <v>65</v>
      </c>
      <c r="S1264">
        <v>1132670.27</v>
      </c>
      <c r="T1264">
        <v>0</v>
      </c>
      <c r="U1264" t="s">
        <v>66</v>
      </c>
      <c r="V1264" t="s">
        <v>8</v>
      </c>
      <c r="W1264" t="s">
        <v>67</v>
      </c>
      <c r="X1264" t="s">
        <v>208</v>
      </c>
      <c r="Y1264" t="s">
        <v>26</v>
      </c>
      <c r="Z1264">
        <v>2.23</v>
      </c>
      <c r="AA1264">
        <f t="shared" si="57"/>
        <v>83697.64</v>
      </c>
      <c r="AB1264">
        <f t="shared" si="58"/>
        <v>7.3894090996137821E-2</v>
      </c>
      <c r="AC1264">
        <f t="shared" si="59"/>
        <v>0</v>
      </c>
      <c r="AD1264">
        <v>2025</v>
      </c>
      <c r="AE1264">
        <v>2</v>
      </c>
      <c r="AF1264" t="s">
        <v>172</v>
      </c>
      <c r="AG1264" t="s">
        <v>244</v>
      </c>
    </row>
    <row r="1265" spans="1:33">
      <c r="A1265" t="s">
        <v>1416</v>
      </c>
      <c r="B1265">
        <v>45298</v>
      </c>
      <c r="C1265">
        <v>45299</v>
      </c>
      <c r="D1265" t="s">
        <v>23</v>
      </c>
      <c r="E1265">
        <v>100</v>
      </c>
      <c r="F1265">
        <v>1298.68</v>
      </c>
      <c r="G1265">
        <v>1.1299999999999999</v>
      </c>
      <c r="H1265">
        <v>128400.49</v>
      </c>
      <c r="I1265" t="s">
        <v>1728</v>
      </c>
      <c r="J1265">
        <v>1070.55</v>
      </c>
      <c r="K1265">
        <v>107055</v>
      </c>
      <c r="L1265">
        <v>1239.26</v>
      </c>
      <c r="M1265">
        <v>229.42</v>
      </c>
      <c r="N1265">
        <v>11970.46</v>
      </c>
      <c r="O1265">
        <v>120494.14</v>
      </c>
      <c r="P1265">
        <v>21345.49</v>
      </c>
      <c r="Q1265">
        <v>7906.35</v>
      </c>
      <c r="R1265" t="s">
        <v>65</v>
      </c>
      <c r="S1265">
        <v>128400.49</v>
      </c>
      <c r="T1265">
        <v>0</v>
      </c>
      <c r="U1265" t="s">
        <v>73</v>
      </c>
      <c r="V1265" t="s">
        <v>8</v>
      </c>
      <c r="W1265" t="s">
        <v>80</v>
      </c>
      <c r="X1265" t="s">
        <v>108</v>
      </c>
      <c r="Y1265" t="s">
        <v>22</v>
      </c>
      <c r="Z1265">
        <v>0.22</v>
      </c>
      <c r="AA1265">
        <f t="shared" si="57"/>
        <v>7906.35</v>
      </c>
      <c r="AB1265">
        <f t="shared" si="58"/>
        <v>6.1575699594292828E-2</v>
      </c>
      <c r="AC1265">
        <f t="shared" si="59"/>
        <v>0</v>
      </c>
      <c r="AD1265">
        <v>2024</v>
      </c>
      <c r="AE1265">
        <v>1</v>
      </c>
      <c r="AF1265" t="s">
        <v>102</v>
      </c>
      <c r="AG1265" t="s">
        <v>103</v>
      </c>
    </row>
    <row r="1266" spans="1:33">
      <c r="A1266" t="s">
        <v>1417</v>
      </c>
      <c r="B1266">
        <v>45907</v>
      </c>
      <c r="C1266">
        <v>45919</v>
      </c>
      <c r="D1266" t="s">
        <v>21</v>
      </c>
      <c r="E1266">
        <v>200</v>
      </c>
      <c r="F1266">
        <v>918.09</v>
      </c>
      <c r="G1266">
        <v>0.53</v>
      </c>
      <c r="H1266">
        <v>182644.82</v>
      </c>
      <c r="I1266" t="s">
        <v>1726</v>
      </c>
      <c r="J1266">
        <v>705.3</v>
      </c>
      <c r="K1266">
        <v>141060</v>
      </c>
      <c r="L1266">
        <v>4140.6099999999997</v>
      </c>
      <c r="M1266">
        <v>824.39</v>
      </c>
      <c r="N1266">
        <v>8241.14</v>
      </c>
      <c r="O1266">
        <v>154266.14000000001</v>
      </c>
      <c r="P1266">
        <v>41584.82</v>
      </c>
      <c r="Q1266">
        <v>28378.68</v>
      </c>
      <c r="R1266" t="s">
        <v>65</v>
      </c>
      <c r="S1266">
        <v>182644.82</v>
      </c>
      <c r="T1266">
        <v>0</v>
      </c>
      <c r="U1266" t="s">
        <v>66</v>
      </c>
      <c r="V1266" t="s">
        <v>14</v>
      </c>
      <c r="W1266" t="s">
        <v>74</v>
      </c>
      <c r="X1266" t="s">
        <v>142</v>
      </c>
      <c r="Y1266" t="s">
        <v>28</v>
      </c>
      <c r="Z1266">
        <v>0.1</v>
      </c>
      <c r="AA1266">
        <f t="shared" si="57"/>
        <v>28378.68</v>
      </c>
      <c r="AB1266">
        <f t="shared" si="58"/>
        <v>0.15537632000732349</v>
      </c>
      <c r="AC1266">
        <f t="shared" si="59"/>
        <v>0</v>
      </c>
      <c r="AD1266">
        <v>2025</v>
      </c>
      <c r="AE1266">
        <v>9</v>
      </c>
      <c r="AF1266" t="s">
        <v>131</v>
      </c>
      <c r="AG1266" t="s">
        <v>132</v>
      </c>
    </row>
    <row r="1267" spans="1:33">
      <c r="A1267" t="s">
        <v>1418</v>
      </c>
      <c r="B1267">
        <v>45605</v>
      </c>
      <c r="C1267">
        <v>45609</v>
      </c>
      <c r="D1267" t="s">
        <v>21</v>
      </c>
      <c r="E1267">
        <v>250</v>
      </c>
      <c r="F1267">
        <v>913.51</v>
      </c>
      <c r="G1267">
        <v>0.93</v>
      </c>
      <c r="H1267">
        <v>226253.59</v>
      </c>
      <c r="I1267" t="s">
        <v>1728</v>
      </c>
      <c r="J1267">
        <v>663.06</v>
      </c>
      <c r="K1267">
        <v>165765</v>
      </c>
      <c r="L1267">
        <v>1477.1</v>
      </c>
      <c r="M1267">
        <v>801.5</v>
      </c>
      <c r="N1267">
        <v>1110.8900000000001</v>
      </c>
      <c r="O1267">
        <v>169154.49</v>
      </c>
      <c r="P1267">
        <v>60488.59</v>
      </c>
      <c r="Q1267">
        <v>57099.1</v>
      </c>
      <c r="R1267" t="s">
        <v>65</v>
      </c>
      <c r="S1267">
        <v>226253.59</v>
      </c>
      <c r="T1267">
        <v>0</v>
      </c>
      <c r="U1267" t="s">
        <v>73</v>
      </c>
      <c r="V1267" t="s">
        <v>8</v>
      </c>
      <c r="W1267" t="s">
        <v>80</v>
      </c>
      <c r="X1267" t="s">
        <v>176</v>
      </c>
      <c r="Y1267" t="s">
        <v>22</v>
      </c>
      <c r="Z1267">
        <v>2.4700000000000002</v>
      </c>
      <c r="AA1267">
        <f t="shared" si="57"/>
        <v>57099.1</v>
      </c>
      <c r="AB1267">
        <f t="shared" si="58"/>
        <v>0.25236770828697125</v>
      </c>
      <c r="AC1267">
        <f t="shared" si="59"/>
        <v>0</v>
      </c>
      <c r="AD1267">
        <v>2024</v>
      </c>
      <c r="AE1267">
        <v>11</v>
      </c>
      <c r="AF1267" t="s">
        <v>128</v>
      </c>
      <c r="AG1267" t="s">
        <v>129</v>
      </c>
    </row>
    <row r="1268" spans="1:33">
      <c r="A1268" t="s">
        <v>1419</v>
      </c>
      <c r="B1268">
        <v>45884</v>
      </c>
      <c r="C1268">
        <v>45884</v>
      </c>
      <c r="D1268" t="s">
        <v>21</v>
      </c>
      <c r="E1268">
        <v>50</v>
      </c>
      <c r="F1268">
        <v>876.03</v>
      </c>
      <c r="G1268">
        <v>2.14</v>
      </c>
      <c r="H1268">
        <v>42864.15</v>
      </c>
      <c r="I1268" t="s">
        <v>1727</v>
      </c>
      <c r="J1268">
        <v>662.64</v>
      </c>
      <c r="K1268">
        <v>33132</v>
      </c>
      <c r="L1268">
        <v>507.54</v>
      </c>
      <c r="M1268">
        <v>154.11000000000001</v>
      </c>
      <c r="N1268">
        <v>7064.74</v>
      </c>
      <c r="O1268">
        <v>40858.39</v>
      </c>
      <c r="P1268">
        <v>9732.15</v>
      </c>
      <c r="Q1268">
        <v>2005.76</v>
      </c>
      <c r="R1268" t="s">
        <v>65</v>
      </c>
      <c r="S1268">
        <v>42864.15</v>
      </c>
      <c r="T1268">
        <v>0</v>
      </c>
      <c r="U1268" t="s">
        <v>73</v>
      </c>
      <c r="V1268" t="s">
        <v>10</v>
      </c>
      <c r="W1268" t="s">
        <v>67</v>
      </c>
      <c r="X1268" t="s">
        <v>101</v>
      </c>
      <c r="Y1268" t="s">
        <v>22</v>
      </c>
      <c r="Z1268">
        <v>0.37</v>
      </c>
      <c r="AA1268">
        <f t="shared" si="57"/>
        <v>2005.76</v>
      </c>
      <c r="AB1268">
        <f t="shared" si="58"/>
        <v>4.6793415943159958E-2</v>
      </c>
      <c r="AC1268">
        <f t="shared" si="59"/>
        <v>0</v>
      </c>
      <c r="AD1268">
        <v>2025</v>
      </c>
      <c r="AE1268">
        <v>8</v>
      </c>
      <c r="AF1268" t="s">
        <v>82</v>
      </c>
      <c r="AG1268" t="s">
        <v>87</v>
      </c>
    </row>
    <row r="1269" spans="1:33">
      <c r="A1269" t="s">
        <v>1420</v>
      </c>
      <c r="B1269">
        <v>45424</v>
      </c>
      <c r="C1269">
        <v>45434</v>
      </c>
      <c r="D1269" t="s">
        <v>23</v>
      </c>
      <c r="E1269">
        <v>50</v>
      </c>
      <c r="F1269">
        <v>1360.57</v>
      </c>
      <c r="G1269">
        <v>0.05</v>
      </c>
      <c r="H1269">
        <v>67994.490000000005</v>
      </c>
      <c r="I1269" t="s">
        <v>1728</v>
      </c>
      <c r="J1269">
        <v>1118.49</v>
      </c>
      <c r="K1269">
        <v>55924.5</v>
      </c>
      <c r="L1269">
        <v>300.45</v>
      </c>
      <c r="M1269">
        <v>177.43</v>
      </c>
      <c r="N1269">
        <v>4896.3500000000004</v>
      </c>
      <c r="O1269">
        <v>61298.73</v>
      </c>
      <c r="P1269">
        <v>12069.99</v>
      </c>
      <c r="Q1269">
        <v>6695.76</v>
      </c>
      <c r="R1269" t="s">
        <v>65</v>
      </c>
      <c r="S1269">
        <v>67994.490000000005</v>
      </c>
      <c r="T1269">
        <v>0</v>
      </c>
      <c r="U1269" t="s">
        <v>66</v>
      </c>
      <c r="V1269" t="s">
        <v>6</v>
      </c>
      <c r="W1269" t="s">
        <v>74</v>
      </c>
      <c r="X1269" t="s">
        <v>375</v>
      </c>
      <c r="Y1269" t="s">
        <v>30</v>
      </c>
      <c r="Z1269">
        <v>0.48</v>
      </c>
      <c r="AA1269">
        <f t="shared" si="57"/>
        <v>6695.76</v>
      </c>
      <c r="AB1269">
        <f t="shared" si="58"/>
        <v>9.8475038197948089E-2</v>
      </c>
      <c r="AC1269">
        <f t="shared" si="59"/>
        <v>0</v>
      </c>
      <c r="AD1269">
        <v>2024</v>
      </c>
      <c r="AE1269">
        <v>5</v>
      </c>
      <c r="AF1269" t="s">
        <v>76</v>
      </c>
      <c r="AG1269" t="s">
        <v>77</v>
      </c>
    </row>
    <row r="1270" spans="1:33">
      <c r="A1270" t="s">
        <v>1421</v>
      </c>
      <c r="B1270">
        <v>45610</v>
      </c>
      <c r="D1270" t="s">
        <v>29</v>
      </c>
      <c r="E1270">
        <v>150</v>
      </c>
      <c r="F1270">
        <v>2972.36</v>
      </c>
      <c r="G1270">
        <v>0.19</v>
      </c>
      <c r="H1270">
        <v>445006.88</v>
      </c>
      <c r="I1270" t="s">
        <v>1728</v>
      </c>
      <c r="J1270">
        <v>2403.62</v>
      </c>
      <c r="K1270">
        <v>360543</v>
      </c>
      <c r="L1270">
        <v>982.88</v>
      </c>
      <c r="M1270">
        <v>235.7</v>
      </c>
      <c r="N1270">
        <v>4101.18</v>
      </c>
      <c r="O1270">
        <v>365862.76</v>
      </c>
      <c r="P1270">
        <v>84463.88</v>
      </c>
      <c r="Q1270">
        <v>79144.12</v>
      </c>
      <c r="R1270" t="s">
        <v>65</v>
      </c>
      <c r="S1270">
        <v>445006.88</v>
      </c>
      <c r="T1270">
        <v>0</v>
      </c>
      <c r="U1270" t="s">
        <v>91</v>
      </c>
      <c r="V1270" t="s">
        <v>6</v>
      </c>
      <c r="W1270" t="s">
        <v>67</v>
      </c>
      <c r="X1270" t="s">
        <v>125</v>
      </c>
      <c r="Y1270" t="s">
        <v>24</v>
      </c>
      <c r="Z1270">
        <v>1.03</v>
      </c>
      <c r="AA1270">
        <f t="shared" si="57"/>
        <v>79144.12</v>
      </c>
      <c r="AB1270">
        <f t="shared" si="58"/>
        <v>0.17784920538756613</v>
      </c>
      <c r="AC1270">
        <f t="shared" si="59"/>
        <v>0</v>
      </c>
      <c r="AD1270">
        <v>2024</v>
      </c>
      <c r="AE1270">
        <v>11</v>
      </c>
      <c r="AF1270" t="s">
        <v>128</v>
      </c>
      <c r="AG1270" t="s">
        <v>129</v>
      </c>
    </row>
    <row r="1271" spans="1:33">
      <c r="A1271" t="s">
        <v>1422</v>
      </c>
      <c r="B1271">
        <v>45963</v>
      </c>
      <c r="C1271">
        <v>45973</v>
      </c>
      <c r="D1271" t="s">
        <v>21</v>
      </c>
      <c r="E1271">
        <v>300</v>
      </c>
      <c r="F1271">
        <v>896.73</v>
      </c>
      <c r="G1271">
        <v>1.0900000000000001</v>
      </c>
      <c r="H1271">
        <v>266086.69</v>
      </c>
      <c r="I1271" t="s">
        <v>1727</v>
      </c>
      <c r="J1271">
        <v>726.1</v>
      </c>
      <c r="K1271">
        <v>217830</v>
      </c>
      <c r="L1271">
        <v>4793.3999999999996</v>
      </c>
      <c r="M1271">
        <v>1439.84</v>
      </c>
      <c r="N1271">
        <v>7353.3</v>
      </c>
      <c r="O1271">
        <v>231416.54</v>
      </c>
      <c r="P1271">
        <v>48256.69</v>
      </c>
      <c r="Q1271">
        <v>34670.15</v>
      </c>
      <c r="R1271" t="s">
        <v>65</v>
      </c>
      <c r="S1271">
        <v>266086.69</v>
      </c>
      <c r="T1271">
        <v>0</v>
      </c>
      <c r="U1271" t="s">
        <v>73</v>
      </c>
      <c r="V1271" t="s">
        <v>10</v>
      </c>
      <c r="W1271" t="s">
        <v>92</v>
      </c>
      <c r="X1271" t="s">
        <v>97</v>
      </c>
      <c r="Y1271" t="s">
        <v>24</v>
      </c>
      <c r="Z1271">
        <v>1.02</v>
      </c>
      <c r="AA1271">
        <f t="shared" si="57"/>
        <v>34670.15</v>
      </c>
      <c r="AB1271">
        <f t="shared" si="58"/>
        <v>0.13029644586882569</v>
      </c>
      <c r="AC1271">
        <f t="shared" si="59"/>
        <v>0</v>
      </c>
      <c r="AD1271">
        <v>2025</v>
      </c>
      <c r="AE1271">
        <v>11</v>
      </c>
      <c r="AF1271" t="s">
        <v>128</v>
      </c>
      <c r="AG1271" t="s">
        <v>135</v>
      </c>
    </row>
    <row r="1272" spans="1:33">
      <c r="A1272" t="s">
        <v>1423</v>
      </c>
      <c r="B1272">
        <v>45496</v>
      </c>
      <c r="C1272">
        <v>45501</v>
      </c>
      <c r="D1272" t="s">
        <v>21</v>
      </c>
      <c r="E1272">
        <v>500</v>
      </c>
      <c r="F1272">
        <v>882.27</v>
      </c>
      <c r="G1272">
        <v>2.27</v>
      </c>
      <c r="H1272">
        <v>431121.24</v>
      </c>
      <c r="I1272" t="s">
        <v>1728</v>
      </c>
      <c r="J1272">
        <v>652.5</v>
      </c>
      <c r="K1272">
        <v>326250</v>
      </c>
      <c r="L1272">
        <v>3282.89</v>
      </c>
      <c r="M1272">
        <v>2139.87</v>
      </c>
      <c r="N1272">
        <v>4506</v>
      </c>
      <c r="O1272">
        <v>336178.76</v>
      </c>
      <c r="P1272">
        <v>104871.24</v>
      </c>
      <c r="Q1272">
        <v>94942.48</v>
      </c>
      <c r="R1272" t="s">
        <v>65</v>
      </c>
      <c r="S1272">
        <v>431121.24</v>
      </c>
      <c r="T1272">
        <v>0</v>
      </c>
      <c r="U1272" t="s">
        <v>73</v>
      </c>
      <c r="V1272" t="s">
        <v>14</v>
      </c>
      <c r="W1272" t="s">
        <v>74</v>
      </c>
      <c r="X1272" t="s">
        <v>123</v>
      </c>
      <c r="Y1272" t="s">
        <v>22</v>
      </c>
      <c r="Z1272">
        <v>2.39</v>
      </c>
      <c r="AA1272">
        <f t="shared" si="57"/>
        <v>94942.48</v>
      </c>
      <c r="AB1272">
        <f t="shared" si="58"/>
        <v>0.2202222279746644</v>
      </c>
      <c r="AC1272">
        <f t="shared" si="59"/>
        <v>0</v>
      </c>
      <c r="AD1272">
        <v>2024</v>
      </c>
      <c r="AE1272">
        <v>7</v>
      </c>
      <c r="AF1272" t="s">
        <v>69</v>
      </c>
      <c r="AG1272" t="s">
        <v>70</v>
      </c>
    </row>
    <row r="1273" spans="1:33">
      <c r="A1273" t="s">
        <v>1424</v>
      </c>
      <c r="B1273">
        <v>45330</v>
      </c>
      <c r="C1273">
        <v>45343</v>
      </c>
      <c r="D1273" t="s">
        <v>23</v>
      </c>
      <c r="E1273">
        <v>200</v>
      </c>
      <c r="F1273">
        <v>1269.67</v>
      </c>
      <c r="G1273">
        <v>0.28999999999999998</v>
      </c>
      <c r="H1273">
        <v>253197.59</v>
      </c>
      <c r="I1273" t="s">
        <v>1727</v>
      </c>
      <c r="J1273">
        <v>1081.83</v>
      </c>
      <c r="K1273">
        <v>216366</v>
      </c>
      <c r="L1273">
        <v>2729.34</v>
      </c>
      <c r="M1273">
        <v>447.45</v>
      </c>
      <c r="N1273">
        <v>10886.19</v>
      </c>
      <c r="O1273">
        <v>230428.98</v>
      </c>
      <c r="P1273">
        <v>36831.589999999997</v>
      </c>
      <c r="Q1273">
        <v>22768.61</v>
      </c>
      <c r="R1273" t="s">
        <v>65</v>
      </c>
      <c r="S1273">
        <v>253197.59</v>
      </c>
      <c r="T1273">
        <v>0</v>
      </c>
      <c r="U1273" t="s">
        <v>73</v>
      </c>
      <c r="V1273" t="s">
        <v>10</v>
      </c>
      <c r="W1273" t="s">
        <v>141</v>
      </c>
      <c r="X1273" t="s">
        <v>123</v>
      </c>
      <c r="Y1273" t="s">
        <v>22</v>
      </c>
      <c r="Z1273">
        <v>1.3</v>
      </c>
      <c r="AA1273">
        <f t="shared" si="57"/>
        <v>22768.61</v>
      </c>
      <c r="AB1273">
        <f t="shared" si="58"/>
        <v>8.9924276135487702E-2</v>
      </c>
      <c r="AC1273">
        <f t="shared" si="59"/>
        <v>0</v>
      </c>
      <c r="AD1273">
        <v>2024</v>
      </c>
      <c r="AE1273">
        <v>2</v>
      </c>
      <c r="AF1273" t="s">
        <v>172</v>
      </c>
      <c r="AG1273" t="s">
        <v>173</v>
      </c>
    </row>
    <row r="1274" spans="1:33">
      <c r="A1274" t="s">
        <v>1425</v>
      </c>
      <c r="B1274">
        <v>45468</v>
      </c>
      <c r="C1274">
        <v>45478</v>
      </c>
      <c r="D1274" t="s">
        <v>21</v>
      </c>
      <c r="E1274">
        <v>250</v>
      </c>
      <c r="F1274">
        <v>801.77</v>
      </c>
      <c r="G1274">
        <v>1.22</v>
      </c>
      <c r="H1274">
        <v>197997.1</v>
      </c>
      <c r="I1274" t="s">
        <v>1726</v>
      </c>
      <c r="J1274">
        <v>731.01</v>
      </c>
      <c r="K1274">
        <v>182752.5</v>
      </c>
      <c r="L1274">
        <v>2152.38</v>
      </c>
      <c r="M1274">
        <v>1225.56</v>
      </c>
      <c r="N1274">
        <v>11145.83</v>
      </c>
      <c r="O1274">
        <v>197276.27</v>
      </c>
      <c r="P1274">
        <v>15244.6</v>
      </c>
      <c r="Q1274">
        <v>720.83</v>
      </c>
      <c r="R1274" t="s">
        <v>85</v>
      </c>
      <c r="S1274">
        <v>124489.55</v>
      </c>
      <c r="T1274">
        <v>73507.55</v>
      </c>
      <c r="U1274" t="s">
        <v>73</v>
      </c>
      <c r="V1274" t="s">
        <v>6</v>
      </c>
      <c r="W1274" t="s">
        <v>141</v>
      </c>
      <c r="X1274" t="s">
        <v>193</v>
      </c>
      <c r="Y1274" t="s">
        <v>30</v>
      </c>
      <c r="Z1274">
        <v>2.2599999999999998</v>
      </c>
      <c r="AA1274">
        <f t="shared" si="57"/>
        <v>720.83</v>
      </c>
      <c r="AB1274">
        <f t="shared" si="58"/>
        <v>3.6406088776047732E-3</v>
      </c>
      <c r="AC1274">
        <f t="shared" si="59"/>
        <v>0</v>
      </c>
      <c r="AD1274">
        <v>2024</v>
      </c>
      <c r="AE1274">
        <v>6</v>
      </c>
      <c r="AF1274" t="s">
        <v>111</v>
      </c>
      <c r="AG1274" t="s">
        <v>148</v>
      </c>
    </row>
    <row r="1275" spans="1:33">
      <c r="A1275" t="s">
        <v>1426</v>
      </c>
      <c r="B1275">
        <v>45967</v>
      </c>
      <c r="C1275">
        <v>45974</v>
      </c>
      <c r="D1275" t="s">
        <v>23</v>
      </c>
      <c r="E1275">
        <v>100</v>
      </c>
      <c r="F1275">
        <v>1333.28</v>
      </c>
      <c r="G1275">
        <v>1.1599999999999999</v>
      </c>
      <c r="H1275">
        <v>131781.4</v>
      </c>
      <c r="I1275" t="s">
        <v>1726</v>
      </c>
      <c r="J1275">
        <v>1006.97</v>
      </c>
      <c r="K1275">
        <v>100697</v>
      </c>
      <c r="L1275">
        <v>1375.94</v>
      </c>
      <c r="M1275">
        <v>375.22</v>
      </c>
      <c r="N1275">
        <v>8039.79</v>
      </c>
      <c r="O1275">
        <v>110487.95</v>
      </c>
      <c r="P1275">
        <v>31084.400000000001</v>
      </c>
      <c r="Q1275">
        <v>21293.45</v>
      </c>
      <c r="R1275" t="s">
        <v>65</v>
      </c>
      <c r="S1275">
        <v>131781.4</v>
      </c>
      <c r="T1275">
        <v>0</v>
      </c>
      <c r="U1275" t="s">
        <v>73</v>
      </c>
      <c r="V1275" t="s">
        <v>8</v>
      </c>
      <c r="W1275" t="s">
        <v>80</v>
      </c>
      <c r="X1275" t="s">
        <v>176</v>
      </c>
      <c r="Y1275" t="s">
        <v>22</v>
      </c>
      <c r="Z1275">
        <v>1.91</v>
      </c>
      <c r="AA1275">
        <f t="shared" si="57"/>
        <v>21293.45</v>
      </c>
      <c r="AB1275">
        <f t="shared" si="58"/>
        <v>0.1615816040806973</v>
      </c>
      <c r="AC1275">
        <f t="shared" si="59"/>
        <v>0</v>
      </c>
      <c r="AD1275">
        <v>2025</v>
      </c>
      <c r="AE1275">
        <v>11</v>
      </c>
      <c r="AF1275" t="s">
        <v>128</v>
      </c>
      <c r="AG1275" t="s">
        <v>135</v>
      </c>
    </row>
    <row r="1276" spans="1:33">
      <c r="A1276" t="s">
        <v>1427</v>
      </c>
      <c r="B1276">
        <v>45519</v>
      </c>
      <c r="C1276">
        <v>45531</v>
      </c>
      <c r="D1276" t="s">
        <v>21</v>
      </c>
      <c r="E1276">
        <v>500</v>
      </c>
      <c r="F1276">
        <v>838.16</v>
      </c>
      <c r="G1276">
        <v>0.73</v>
      </c>
      <c r="H1276">
        <v>416020.72</v>
      </c>
      <c r="I1276" t="s">
        <v>1726</v>
      </c>
      <c r="J1276">
        <v>732.58</v>
      </c>
      <c r="K1276">
        <v>366290</v>
      </c>
      <c r="L1276">
        <v>5891.06</v>
      </c>
      <c r="M1276">
        <v>1423.31</v>
      </c>
      <c r="N1276">
        <v>4614.71</v>
      </c>
      <c r="O1276">
        <v>378219.08</v>
      </c>
      <c r="P1276">
        <v>49730.720000000001</v>
      </c>
      <c r="Q1276">
        <v>37801.64</v>
      </c>
      <c r="R1276" t="s">
        <v>65</v>
      </c>
      <c r="S1276">
        <v>416020.72</v>
      </c>
      <c r="T1276">
        <v>0</v>
      </c>
      <c r="U1276" t="s">
        <v>66</v>
      </c>
      <c r="V1276" t="s">
        <v>10</v>
      </c>
      <c r="W1276" t="s">
        <v>74</v>
      </c>
      <c r="X1276" t="s">
        <v>375</v>
      </c>
      <c r="Y1276" t="s">
        <v>30</v>
      </c>
      <c r="Z1276">
        <v>1.1100000000000001</v>
      </c>
      <c r="AA1276">
        <f t="shared" si="57"/>
        <v>37801.64</v>
      </c>
      <c r="AB1276">
        <f t="shared" si="58"/>
        <v>9.0864801157019295E-2</v>
      </c>
      <c r="AC1276">
        <f t="shared" si="59"/>
        <v>0</v>
      </c>
      <c r="AD1276">
        <v>2024</v>
      </c>
      <c r="AE1276">
        <v>8</v>
      </c>
      <c r="AF1276" t="s">
        <v>82</v>
      </c>
      <c r="AG1276" t="s">
        <v>83</v>
      </c>
    </row>
    <row r="1277" spans="1:33">
      <c r="A1277" t="s">
        <v>1428</v>
      </c>
      <c r="B1277">
        <v>45533</v>
      </c>
      <c r="C1277">
        <v>45543</v>
      </c>
      <c r="D1277" t="s">
        <v>29</v>
      </c>
      <c r="E1277">
        <v>750</v>
      </c>
      <c r="F1277">
        <v>3112.91</v>
      </c>
      <c r="G1277">
        <v>0.09</v>
      </c>
      <c r="H1277">
        <v>2332581.29</v>
      </c>
      <c r="I1277" t="s">
        <v>1726</v>
      </c>
      <c r="J1277">
        <v>2282.89</v>
      </c>
      <c r="K1277">
        <v>1712167.5</v>
      </c>
      <c r="L1277">
        <v>9110.9</v>
      </c>
      <c r="M1277">
        <v>3916.13</v>
      </c>
      <c r="N1277">
        <v>4997.75</v>
      </c>
      <c r="O1277">
        <v>1730192.28</v>
      </c>
      <c r="P1277">
        <v>620413.79</v>
      </c>
      <c r="Q1277">
        <v>602389.01</v>
      </c>
      <c r="R1277" t="s">
        <v>65</v>
      </c>
      <c r="S1277">
        <v>2332581.29</v>
      </c>
      <c r="T1277">
        <v>0</v>
      </c>
      <c r="U1277" t="s">
        <v>66</v>
      </c>
      <c r="V1277" t="s">
        <v>8</v>
      </c>
      <c r="W1277" t="s">
        <v>74</v>
      </c>
      <c r="X1277" t="s">
        <v>123</v>
      </c>
      <c r="Y1277" t="s">
        <v>22</v>
      </c>
      <c r="Z1277">
        <v>0.53</v>
      </c>
      <c r="AA1277">
        <f t="shared" si="57"/>
        <v>602389.01</v>
      </c>
      <c r="AB1277">
        <f t="shared" si="58"/>
        <v>0.25824995363827169</v>
      </c>
      <c r="AC1277">
        <f t="shared" si="59"/>
        <v>0</v>
      </c>
      <c r="AD1277">
        <v>2024</v>
      </c>
      <c r="AE1277">
        <v>8</v>
      </c>
      <c r="AF1277" t="s">
        <v>82</v>
      </c>
      <c r="AG1277" t="s">
        <v>83</v>
      </c>
    </row>
    <row r="1278" spans="1:33">
      <c r="A1278" t="s">
        <v>1429</v>
      </c>
      <c r="B1278">
        <v>45540</v>
      </c>
      <c r="C1278">
        <v>45540</v>
      </c>
      <c r="D1278" t="s">
        <v>25</v>
      </c>
      <c r="E1278">
        <v>150</v>
      </c>
      <c r="F1278">
        <v>929.92</v>
      </c>
      <c r="G1278">
        <v>1.94</v>
      </c>
      <c r="H1278">
        <v>136781.93</v>
      </c>
      <c r="I1278" t="s">
        <v>1727</v>
      </c>
      <c r="J1278">
        <v>780.89</v>
      </c>
      <c r="K1278">
        <v>117133.5</v>
      </c>
      <c r="L1278">
        <v>3520.32</v>
      </c>
      <c r="M1278">
        <v>762.71</v>
      </c>
      <c r="N1278">
        <v>1795.59</v>
      </c>
      <c r="O1278">
        <v>123212.12</v>
      </c>
      <c r="P1278">
        <v>19648.43</v>
      </c>
      <c r="Q1278">
        <v>13569.81</v>
      </c>
      <c r="R1278" t="s">
        <v>65</v>
      </c>
      <c r="S1278">
        <v>136781.93</v>
      </c>
      <c r="T1278">
        <v>0</v>
      </c>
      <c r="U1278" t="s">
        <v>66</v>
      </c>
      <c r="V1278" t="s">
        <v>6</v>
      </c>
      <c r="W1278" t="s">
        <v>80</v>
      </c>
      <c r="X1278" t="s">
        <v>89</v>
      </c>
      <c r="Y1278" t="s">
        <v>28</v>
      </c>
      <c r="Z1278">
        <v>0.98</v>
      </c>
      <c r="AA1278">
        <f t="shared" si="57"/>
        <v>13569.81</v>
      </c>
      <c r="AB1278">
        <f t="shared" si="58"/>
        <v>9.92076219424598E-2</v>
      </c>
      <c r="AC1278">
        <f t="shared" si="59"/>
        <v>0</v>
      </c>
      <c r="AD1278">
        <v>2024</v>
      </c>
      <c r="AE1278">
        <v>9</v>
      </c>
      <c r="AF1278" t="s">
        <v>131</v>
      </c>
      <c r="AG1278" t="s">
        <v>188</v>
      </c>
    </row>
    <row r="1279" spans="1:33">
      <c r="A1279" t="s">
        <v>1430</v>
      </c>
      <c r="B1279">
        <v>45393</v>
      </c>
      <c r="C1279">
        <v>45400</v>
      </c>
      <c r="D1279" t="s">
        <v>21</v>
      </c>
      <c r="E1279">
        <v>150</v>
      </c>
      <c r="F1279">
        <v>845.04</v>
      </c>
      <c r="G1279">
        <v>1.74</v>
      </c>
      <c r="H1279">
        <v>124550.45</v>
      </c>
      <c r="I1279" t="s">
        <v>1729</v>
      </c>
      <c r="J1279">
        <v>699.16</v>
      </c>
      <c r="K1279">
        <v>104874</v>
      </c>
      <c r="L1279">
        <v>1910.9</v>
      </c>
      <c r="M1279">
        <v>252.89</v>
      </c>
      <c r="N1279">
        <v>8706.75</v>
      </c>
      <c r="O1279">
        <v>115744.54</v>
      </c>
      <c r="P1279">
        <v>19676.45</v>
      </c>
      <c r="Q1279">
        <v>8805.91</v>
      </c>
      <c r="R1279" t="s">
        <v>65</v>
      </c>
      <c r="S1279">
        <v>124550.45</v>
      </c>
      <c r="T1279">
        <v>0</v>
      </c>
      <c r="U1279" t="s">
        <v>66</v>
      </c>
      <c r="V1279" t="s">
        <v>6</v>
      </c>
      <c r="W1279" t="s">
        <v>74</v>
      </c>
      <c r="X1279" t="s">
        <v>101</v>
      </c>
      <c r="Y1279" t="s">
        <v>22</v>
      </c>
      <c r="Z1279">
        <v>1.65</v>
      </c>
      <c r="AA1279">
        <f t="shared" si="57"/>
        <v>8805.91</v>
      </c>
      <c r="AB1279">
        <f t="shared" si="58"/>
        <v>7.0701551058225801E-2</v>
      </c>
      <c r="AC1279">
        <f t="shared" si="59"/>
        <v>0</v>
      </c>
      <c r="AD1279">
        <v>2024</v>
      </c>
      <c r="AE1279">
        <v>4</v>
      </c>
      <c r="AF1279" t="s">
        <v>154</v>
      </c>
      <c r="AG1279" t="s">
        <v>157</v>
      </c>
    </row>
    <row r="1280" spans="1:33">
      <c r="A1280" t="s">
        <v>1431</v>
      </c>
      <c r="B1280">
        <v>45869</v>
      </c>
      <c r="C1280">
        <v>45882</v>
      </c>
      <c r="D1280" t="s">
        <v>21</v>
      </c>
      <c r="E1280">
        <v>150</v>
      </c>
      <c r="F1280">
        <v>812.24</v>
      </c>
      <c r="G1280">
        <v>1.7</v>
      </c>
      <c r="H1280">
        <v>119764.79</v>
      </c>
      <c r="I1280" t="s">
        <v>1727</v>
      </c>
      <c r="J1280">
        <v>653.07000000000005</v>
      </c>
      <c r="K1280">
        <v>97960.5</v>
      </c>
      <c r="L1280">
        <v>2190.9499999999998</v>
      </c>
      <c r="M1280">
        <v>426.34</v>
      </c>
      <c r="N1280">
        <v>1247.6099999999999</v>
      </c>
      <c r="O1280">
        <v>101825.4</v>
      </c>
      <c r="P1280">
        <v>21804.29</v>
      </c>
      <c r="Q1280">
        <v>17939.39</v>
      </c>
      <c r="R1280" t="s">
        <v>65</v>
      </c>
      <c r="S1280">
        <v>119764.79</v>
      </c>
      <c r="T1280">
        <v>0</v>
      </c>
      <c r="U1280" t="s">
        <v>66</v>
      </c>
      <c r="V1280" t="s">
        <v>16</v>
      </c>
      <c r="W1280" t="s">
        <v>74</v>
      </c>
      <c r="X1280" t="s">
        <v>375</v>
      </c>
      <c r="Y1280" t="s">
        <v>30</v>
      </c>
      <c r="Z1280">
        <v>1.64</v>
      </c>
      <c r="AA1280">
        <f t="shared" si="57"/>
        <v>17939.39</v>
      </c>
      <c r="AB1280">
        <f t="shared" si="58"/>
        <v>0.14978851463773285</v>
      </c>
      <c r="AC1280">
        <f t="shared" si="59"/>
        <v>0</v>
      </c>
      <c r="AD1280">
        <v>2025</v>
      </c>
      <c r="AE1280">
        <v>7</v>
      </c>
      <c r="AF1280" t="s">
        <v>69</v>
      </c>
      <c r="AG1280" t="s">
        <v>151</v>
      </c>
    </row>
    <row r="1281" spans="1:33">
      <c r="A1281" t="s">
        <v>1432</v>
      </c>
      <c r="B1281">
        <v>45863</v>
      </c>
      <c r="C1281">
        <v>45868</v>
      </c>
      <c r="D1281" t="s">
        <v>25</v>
      </c>
      <c r="E1281">
        <v>750</v>
      </c>
      <c r="F1281">
        <v>958.78</v>
      </c>
      <c r="G1281">
        <v>4.1500000000000004</v>
      </c>
      <c r="H1281">
        <v>689242.97</v>
      </c>
      <c r="I1281" t="s">
        <v>1726</v>
      </c>
      <c r="J1281">
        <v>744.71</v>
      </c>
      <c r="K1281">
        <v>558532.5</v>
      </c>
      <c r="L1281">
        <v>13905.35</v>
      </c>
      <c r="M1281">
        <v>1452.37</v>
      </c>
      <c r="N1281">
        <v>4253.51</v>
      </c>
      <c r="O1281">
        <v>578143.73</v>
      </c>
      <c r="P1281">
        <v>130710.47</v>
      </c>
      <c r="Q1281">
        <v>111099.24</v>
      </c>
      <c r="R1281" t="s">
        <v>65</v>
      </c>
      <c r="S1281">
        <v>689242.97</v>
      </c>
      <c r="T1281">
        <v>0</v>
      </c>
      <c r="U1281" t="s">
        <v>66</v>
      </c>
      <c r="V1281" t="s">
        <v>14</v>
      </c>
      <c r="W1281" t="s">
        <v>80</v>
      </c>
      <c r="X1281" t="s">
        <v>81</v>
      </c>
      <c r="Y1281" t="s">
        <v>24</v>
      </c>
      <c r="Z1281">
        <v>0.57999999999999996</v>
      </c>
      <c r="AA1281">
        <f t="shared" si="57"/>
        <v>111099.24</v>
      </c>
      <c r="AB1281">
        <f t="shared" si="58"/>
        <v>0.16119024035892598</v>
      </c>
      <c r="AC1281">
        <f t="shared" si="59"/>
        <v>0</v>
      </c>
      <c r="AD1281">
        <v>2025</v>
      </c>
      <c r="AE1281">
        <v>7</v>
      </c>
      <c r="AF1281" t="s">
        <v>69</v>
      </c>
      <c r="AG1281" t="s">
        <v>151</v>
      </c>
    </row>
    <row r="1282" spans="1:33">
      <c r="A1282" t="s">
        <v>1433</v>
      </c>
      <c r="B1282">
        <v>45758</v>
      </c>
      <c r="C1282">
        <v>45765</v>
      </c>
      <c r="D1282" t="s">
        <v>23</v>
      </c>
      <c r="E1282">
        <v>100</v>
      </c>
      <c r="F1282">
        <v>1320.56</v>
      </c>
      <c r="G1282">
        <v>2.04</v>
      </c>
      <c r="H1282">
        <v>129362.06</v>
      </c>
      <c r="I1282" t="s">
        <v>1726</v>
      </c>
      <c r="J1282">
        <v>1054.82</v>
      </c>
      <c r="K1282">
        <v>105482</v>
      </c>
      <c r="L1282">
        <v>2062.29</v>
      </c>
      <c r="M1282">
        <v>357.67</v>
      </c>
      <c r="N1282">
        <v>2156.59</v>
      </c>
      <c r="O1282">
        <v>110058.55</v>
      </c>
      <c r="P1282">
        <v>23880.06</v>
      </c>
      <c r="Q1282">
        <v>19303.509999999998</v>
      </c>
      <c r="R1282" t="s">
        <v>65</v>
      </c>
      <c r="S1282">
        <v>129362.06</v>
      </c>
      <c r="T1282">
        <v>0</v>
      </c>
      <c r="U1282" t="s">
        <v>73</v>
      </c>
      <c r="V1282" t="s">
        <v>14</v>
      </c>
      <c r="W1282" t="s">
        <v>80</v>
      </c>
      <c r="X1282" t="s">
        <v>208</v>
      </c>
      <c r="Y1282" t="s">
        <v>26</v>
      </c>
      <c r="Z1282">
        <v>1.1399999999999999</v>
      </c>
      <c r="AA1282">
        <f t="shared" ref="AA1282:AA1345" si="60">ROUND(H1282-O1282,2)</f>
        <v>19303.509999999998</v>
      </c>
      <c r="AB1282">
        <f t="shared" ref="AB1282:AB1345" si="61">AA1282/H1282</f>
        <v>0.14922079935956492</v>
      </c>
      <c r="AC1282">
        <f t="shared" ref="AC1282:AC1345" si="62">ROUND(AA1282-Q1282,2)</f>
        <v>0</v>
      </c>
      <c r="AD1282">
        <v>2025</v>
      </c>
      <c r="AE1282">
        <v>4</v>
      </c>
      <c r="AF1282" t="s">
        <v>154</v>
      </c>
      <c r="AG1282" t="s">
        <v>155</v>
      </c>
    </row>
    <row r="1283" spans="1:33">
      <c r="A1283" t="s">
        <v>1434</v>
      </c>
      <c r="B1283">
        <v>45986</v>
      </c>
      <c r="C1283">
        <v>45999</v>
      </c>
      <c r="D1283" t="s">
        <v>21</v>
      </c>
      <c r="E1283">
        <v>750</v>
      </c>
      <c r="F1283">
        <v>976.8</v>
      </c>
      <c r="G1283">
        <v>0.3</v>
      </c>
      <c r="H1283">
        <v>730402.2</v>
      </c>
      <c r="I1283" t="s">
        <v>1728</v>
      </c>
      <c r="J1283">
        <v>713.65</v>
      </c>
      <c r="K1283">
        <v>535237.5</v>
      </c>
      <c r="L1283">
        <v>4617.62</v>
      </c>
      <c r="M1283">
        <v>2835.87</v>
      </c>
      <c r="N1283">
        <v>7311.93</v>
      </c>
      <c r="O1283">
        <v>550002.92000000004</v>
      </c>
      <c r="P1283">
        <v>195164.7</v>
      </c>
      <c r="Q1283">
        <v>180399.28</v>
      </c>
      <c r="R1283" t="s">
        <v>65</v>
      </c>
      <c r="S1283">
        <v>730402.2</v>
      </c>
      <c r="T1283">
        <v>0</v>
      </c>
      <c r="U1283" t="s">
        <v>66</v>
      </c>
      <c r="V1283" t="s">
        <v>16</v>
      </c>
      <c r="W1283" t="s">
        <v>67</v>
      </c>
      <c r="X1283" t="s">
        <v>145</v>
      </c>
      <c r="Y1283" t="s">
        <v>30</v>
      </c>
      <c r="Z1283">
        <v>1.74</v>
      </c>
      <c r="AA1283">
        <f t="shared" si="60"/>
        <v>180399.28</v>
      </c>
      <c r="AB1283">
        <f t="shared" si="61"/>
        <v>0.24698622211159826</v>
      </c>
      <c r="AC1283">
        <f t="shared" si="62"/>
        <v>0</v>
      </c>
      <c r="AD1283">
        <v>2025</v>
      </c>
      <c r="AE1283">
        <v>11</v>
      </c>
      <c r="AF1283" t="s">
        <v>128</v>
      </c>
      <c r="AG1283" t="s">
        <v>135</v>
      </c>
    </row>
    <row r="1284" spans="1:33">
      <c r="A1284" t="s">
        <v>1435</v>
      </c>
      <c r="B1284">
        <v>45479</v>
      </c>
      <c r="C1284">
        <v>45492</v>
      </c>
      <c r="D1284" t="s">
        <v>21</v>
      </c>
      <c r="E1284">
        <v>200</v>
      </c>
      <c r="F1284">
        <v>808.91</v>
      </c>
      <c r="G1284">
        <v>2.09</v>
      </c>
      <c r="H1284">
        <v>158400.76</v>
      </c>
      <c r="I1284" t="s">
        <v>1726</v>
      </c>
      <c r="J1284">
        <v>688.42</v>
      </c>
      <c r="K1284">
        <v>137684</v>
      </c>
      <c r="L1284">
        <v>3906.74</v>
      </c>
      <c r="M1284">
        <v>489.49</v>
      </c>
      <c r="N1284">
        <v>5601.98</v>
      </c>
      <c r="O1284">
        <v>147682.21</v>
      </c>
      <c r="P1284">
        <v>20716.759999999998</v>
      </c>
      <c r="Q1284">
        <v>10718.55</v>
      </c>
      <c r="R1284" t="s">
        <v>65</v>
      </c>
      <c r="S1284">
        <v>158400.76</v>
      </c>
      <c r="T1284">
        <v>0</v>
      </c>
      <c r="U1284" t="s">
        <v>66</v>
      </c>
      <c r="V1284" t="s">
        <v>12</v>
      </c>
      <c r="W1284" t="s">
        <v>80</v>
      </c>
      <c r="X1284" t="s">
        <v>123</v>
      </c>
      <c r="Y1284" t="s">
        <v>22</v>
      </c>
      <c r="Z1284">
        <v>0.26</v>
      </c>
      <c r="AA1284">
        <f t="shared" si="60"/>
        <v>10718.55</v>
      </c>
      <c r="AB1284">
        <f t="shared" si="61"/>
        <v>6.7667288970078163E-2</v>
      </c>
      <c r="AC1284">
        <f t="shared" si="62"/>
        <v>0</v>
      </c>
      <c r="AD1284">
        <v>2024</v>
      </c>
      <c r="AE1284">
        <v>7</v>
      </c>
      <c r="AF1284" t="s">
        <v>69</v>
      </c>
      <c r="AG1284" t="s">
        <v>70</v>
      </c>
    </row>
    <row r="1285" spans="1:33">
      <c r="A1285" t="s">
        <v>1436</v>
      </c>
      <c r="B1285">
        <v>45378</v>
      </c>
      <c r="C1285">
        <v>45387</v>
      </c>
      <c r="D1285" t="s">
        <v>21</v>
      </c>
      <c r="E1285">
        <v>750</v>
      </c>
      <c r="F1285">
        <v>950.35</v>
      </c>
      <c r="G1285">
        <v>1.07</v>
      </c>
      <c r="H1285">
        <v>705135.94</v>
      </c>
      <c r="I1285" t="s">
        <v>1726</v>
      </c>
      <c r="J1285">
        <v>737.63</v>
      </c>
      <c r="K1285">
        <v>553222.5</v>
      </c>
      <c r="L1285">
        <v>16942.48</v>
      </c>
      <c r="M1285">
        <v>4182.79</v>
      </c>
      <c r="N1285">
        <v>11338.79</v>
      </c>
      <c r="O1285">
        <v>585686.56000000006</v>
      </c>
      <c r="P1285">
        <v>151913.44</v>
      </c>
      <c r="Q1285">
        <v>119449.38</v>
      </c>
      <c r="R1285" t="s">
        <v>85</v>
      </c>
      <c r="S1285">
        <v>250158.89</v>
      </c>
      <c r="T1285">
        <v>454977.05</v>
      </c>
      <c r="U1285" t="s">
        <v>66</v>
      </c>
      <c r="V1285" t="s">
        <v>6</v>
      </c>
      <c r="W1285" t="s">
        <v>92</v>
      </c>
      <c r="X1285" t="s">
        <v>93</v>
      </c>
      <c r="Y1285" t="s">
        <v>26</v>
      </c>
      <c r="Z1285">
        <v>1.46</v>
      </c>
      <c r="AA1285">
        <f t="shared" si="60"/>
        <v>119449.38</v>
      </c>
      <c r="AB1285">
        <f t="shared" si="61"/>
        <v>0.16939908069357523</v>
      </c>
      <c r="AC1285">
        <f t="shared" si="62"/>
        <v>0</v>
      </c>
      <c r="AD1285">
        <v>2024</v>
      </c>
      <c r="AE1285">
        <v>3</v>
      </c>
      <c r="AF1285" t="s">
        <v>105</v>
      </c>
      <c r="AG1285" t="s">
        <v>120</v>
      </c>
    </row>
    <row r="1286" spans="1:33">
      <c r="A1286" t="s">
        <v>1437</v>
      </c>
      <c r="B1286">
        <v>45743</v>
      </c>
      <c r="C1286">
        <v>45756</v>
      </c>
      <c r="D1286" t="s">
        <v>23</v>
      </c>
      <c r="E1286">
        <v>200</v>
      </c>
      <c r="F1286">
        <v>1375.97</v>
      </c>
      <c r="G1286">
        <v>0.38</v>
      </c>
      <c r="H1286">
        <v>274148.26</v>
      </c>
      <c r="I1286" t="s">
        <v>1728</v>
      </c>
      <c r="J1286">
        <v>1003.12</v>
      </c>
      <c r="K1286">
        <v>200624</v>
      </c>
      <c r="L1286">
        <v>4652.99</v>
      </c>
      <c r="M1286">
        <v>694.73</v>
      </c>
      <c r="N1286">
        <v>11873.4</v>
      </c>
      <c r="O1286">
        <v>217845.12</v>
      </c>
      <c r="P1286">
        <v>73524.259999999995</v>
      </c>
      <c r="Q1286">
        <v>56303.14</v>
      </c>
      <c r="R1286" t="s">
        <v>85</v>
      </c>
      <c r="S1286">
        <v>138516.09</v>
      </c>
      <c r="T1286">
        <v>135632.17000000001</v>
      </c>
      <c r="U1286" t="s">
        <v>66</v>
      </c>
      <c r="V1286" t="s">
        <v>14</v>
      </c>
      <c r="W1286" t="s">
        <v>67</v>
      </c>
      <c r="X1286" t="s">
        <v>371</v>
      </c>
      <c r="Y1286" t="s">
        <v>26</v>
      </c>
      <c r="Z1286">
        <v>1.66</v>
      </c>
      <c r="AA1286">
        <f t="shared" si="60"/>
        <v>56303.14</v>
      </c>
      <c r="AB1286">
        <f t="shared" si="61"/>
        <v>0.20537478516186825</v>
      </c>
      <c r="AC1286">
        <f t="shared" si="62"/>
        <v>0</v>
      </c>
      <c r="AD1286">
        <v>2025</v>
      </c>
      <c r="AE1286">
        <v>3</v>
      </c>
      <c r="AF1286" t="s">
        <v>105</v>
      </c>
      <c r="AG1286" t="s">
        <v>106</v>
      </c>
    </row>
    <row r="1287" spans="1:33">
      <c r="A1287" t="s">
        <v>1438</v>
      </c>
      <c r="B1287">
        <v>45388</v>
      </c>
      <c r="C1287">
        <v>45388</v>
      </c>
      <c r="D1287" t="s">
        <v>21</v>
      </c>
      <c r="E1287">
        <v>500</v>
      </c>
      <c r="F1287">
        <v>874.56</v>
      </c>
      <c r="G1287">
        <v>3.82</v>
      </c>
      <c r="H1287">
        <v>420575.9</v>
      </c>
      <c r="I1287" t="s">
        <v>1728</v>
      </c>
      <c r="J1287">
        <v>683.45</v>
      </c>
      <c r="K1287">
        <v>341725</v>
      </c>
      <c r="L1287">
        <v>8236.66</v>
      </c>
      <c r="M1287">
        <v>1856.11</v>
      </c>
      <c r="N1287">
        <v>8.89</v>
      </c>
      <c r="O1287">
        <v>351826.66</v>
      </c>
      <c r="P1287">
        <v>78850.899999999994</v>
      </c>
      <c r="Q1287">
        <v>68749.240000000005</v>
      </c>
      <c r="R1287" t="s">
        <v>65</v>
      </c>
      <c r="S1287">
        <v>420575.9</v>
      </c>
      <c r="T1287">
        <v>0</v>
      </c>
      <c r="U1287" t="s">
        <v>66</v>
      </c>
      <c r="V1287" t="s">
        <v>6</v>
      </c>
      <c r="W1287" t="s">
        <v>74</v>
      </c>
      <c r="X1287" t="s">
        <v>147</v>
      </c>
      <c r="Y1287" t="s">
        <v>28</v>
      </c>
      <c r="Z1287">
        <v>1.59</v>
      </c>
      <c r="AA1287">
        <f t="shared" si="60"/>
        <v>68749.240000000005</v>
      </c>
      <c r="AB1287">
        <f t="shared" si="61"/>
        <v>0.16346452566587863</v>
      </c>
      <c r="AC1287">
        <f t="shared" si="62"/>
        <v>0</v>
      </c>
      <c r="AD1287">
        <v>2024</v>
      </c>
      <c r="AE1287">
        <v>4</v>
      </c>
      <c r="AF1287" t="s">
        <v>154</v>
      </c>
      <c r="AG1287" t="s">
        <v>157</v>
      </c>
    </row>
    <row r="1288" spans="1:33">
      <c r="A1288" t="s">
        <v>1439</v>
      </c>
      <c r="B1288">
        <v>45737</v>
      </c>
      <c r="C1288">
        <v>45747</v>
      </c>
      <c r="D1288" t="s">
        <v>21</v>
      </c>
      <c r="E1288">
        <v>100</v>
      </c>
      <c r="F1288">
        <v>900.21</v>
      </c>
      <c r="G1288">
        <v>0.95</v>
      </c>
      <c r="H1288">
        <v>89165.8</v>
      </c>
      <c r="I1288" t="s">
        <v>1728</v>
      </c>
      <c r="J1288">
        <v>748.91</v>
      </c>
      <c r="K1288">
        <v>74891</v>
      </c>
      <c r="L1288">
        <v>1853.71</v>
      </c>
      <c r="M1288">
        <v>546.67999999999995</v>
      </c>
      <c r="N1288">
        <v>7664.42</v>
      </c>
      <c r="O1288">
        <v>84955.81</v>
      </c>
      <c r="P1288">
        <v>14274.8</v>
      </c>
      <c r="Q1288">
        <v>4209.99</v>
      </c>
      <c r="R1288" t="s">
        <v>134</v>
      </c>
      <c r="S1288">
        <v>0</v>
      </c>
      <c r="T1288">
        <v>89165.8</v>
      </c>
      <c r="U1288" t="s">
        <v>66</v>
      </c>
      <c r="V1288" t="s">
        <v>8</v>
      </c>
      <c r="W1288" t="s">
        <v>67</v>
      </c>
      <c r="X1288" t="s">
        <v>375</v>
      </c>
      <c r="Y1288" t="s">
        <v>30</v>
      </c>
      <c r="Z1288">
        <v>1.87</v>
      </c>
      <c r="AA1288">
        <f t="shared" si="60"/>
        <v>4209.99</v>
      </c>
      <c r="AB1288">
        <f t="shared" si="61"/>
        <v>4.7215300036561096E-2</v>
      </c>
      <c r="AC1288">
        <f t="shared" si="62"/>
        <v>0</v>
      </c>
      <c r="AD1288">
        <v>2025</v>
      </c>
      <c r="AE1288">
        <v>3</v>
      </c>
      <c r="AF1288" t="s">
        <v>105</v>
      </c>
      <c r="AG1288" t="s">
        <v>106</v>
      </c>
    </row>
    <row r="1289" spans="1:33">
      <c r="A1289" t="s">
        <v>1440</v>
      </c>
      <c r="B1289">
        <v>45842</v>
      </c>
      <c r="C1289">
        <v>45848</v>
      </c>
      <c r="D1289" t="s">
        <v>27</v>
      </c>
      <c r="E1289">
        <v>500</v>
      </c>
      <c r="F1289">
        <v>739.1</v>
      </c>
      <c r="G1289">
        <v>1.31</v>
      </c>
      <c r="H1289">
        <v>364708.9</v>
      </c>
      <c r="I1289" t="s">
        <v>1727</v>
      </c>
      <c r="J1289">
        <v>586.96</v>
      </c>
      <c r="K1289">
        <v>293480</v>
      </c>
      <c r="L1289">
        <v>7344.09</v>
      </c>
      <c r="M1289">
        <v>763.42</v>
      </c>
      <c r="N1289">
        <v>357.19</v>
      </c>
      <c r="O1289">
        <v>301944.7</v>
      </c>
      <c r="P1289">
        <v>71228.899999999994</v>
      </c>
      <c r="Q1289">
        <v>62764.2</v>
      </c>
      <c r="R1289" t="s">
        <v>65</v>
      </c>
      <c r="S1289">
        <v>364708.9</v>
      </c>
      <c r="T1289">
        <v>0</v>
      </c>
      <c r="U1289" t="s">
        <v>66</v>
      </c>
      <c r="V1289" t="s">
        <v>12</v>
      </c>
      <c r="W1289" t="s">
        <v>67</v>
      </c>
      <c r="X1289" t="s">
        <v>224</v>
      </c>
      <c r="Y1289" t="s">
        <v>31</v>
      </c>
      <c r="Z1289">
        <v>2.2400000000000002</v>
      </c>
      <c r="AA1289">
        <f t="shared" si="60"/>
        <v>62764.2</v>
      </c>
      <c r="AB1289">
        <f t="shared" si="61"/>
        <v>0.17209396315801451</v>
      </c>
      <c r="AC1289">
        <f t="shared" si="62"/>
        <v>0</v>
      </c>
      <c r="AD1289">
        <v>2025</v>
      </c>
      <c r="AE1289">
        <v>7</v>
      </c>
      <c r="AF1289" t="s">
        <v>69</v>
      </c>
      <c r="AG1289" t="s">
        <v>151</v>
      </c>
    </row>
    <row r="1290" spans="1:33">
      <c r="A1290" t="s">
        <v>1441</v>
      </c>
      <c r="B1290">
        <v>45902</v>
      </c>
      <c r="C1290">
        <v>45908</v>
      </c>
      <c r="D1290" t="s">
        <v>23</v>
      </c>
      <c r="E1290">
        <v>1000</v>
      </c>
      <c r="F1290">
        <v>1249.6600000000001</v>
      </c>
      <c r="G1290">
        <v>1.56</v>
      </c>
      <c r="H1290">
        <v>1230165.3</v>
      </c>
      <c r="I1290" t="s">
        <v>1728</v>
      </c>
      <c r="J1290">
        <v>1090.67</v>
      </c>
      <c r="K1290">
        <v>1090670</v>
      </c>
      <c r="L1290">
        <v>9007.4</v>
      </c>
      <c r="M1290">
        <v>5425.07</v>
      </c>
      <c r="N1290">
        <v>6622.06</v>
      </c>
      <c r="O1290">
        <v>1111724.53</v>
      </c>
      <c r="P1290">
        <v>139495.29999999999</v>
      </c>
      <c r="Q1290">
        <v>118440.77</v>
      </c>
      <c r="R1290" t="s">
        <v>65</v>
      </c>
      <c r="S1290">
        <v>1230165.3</v>
      </c>
      <c r="T1290">
        <v>0</v>
      </c>
      <c r="U1290" t="s">
        <v>66</v>
      </c>
      <c r="V1290" t="s">
        <v>6</v>
      </c>
      <c r="W1290" t="s">
        <v>74</v>
      </c>
      <c r="X1290" t="s">
        <v>230</v>
      </c>
      <c r="Y1290" t="s">
        <v>31</v>
      </c>
      <c r="Z1290">
        <v>1.77</v>
      </c>
      <c r="AA1290">
        <f t="shared" si="60"/>
        <v>118440.77</v>
      </c>
      <c r="AB1290">
        <f t="shared" si="61"/>
        <v>9.6280369800708893E-2</v>
      </c>
      <c r="AC1290">
        <f t="shared" si="62"/>
        <v>0</v>
      </c>
      <c r="AD1290">
        <v>2025</v>
      </c>
      <c r="AE1290">
        <v>9</v>
      </c>
      <c r="AF1290" t="s">
        <v>131</v>
      </c>
      <c r="AG1290" t="s">
        <v>132</v>
      </c>
    </row>
    <row r="1291" spans="1:33">
      <c r="A1291" t="s">
        <v>1442</v>
      </c>
      <c r="B1291">
        <v>45802</v>
      </c>
      <c r="C1291">
        <v>45814</v>
      </c>
      <c r="D1291" t="s">
        <v>23</v>
      </c>
      <c r="E1291">
        <v>300</v>
      </c>
      <c r="F1291">
        <v>1323.73</v>
      </c>
      <c r="G1291">
        <v>0.12</v>
      </c>
      <c r="H1291">
        <v>396642.46</v>
      </c>
      <c r="I1291" t="s">
        <v>1727</v>
      </c>
      <c r="J1291">
        <v>1116.8699999999999</v>
      </c>
      <c r="K1291">
        <v>335061</v>
      </c>
      <c r="L1291">
        <v>4307.33</v>
      </c>
      <c r="M1291">
        <v>1017.13</v>
      </c>
      <c r="N1291">
        <v>5966.57</v>
      </c>
      <c r="O1291">
        <v>346352.03</v>
      </c>
      <c r="P1291">
        <v>61581.46</v>
      </c>
      <c r="Q1291">
        <v>50290.43</v>
      </c>
      <c r="R1291" t="s">
        <v>65</v>
      </c>
      <c r="S1291">
        <v>396642.46</v>
      </c>
      <c r="T1291">
        <v>0</v>
      </c>
      <c r="U1291" t="s">
        <v>66</v>
      </c>
      <c r="V1291" t="s">
        <v>6</v>
      </c>
      <c r="W1291" t="s">
        <v>74</v>
      </c>
      <c r="X1291" t="s">
        <v>127</v>
      </c>
      <c r="Y1291" t="s">
        <v>22</v>
      </c>
      <c r="Z1291">
        <v>1.86</v>
      </c>
      <c r="AA1291">
        <f t="shared" si="60"/>
        <v>50290.43</v>
      </c>
      <c r="AB1291">
        <f t="shared" si="61"/>
        <v>0.12679033404542719</v>
      </c>
      <c r="AC1291">
        <f t="shared" si="62"/>
        <v>0</v>
      </c>
      <c r="AD1291">
        <v>2025</v>
      </c>
      <c r="AE1291">
        <v>5</v>
      </c>
      <c r="AF1291" t="s">
        <v>76</v>
      </c>
      <c r="AG1291" t="s">
        <v>94</v>
      </c>
    </row>
    <row r="1292" spans="1:33">
      <c r="A1292" t="s">
        <v>1443</v>
      </c>
      <c r="B1292">
        <v>45584</v>
      </c>
      <c r="C1292">
        <v>45588</v>
      </c>
      <c r="D1292" t="s">
        <v>21</v>
      </c>
      <c r="E1292">
        <v>1200</v>
      </c>
      <c r="F1292">
        <v>857.44</v>
      </c>
      <c r="G1292">
        <v>3.88</v>
      </c>
      <c r="H1292">
        <v>989005.59</v>
      </c>
      <c r="I1292" t="s">
        <v>1728</v>
      </c>
      <c r="J1292">
        <v>669.64</v>
      </c>
      <c r="K1292">
        <v>803568</v>
      </c>
      <c r="L1292">
        <v>15200.32</v>
      </c>
      <c r="M1292">
        <v>6504.8</v>
      </c>
      <c r="N1292">
        <v>10376.790000000001</v>
      </c>
      <c r="O1292">
        <v>835649.91</v>
      </c>
      <c r="P1292">
        <v>185437.59</v>
      </c>
      <c r="Q1292">
        <v>153355.68</v>
      </c>
      <c r="R1292" t="s">
        <v>134</v>
      </c>
      <c r="S1292">
        <v>0</v>
      </c>
      <c r="T1292">
        <v>989005.59</v>
      </c>
      <c r="U1292" t="s">
        <v>66</v>
      </c>
      <c r="V1292" t="s">
        <v>8</v>
      </c>
      <c r="W1292" t="s">
        <v>80</v>
      </c>
      <c r="X1292" t="s">
        <v>123</v>
      </c>
      <c r="Y1292" t="s">
        <v>22</v>
      </c>
      <c r="Z1292">
        <v>1.45</v>
      </c>
      <c r="AA1292">
        <f t="shared" si="60"/>
        <v>153355.68</v>
      </c>
      <c r="AB1292">
        <f t="shared" si="61"/>
        <v>0.155060478475152</v>
      </c>
      <c r="AC1292">
        <f t="shared" si="62"/>
        <v>0</v>
      </c>
      <c r="AD1292">
        <v>2024</v>
      </c>
      <c r="AE1292">
        <v>10</v>
      </c>
      <c r="AF1292" t="s">
        <v>138</v>
      </c>
      <c r="AG1292" t="s">
        <v>139</v>
      </c>
    </row>
    <row r="1293" spans="1:33">
      <c r="A1293" t="s">
        <v>1444</v>
      </c>
      <c r="B1293">
        <v>45803</v>
      </c>
      <c r="C1293">
        <v>45808</v>
      </c>
      <c r="D1293" t="s">
        <v>21</v>
      </c>
      <c r="E1293">
        <v>200</v>
      </c>
      <c r="F1293">
        <v>859.05</v>
      </c>
      <c r="G1293">
        <v>0.87</v>
      </c>
      <c r="H1293">
        <v>170315.25</v>
      </c>
      <c r="I1293" t="s">
        <v>1726</v>
      </c>
      <c r="J1293">
        <v>709.88</v>
      </c>
      <c r="K1293">
        <v>141976</v>
      </c>
      <c r="L1293">
        <v>3303.79</v>
      </c>
      <c r="M1293">
        <v>412.76</v>
      </c>
      <c r="N1293">
        <v>2542.08</v>
      </c>
      <c r="O1293">
        <v>148234.63</v>
      </c>
      <c r="P1293">
        <v>28339.25</v>
      </c>
      <c r="Q1293">
        <v>22080.62</v>
      </c>
      <c r="R1293" t="s">
        <v>85</v>
      </c>
      <c r="S1293">
        <v>101256.48</v>
      </c>
      <c r="T1293">
        <v>69058.77</v>
      </c>
      <c r="U1293" t="s">
        <v>66</v>
      </c>
      <c r="V1293" t="s">
        <v>6</v>
      </c>
      <c r="W1293" t="s">
        <v>92</v>
      </c>
      <c r="X1293" t="s">
        <v>127</v>
      </c>
      <c r="Y1293" t="s">
        <v>22</v>
      </c>
      <c r="Z1293">
        <v>2.0299999999999998</v>
      </c>
      <c r="AA1293">
        <f t="shared" si="60"/>
        <v>22080.62</v>
      </c>
      <c r="AB1293">
        <f t="shared" si="61"/>
        <v>0.12964558370433651</v>
      </c>
      <c r="AC1293">
        <f t="shared" si="62"/>
        <v>0</v>
      </c>
      <c r="AD1293">
        <v>2025</v>
      </c>
      <c r="AE1293">
        <v>5</v>
      </c>
      <c r="AF1293" t="s">
        <v>76</v>
      </c>
      <c r="AG1293" t="s">
        <v>94</v>
      </c>
    </row>
    <row r="1294" spans="1:33">
      <c r="A1294" t="s">
        <v>1445</v>
      </c>
      <c r="B1294">
        <v>45599</v>
      </c>
      <c r="D1294" t="s">
        <v>25</v>
      </c>
      <c r="E1294">
        <v>1000</v>
      </c>
      <c r="F1294">
        <v>1074.03</v>
      </c>
      <c r="G1294">
        <v>3.88</v>
      </c>
      <c r="H1294">
        <v>1032357.64</v>
      </c>
      <c r="I1294" t="s">
        <v>1726</v>
      </c>
      <c r="J1294">
        <v>816.91</v>
      </c>
      <c r="K1294">
        <v>816910</v>
      </c>
      <c r="L1294">
        <v>12008.6</v>
      </c>
      <c r="M1294">
        <v>3744.93</v>
      </c>
      <c r="N1294">
        <v>6375.06</v>
      </c>
      <c r="O1294">
        <v>839038.59</v>
      </c>
      <c r="P1294">
        <v>215447.64</v>
      </c>
      <c r="Q1294">
        <v>193319.05</v>
      </c>
      <c r="R1294" t="s">
        <v>134</v>
      </c>
      <c r="S1294">
        <v>0</v>
      </c>
      <c r="T1294">
        <v>1032357.64</v>
      </c>
      <c r="U1294" t="s">
        <v>91</v>
      </c>
      <c r="V1294" t="s">
        <v>8</v>
      </c>
      <c r="W1294" t="s">
        <v>67</v>
      </c>
      <c r="X1294" t="s">
        <v>182</v>
      </c>
      <c r="Y1294" t="s">
        <v>26</v>
      </c>
      <c r="Z1294">
        <v>1.22</v>
      </c>
      <c r="AA1294">
        <f t="shared" si="60"/>
        <v>193319.05</v>
      </c>
      <c r="AB1294">
        <f t="shared" si="61"/>
        <v>0.18725976590825635</v>
      </c>
      <c r="AC1294">
        <f t="shared" si="62"/>
        <v>0</v>
      </c>
      <c r="AD1294">
        <v>2024</v>
      </c>
      <c r="AE1294">
        <v>11</v>
      </c>
      <c r="AF1294" t="s">
        <v>128</v>
      </c>
      <c r="AG1294" t="s">
        <v>129</v>
      </c>
    </row>
    <row r="1295" spans="1:33">
      <c r="A1295" t="s">
        <v>1446</v>
      </c>
      <c r="B1295">
        <v>45563</v>
      </c>
      <c r="C1295">
        <v>45573</v>
      </c>
      <c r="D1295" t="s">
        <v>23</v>
      </c>
      <c r="E1295">
        <v>750</v>
      </c>
      <c r="F1295">
        <v>1289.56</v>
      </c>
      <c r="G1295">
        <v>2.35</v>
      </c>
      <c r="H1295">
        <v>944441.5</v>
      </c>
      <c r="I1295" t="s">
        <v>1726</v>
      </c>
      <c r="J1295">
        <v>1039.9100000000001</v>
      </c>
      <c r="K1295">
        <v>779932.5</v>
      </c>
      <c r="L1295">
        <v>7725.17</v>
      </c>
      <c r="M1295">
        <v>4464.3599999999997</v>
      </c>
      <c r="N1295">
        <v>8984.93</v>
      </c>
      <c r="O1295">
        <v>801106.96</v>
      </c>
      <c r="P1295">
        <v>164509</v>
      </c>
      <c r="Q1295">
        <v>143334.54</v>
      </c>
      <c r="R1295" t="s">
        <v>85</v>
      </c>
      <c r="S1295">
        <v>796384.15</v>
      </c>
      <c r="T1295">
        <v>148057.35</v>
      </c>
      <c r="U1295" t="s">
        <v>66</v>
      </c>
      <c r="V1295" t="s">
        <v>6</v>
      </c>
      <c r="W1295" t="s">
        <v>74</v>
      </c>
      <c r="X1295" t="s">
        <v>239</v>
      </c>
      <c r="Y1295" t="s">
        <v>28</v>
      </c>
      <c r="Z1295">
        <v>0.12</v>
      </c>
      <c r="AA1295">
        <f t="shared" si="60"/>
        <v>143334.54</v>
      </c>
      <c r="AB1295">
        <f t="shared" si="61"/>
        <v>0.15176645668365907</v>
      </c>
      <c r="AC1295">
        <f t="shared" si="62"/>
        <v>0</v>
      </c>
      <c r="AD1295">
        <v>2024</v>
      </c>
      <c r="AE1295">
        <v>9</v>
      </c>
      <c r="AF1295" t="s">
        <v>131</v>
      </c>
      <c r="AG1295" t="s">
        <v>188</v>
      </c>
    </row>
    <row r="1296" spans="1:33">
      <c r="A1296" t="s">
        <v>1447</v>
      </c>
      <c r="B1296">
        <v>45525</v>
      </c>
      <c r="C1296">
        <v>45534</v>
      </c>
      <c r="D1296" t="s">
        <v>23</v>
      </c>
      <c r="E1296">
        <v>300</v>
      </c>
      <c r="F1296">
        <v>1284.1300000000001</v>
      </c>
      <c r="G1296">
        <v>2.35</v>
      </c>
      <c r="H1296">
        <v>376185.88</v>
      </c>
      <c r="I1296" t="s">
        <v>1729</v>
      </c>
      <c r="J1296">
        <v>1050.28</v>
      </c>
      <c r="K1296">
        <v>315084</v>
      </c>
      <c r="L1296">
        <v>5678.92</v>
      </c>
      <c r="M1296">
        <v>689.97</v>
      </c>
      <c r="N1296">
        <v>1764.86</v>
      </c>
      <c r="O1296">
        <v>323217.75</v>
      </c>
      <c r="P1296">
        <v>61101.88</v>
      </c>
      <c r="Q1296">
        <v>52968.13</v>
      </c>
      <c r="R1296" t="s">
        <v>65</v>
      </c>
      <c r="S1296">
        <v>376185.88</v>
      </c>
      <c r="T1296">
        <v>0</v>
      </c>
      <c r="U1296" t="s">
        <v>66</v>
      </c>
      <c r="V1296" t="s">
        <v>8</v>
      </c>
      <c r="W1296" t="s">
        <v>74</v>
      </c>
      <c r="X1296" t="s">
        <v>375</v>
      </c>
      <c r="Y1296" t="s">
        <v>30</v>
      </c>
      <c r="Z1296">
        <v>1</v>
      </c>
      <c r="AA1296">
        <f t="shared" si="60"/>
        <v>52968.13</v>
      </c>
      <c r="AB1296">
        <f t="shared" si="61"/>
        <v>0.14080307852065047</v>
      </c>
      <c r="AC1296">
        <f t="shared" si="62"/>
        <v>0</v>
      </c>
      <c r="AD1296">
        <v>2024</v>
      </c>
      <c r="AE1296">
        <v>8</v>
      </c>
      <c r="AF1296" t="s">
        <v>82</v>
      </c>
      <c r="AG1296" t="s">
        <v>83</v>
      </c>
    </row>
    <row r="1297" spans="1:33">
      <c r="A1297" t="s">
        <v>1448</v>
      </c>
      <c r="B1297">
        <v>45586</v>
      </c>
      <c r="C1297">
        <v>45592</v>
      </c>
      <c r="D1297" t="s">
        <v>23</v>
      </c>
      <c r="E1297">
        <v>100</v>
      </c>
      <c r="F1297">
        <v>1270.1099999999999</v>
      </c>
      <c r="G1297">
        <v>1.33</v>
      </c>
      <c r="H1297">
        <v>125321.75</v>
      </c>
      <c r="I1297" t="s">
        <v>1727</v>
      </c>
      <c r="J1297">
        <v>1059.19</v>
      </c>
      <c r="K1297">
        <v>105919</v>
      </c>
      <c r="L1297">
        <v>1938.93</v>
      </c>
      <c r="M1297">
        <v>301.32</v>
      </c>
      <c r="N1297">
        <v>7287.71</v>
      </c>
      <c r="O1297">
        <v>115446.96</v>
      </c>
      <c r="P1297">
        <v>19402.75</v>
      </c>
      <c r="Q1297">
        <v>9874.7900000000009</v>
      </c>
      <c r="R1297" t="s">
        <v>65</v>
      </c>
      <c r="S1297">
        <v>125321.75</v>
      </c>
      <c r="T1297">
        <v>0</v>
      </c>
      <c r="U1297" t="s">
        <v>73</v>
      </c>
      <c r="V1297" t="s">
        <v>14</v>
      </c>
      <c r="W1297" t="s">
        <v>74</v>
      </c>
      <c r="X1297" t="s">
        <v>375</v>
      </c>
      <c r="Y1297" t="s">
        <v>30</v>
      </c>
      <c r="Z1297">
        <v>2.15</v>
      </c>
      <c r="AA1297">
        <f t="shared" si="60"/>
        <v>9874.7900000000009</v>
      </c>
      <c r="AB1297">
        <f t="shared" si="61"/>
        <v>7.87955003820167E-2</v>
      </c>
      <c r="AC1297">
        <f t="shared" si="62"/>
        <v>0</v>
      </c>
      <c r="AD1297">
        <v>2024</v>
      </c>
      <c r="AE1297">
        <v>10</v>
      </c>
      <c r="AF1297" t="s">
        <v>138</v>
      </c>
      <c r="AG1297" t="s">
        <v>139</v>
      </c>
    </row>
    <row r="1298" spans="1:33">
      <c r="A1298" t="s">
        <v>1449</v>
      </c>
      <c r="B1298">
        <v>45879</v>
      </c>
      <c r="C1298">
        <v>45893</v>
      </c>
      <c r="D1298" t="s">
        <v>21</v>
      </c>
      <c r="E1298">
        <v>100</v>
      </c>
      <c r="F1298">
        <v>901</v>
      </c>
      <c r="G1298">
        <v>0.26</v>
      </c>
      <c r="H1298">
        <v>89865.74</v>
      </c>
      <c r="I1298" t="s">
        <v>1729</v>
      </c>
      <c r="J1298">
        <v>665.6</v>
      </c>
      <c r="K1298">
        <v>66560</v>
      </c>
      <c r="L1298">
        <v>2239.09</v>
      </c>
      <c r="M1298">
        <v>214.52</v>
      </c>
      <c r="N1298">
        <v>1868.77</v>
      </c>
      <c r="O1298">
        <v>70882.38</v>
      </c>
      <c r="P1298">
        <v>23305.74</v>
      </c>
      <c r="Q1298">
        <v>18983.36</v>
      </c>
      <c r="R1298" t="s">
        <v>65</v>
      </c>
      <c r="S1298">
        <v>89865.74</v>
      </c>
      <c r="T1298">
        <v>0</v>
      </c>
      <c r="U1298" t="s">
        <v>66</v>
      </c>
      <c r="V1298" t="s">
        <v>14</v>
      </c>
      <c r="W1298" t="s">
        <v>74</v>
      </c>
      <c r="X1298" t="s">
        <v>176</v>
      </c>
      <c r="Y1298" t="s">
        <v>22</v>
      </c>
      <c r="Z1298">
        <v>0.39</v>
      </c>
      <c r="AA1298">
        <f t="shared" si="60"/>
        <v>18983.36</v>
      </c>
      <c r="AB1298">
        <f t="shared" si="61"/>
        <v>0.21124134736997657</v>
      </c>
      <c r="AC1298">
        <f t="shared" si="62"/>
        <v>0</v>
      </c>
      <c r="AD1298">
        <v>2025</v>
      </c>
      <c r="AE1298">
        <v>8</v>
      </c>
      <c r="AF1298" t="s">
        <v>82</v>
      </c>
      <c r="AG1298" t="s">
        <v>87</v>
      </c>
    </row>
    <row r="1299" spans="1:33">
      <c r="A1299" t="s">
        <v>1450</v>
      </c>
      <c r="B1299">
        <v>45768</v>
      </c>
      <c r="C1299">
        <v>45774</v>
      </c>
      <c r="D1299" t="s">
        <v>23</v>
      </c>
      <c r="E1299">
        <v>200</v>
      </c>
      <c r="F1299">
        <v>1343.67</v>
      </c>
      <c r="G1299">
        <v>0.57999999999999996</v>
      </c>
      <c r="H1299">
        <v>267175.34000000003</v>
      </c>
      <c r="I1299" t="s">
        <v>1726</v>
      </c>
      <c r="J1299">
        <v>989.8</v>
      </c>
      <c r="K1299">
        <v>197960</v>
      </c>
      <c r="L1299">
        <v>1992.43</v>
      </c>
      <c r="M1299">
        <v>592.03</v>
      </c>
      <c r="N1299">
        <v>4577.1000000000004</v>
      </c>
      <c r="O1299">
        <v>205121.56</v>
      </c>
      <c r="P1299">
        <v>69215.34</v>
      </c>
      <c r="Q1299">
        <v>62053.78</v>
      </c>
      <c r="R1299" t="s">
        <v>65</v>
      </c>
      <c r="S1299">
        <v>267175.34000000003</v>
      </c>
      <c r="T1299">
        <v>0</v>
      </c>
      <c r="U1299" t="s">
        <v>66</v>
      </c>
      <c r="V1299" t="s">
        <v>16</v>
      </c>
      <c r="W1299" t="s">
        <v>80</v>
      </c>
      <c r="X1299" t="s">
        <v>110</v>
      </c>
      <c r="Y1299" t="s">
        <v>28</v>
      </c>
      <c r="Z1299">
        <v>0.39</v>
      </c>
      <c r="AA1299">
        <f t="shared" si="60"/>
        <v>62053.78</v>
      </c>
      <c r="AB1299">
        <f t="shared" si="61"/>
        <v>0.23225863584565848</v>
      </c>
      <c r="AC1299">
        <f t="shared" si="62"/>
        <v>0</v>
      </c>
      <c r="AD1299">
        <v>2025</v>
      </c>
      <c r="AE1299">
        <v>4</v>
      </c>
      <c r="AF1299" t="s">
        <v>154</v>
      </c>
      <c r="AG1299" t="s">
        <v>155</v>
      </c>
    </row>
    <row r="1300" spans="1:33">
      <c r="A1300" t="s">
        <v>1451</v>
      </c>
      <c r="B1300">
        <v>45664</v>
      </c>
      <c r="C1300">
        <v>45675</v>
      </c>
      <c r="D1300" t="s">
        <v>21</v>
      </c>
      <c r="E1300">
        <v>150</v>
      </c>
      <c r="F1300">
        <v>897.4</v>
      </c>
      <c r="G1300">
        <v>2.02</v>
      </c>
      <c r="H1300">
        <v>131890.88</v>
      </c>
      <c r="I1300" t="s">
        <v>1727</v>
      </c>
      <c r="J1300">
        <v>658.22</v>
      </c>
      <c r="K1300">
        <v>98733</v>
      </c>
      <c r="L1300">
        <v>3213.77</v>
      </c>
      <c r="M1300">
        <v>888.53</v>
      </c>
      <c r="N1300">
        <v>5170.5200000000004</v>
      </c>
      <c r="O1300">
        <v>108005.82</v>
      </c>
      <c r="P1300">
        <v>33157.879999999997</v>
      </c>
      <c r="Q1300">
        <v>23885.06</v>
      </c>
      <c r="R1300" t="s">
        <v>65</v>
      </c>
      <c r="S1300">
        <v>131890.88</v>
      </c>
      <c r="T1300">
        <v>0</v>
      </c>
      <c r="U1300" t="s">
        <v>66</v>
      </c>
      <c r="V1300" t="s">
        <v>12</v>
      </c>
      <c r="W1300" t="s">
        <v>80</v>
      </c>
      <c r="X1300" t="s">
        <v>108</v>
      </c>
      <c r="Y1300" t="s">
        <v>22</v>
      </c>
      <c r="Z1300">
        <v>1.03</v>
      </c>
      <c r="AA1300">
        <f t="shared" si="60"/>
        <v>23885.06</v>
      </c>
      <c r="AB1300">
        <f t="shared" si="61"/>
        <v>0.18109713120421975</v>
      </c>
      <c r="AC1300">
        <f t="shared" si="62"/>
        <v>0</v>
      </c>
      <c r="AD1300">
        <v>2025</v>
      </c>
      <c r="AE1300">
        <v>1</v>
      </c>
      <c r="AF1300" t="s">
        <v>102</v>
      </c>
      <c r="AG1300" t="s">
        <v>118</v>
      </c>
    </row>
    <row r="1301" spans="1:33">
      <c r="A1301" t="s">
        <v>1452</v>
      </c>
      <c r="B1301">
        <v>45852</v>
      </c>
      <c r="D1301" t="s">
        <v>27</v>
      </c>
      <c r="E1301">
        <v>200</v>
      </c>
      <c r="F1301">
        <v>708.75</v>
      </c>
      <c r="G1301">
        <v>0.85</v>
      </c>
      <c r="H1301">
        <v>140545.12</v>
      </c>
      <c r="I1301" t="s">
        <v>1727</v>
      </c>
      <c r="J1301">
        <v>576.79</v>
      </c>
      <c r="K1301">
        <v>115358</v>
      </c>
      <c r="L1301">
        <v>1820.19</v>
      </c>
      <c r="M1301">
        <v>345.95</v>
      </c>
      <c r="N1301">
        <v>10668.22</v>
      </c>
      <c r="O1301">
        <v>128192.36</v>
      </c>
      <c r="P1301">
        <v>25187.119999999999</v>
      </c>
      <c r="Q1301">
        <v>12352.76</v>
      </c>
      <c r="R1301" t="s">
        <v>85</v>
      </c>
      <c r="S1301">
        <v>94727.09</v>
      </c>
      <c r="T1301">
        <v>45818.03</v>
      </c>
      <c r="U1301" t="s">
        <v>91</v>
      </c>
      <c r="V1301" t="s">
        <v>8</v>
      </c>
      <c r="W1301" t="s">
        <v>141</v>
      </c>
      <c r="X1301" t="s">
        <v>176</v>
      </c>
      <c r="Y1301" t="s">
        <v>22</v>
      </c>
      <c r="Z1301">
        <v>0.3</v>
      </c>
      <c r="AA1301">
        <f t="shared" si="60"/>
        <v>12352.76</v>
      </c>
      <c r="AB1301">
        <f t="shared" si="61"/>
        <v>8.7891774541869541E-2</v>
      </c>
      <c r="AC1301">
        <f t="shared" si="62"/>
        <v>0</v>
      </c>
      <c r="AD1301">
        <v>2025</v>
      </c>
      <c r="AE1301">
        <v>7</v>
      </c>
      <c r="AF1301" t="s">
        <v>69</v>
      </c>
      <c r="AG1301" t="s">
        <v>151</v>
      </c>
    </row>
    <row r="1302" spans="1:33">
      <c r="A1302" t="s">
        <v>1453</v>
      </c>
      <c r="B1302">
        <v>45301</v>
      </c>
      <c r="C1302">
        <v>45306</v>
      </c>
      <c r="D1302" t="s">
        <v>29</v>
      </c>
      <c r="E1302">
        <v>300</v>
      </c>
      <c r="F1302">
        <v>2900.69</v>
      </c>
      <c r="G1302">
        <v>2.4700000000000002</v>
      </c>
      <c r="H1302">
        <v>848712.89</v>
      </c>
      <c r="I1302" t="s">
        <v>1729</v>
      </c>
      <c r="J1302">
        <v>2331.0300000000002</v>
      </c>
      <c r="K1302">
        <v>699309</v>
      </c>
      <c r="L1302">
        <v>5281.97</v>
      </c>
      <c r="M1302">
        <v>1102.2</v>
      </c>
      <c r="N1302">
        <v>1352.71</v>
      </c>
      <c r="O1302">
        <v>707045.88</v>
      </c>
      <c r="P1302">
        <v>149403.89000000001</v>
      </c>
      <c r="Q1302">
        <v>141667.01</v>
      </c>
      <c r="R1302" t="s">
        <v>65</v>
      </c>
      <c r="S1302">
        <v>848712.89</v>
      </c>
      <c r="T1302">
        <v>0</v>
      </c>
      <c r="U1302" t="s">
        <v>66</v>
      </c>
      <c r="V1302" t="s">
        <v>16</v>
      </c>
      <c r="W1302" t="s">
        <v>74</v>
      </c>
      <c r="X1302" t="s">
        <v>230</v>
      </c>
      <c r="Y1302" t="s">
        <v>31</v>
      </c>
      <c r="Z1302">
        <v>0.93</v>
      </c>
      <c r="AA1302">
        <f t="shared" si="60"/>
        <v>141667.01</v>
      </c>
      <c r="AB1302">
        <f t="shared" si="61"/>
        <v>0.16691982844752129</v>
      </c>
      <c r="AC1302">
        <f t="shared" si="62"/>
        <v>0</v>
      </c>
      <c r="AD1302">
        <v>2024</v>
      </c>
      <c r="AE1302">
        <v>1</v>
      </c>
      <c r="AF1302" t="s">
        <v>102</v>
      </c>
      <c r="AG1302" t="s">
        <v>103</v>
      </c>
    </row>
    <row r="1303" spans="1:33">
      <c r="A1303" t="s">
        <v>1454</v>
      </c>
      <c r="B1303">
        <v>45600</v>
      </c>
      <c r="C1303">
        <v>45613</v>
      </c>
      <c r="D1303" t="s">
        <v>21</v>
      </c>
      <c r="E1303">
        <v>300</v>
      </c>
      <c r="F1303">
        <v>971.28</v>
      </c>
      <c r="G1303">
        <v>0.79</v>
      </c>
      <c r="H1303">
        <v>289082.07</v>
      </c>
      <c r="I1303" t="s">
        <v>1727</v>
      </c>
      <c r="J1303">
        <v>656.28</v>
      </c>
      <c r="K1303">
        <v>196884</v>
      </c>
      <c r="L1303">
        <v>3559.94</v>
      </c>
      <c r="M1303">
        <v>1697.09</v>
      </c>
      <c r="N1303">
        <v>10719.54</v>
      </c>
      <c r="O1303">
        <v>212860.57</v>
      </c>
      <c r="P1303">
        <v>92198.07</v>
      </c>
      <c r="Q1303">
        <v>76221.5</v>
      </c>
      <c r="R1303" t="s">
        <v>85</v>
      </c>
      <c r="S1303">
        <v>76595.7</v>
      </c>
      <c r="T1303">
        <v>212486.37</v>
      </c>
      <c r="U1303" t="s">
        <v>66</v>
      </c>
      <c r="V1303" t="s">
        <v>6</v>
      </c>
      <c r="W1303" t="s">
        <v>74</v>
      </c>
      <c r="X1303" t="s">
        <v>176</v>
      </c>
      <c r="Y1303" t="s">
        <v>22</v>
      </c>
      <c r="Z1303">
        <v>0.92</v>
      </c>
      <c r="AA1303">
        <f t="shared" si="60"/>
        <v>76221.5</v>
      </c>
      <c r="AB1303">
        <f t="shared" si="61"/>
        <v>0.26366733848280521</v>
      </c>
      <c r="AC1303">
        <f t="shared" si="62"/>
        <v>0</v>
      </c>
      <c r="AD1303">
        <v>2024</v>
      </c>
      <c r="AE1303">
        <v>11</v>
      </c>
      <c r="AF1303" t="s">
        <v>128</v>
      </c>
      <c r="AG1303" t="s">
        <v>129</v>
      </c>
    </row>
    <row r="1304" spans="1:33">
      <c r="A1304" t="s">
        <v>1455</v>
      </c>
      <c r="B1304">
        <v>45425</v>
      </c>
      <c r="D1304" t="s">
        <v>27</v>
      </c>
      <c r="E1304">
        <v>100</v>
      </c>
      <c r="F1304">
        <v>695.45</v>
      </c>
      <c r="G1304">
        <v>1.46</v>
      </c>
      <c r="H1304">
        <v>68529.64</v>
      </c>
      <c r="I1304" t="s">
        <v>1727</v>
      </c>
      <c r="J1304">
        <v>568.91999999999996</v>
      </c>
      <c r="K1304">
        <v>56892</v>
      </c>
      <c r="L1304">
        <v>1902.78</v>
      </c>
      <c r="M1304">
        <v>407.39</v>
      </c>
      <c r="N1304">
        <v>9510.9599999999991</v>
      </c>
      <c r="O1304">
        <v>68713.13</v>
      </c>
      <c r="P1304">
        <v>11637.64</v>
      </c>
      <c r="Q1304">
        <v>-183.49</v>
      </c>
      <c r="R1304" t="s">
        <v>65</v>
      </c>
      <c r="S1304">
        <v>68529.64</v>
      </c>
      <c r="T1304">
        <v>0</v>
      </c>
      <c r="U1304" t="s">
        <v>91</v>
      </c>
      <c r="V1304" t="s">
        <v>6</v>
      </c>
      <c r="W1304" t="s">
        <v>74</v>
      </c>
      <c r="X1304" t="s">
        <v>101</v>
      </c>
      <c r="Y1304" t="s">
        <v>22</v>
      </c>
      <c r="Z1304">
        <v>2.15</v>
      </c>
      <c r="AA1304">
        <f t="shared" si="60"/>
        <v>-183.49</v>
      </c>
      <c r="AB1304">
        <f t="shared" si="61"/>
        <v>-2.6775275632558411E-3</v>
      </c>
      <c r="AC1304">
        <f t="shared" si="62"/>
        <v>0</v>
      </c>
      <c r="AD1304">
        <v>2024</v>
      </c>
      <c r="AE1304">
        <v>5</v>
      </c>
      <c r="AF1304" t="s">
        <v>76</v>
      </c>
      <c r="AG1304" t="s">
        <v>77</v>
      </c>
    </row>
    <row r="1305" spans="1:33">
      <c r="A1305" t="s">
        <v>1456</v>
      </c>
      <c r="B1305">
        <v>45489</v>
      </c>
      <c r="C1305">
        <v>45496</v>
      </c>
      <c r="D1305" t="s">
        <v>21</v>
      </c>
      <c r="E1305">
        <v>300</v>
      </c>
      <c r="F1305">
        <v>867.77</v>
      </c>
      <c r="G1305">
        <v>0.53</v>
      </c>
      <c r="H1305">
        <v>258951.25</v>
      </c>
      <c r="I1305" t="s">
        <v>1727</v>
      </c>
      <c r="J1305">
        <v>734.97</v>
      </c>
      <c r="K1305">
        <v>220491</v>
      </c>
      <c r="L1305">
        <v>1785.25</v>
      </c>
      <c r="M1305">
        <v>759.68</v>
      </c>
      <c r="N1305">
        <v>7586.53</v>
      </c>
      <c r="O1305">
        <v>230622.46</v>
      </c>
      <c r="P1305">
        <v>38460.25</v>
      </c>
      <c r="Q1305">
        <v>28328.79</v>
      </c>
      <c r="R1305" t="s">
        <v>65</v>
      </c>
      <c r="S1305">
        <v>258951.25</v>
      </c>
      <c r="T1305">
        <v>0</v>
      </c>
      <c r="U1305" t="s">
        <v>66</v>
      </c>
      <c r="V1305" t="s">
        <v>14</v>
      </c>
      <c r="W1305" t="s">
        <v>92</v>
      </c>
      <c r="X1305" t="s">
        <v>110</v>
      </c>
      <c r="Y1305" t="s">
        <v>28</v>
      </c>
      <c r="Z1305">
        <v>2.3199999999999998</v>
      </c>
      <c r="AA1305">
        <f t="shared" si="60"/>
        <v>28328.79</v>
      </c>
      <c r="AB1305">
        <f t="shared" si="61"/>
        <v>0.10939815891987392</v>
      </c>
      <c r="AC1305">
        <f t="shared" si="62"/>
        <v>0</v>
      </c>
      <c r="AD1305">
        <v>2024</v>
      </c>
      <c r="AE1305">
        <v>7</v>
      </c>
      <c r="AF1305" t="s">
        <v>69</v>
      </c>
      <c r="AG1305" t="s">
        <v>70</v>
      </c>
    </row>
    <row r="1306" spans="1:33">
      <c r="A1306" t="s">
        <v>1457</v>
      </c>
      <c r="B1306">
        <v>45804</v>
      </c>
      <c r="D1306" t="s">
        <v>25</v>
      </c>
      <c r="E1306">
        <v>150</v>
      </c>
      <c r="F1306">
        <v>980.02</v>
      </c>
      <c r="G1306">
        <v>1.62</v>
      </c>
      <c r="H1306">
        <v>0</v>
      </c>
      <c r="I1306" t="s">
        <v>1726</v>
      </c>
      <c r="J1306">
        <v>719.73</v>
      </c>
      <c r="K1306">
        <v>0</v>
      </c>
      <c r="L1306">
        <v>0</v>
      </c>
      <c r="M1306">
        <v>0</v>
      </c>
      <c r="N1306">
        <v>0</v>
      </c>
      <c r="O1306">
        <v>0</v>
      </c>
      <c r="P1306">
        <v>0</v>
      </c>
      <c r="Q1306">
        <v>0</v>
      </c>
      <c r="R1306" t="s">
        <v>65</v>
      </c>
      <c r="S1306">
        <v>0</v>
      </c>
      <c r="T1306">
        <v>0</v>
      </c>
      <c r="U1306" t="s">
        <v>117</v>
      </c>
      <c r="V1306" t="s">
        <v>6</v>
      </c>
      <c r="W1306" t="s">
        <v>74</v>
      </c>
      <c r="X1306" t="s">
        <v>75</v>
      </c>
      <c r="Y1306" t="s">
        <v>28</v>
      </c>
      <c r="Z1306">
        <v>0.24</v>
      </c>
      <c r="AA1306">
        <f t="shared" si="60"/>
        <v>0</v>
      </c>
      <c r="AB1306" t="e">
        <f t="shared" si="61"/>
        <v>#DIV/0!</v>
      </c>
      <c r="AC1306">
        <f t="shared" si="62"/>
        <v>0</v>
      </c>
      <c r="AD1306">
        <v>2025</v>
      </c>
      <c r="AE1306">
        <v>5</v>
      </c>
      <c r="AF1306" t="s">
        <v>76</v>
      </c>
      <c r="AG1306" t="s">
        <v>94</v>
      </c>
    </row>
    <row r="1307" spans="1:33">
      <c r="A1307" t="s">
        <v>1458</v>
      </c>
      <c r="B1307">
        <v>45742</v>
      </c>
      <c r="C1307">
        <v>45752</v>
      </c>
      <c r="D1307" t="s">
        <v>21</v>
      </c>
      <c r="E1307">
        <v>500</v>
      </c>
      <c r="F1307">
        <v>928.13</v>
      </c>
      <c r="G1307">
        <v>4.2699999999999996</v>
      </c>
      <c r="H1307">
        <v>444249.42</v>
      </c>
      <c r="I1307" t="s">
        <v>1726</v>
      </c>
      <c r="J1307">
        <v>723.44</v>
      </c>
      <c r="K1307">
        <v>361720</v>
      </c>
      <c r="L1307">
        <v>9528.15</v>
      </c>
      <c r="M1307">
        <v>2490.33</v>
      </c>
      <c r="N1307">
        <v>1325.29</v>
      </c>
      <c r="O1307">
        <v>375063.77</v>
      </c>
      <c r="P1307">
        <v>82529.42</v>
      </c>
      <c r="Q1307">
        <v>69185.649999999994</v>
      </c>
      <c r="R1307" t="s">
        <v>65</v>
      </c>
      <c r="S1307">
        <v>444249.42</v>
      </c>
      <c r="T1307">
        <v>0</v>
      </c>
      <c r="U1307" t="s">
        <v>66</v>
      </c>
      <c r="V1307" t="s">
        <v>8</v>
      </c>
      <c r="W1307" t="s">
        <v>74</v>
      </c>
      <c r="X1307" t="s">
        <v>327</v>
      </c>
      <c r="Y1307" t="s">
        <v>26</v>
      </c>
      <c r="Z1307">
        <v>1.74</v>
      </c>
      <c r="AA1307">
        <f t="shared" si="60"/>
        <v>69185.649999999994</v>
      </c>
      <c r="AB1307">
        <f t="shared" si="61"/>
        <v>0.15573605025753326</v>
      </c>
      <c r="AC1307">
        <f t="shared" si="62"/>
        <v>0</v>
      </c>
      <c r="AD1307">
        <v>2025</v>
      </c>
      <c r="AE1307">
        <v>3</v>
      </c>
      <c r="AF1307" t="s">
        <v>105</v>
      </c>
      <c r="AG1307" t="s">
        <v>106</v>
      </c>
    </row>
    <row r="1308" spans="1:33">
      <c r="A1308" t="s">
        <v>1459</v>
      </c>
      <c r="B1308">
        <v>45363</v>
      </c>
      <c r="C1308">
        <v>45363</v>
      </c>
      <c r="D1308" t="s">
        <v>21</v>
      </c>
      <c r="E1308">
        <v>150</v>
      </c>
      <c r="F1308">
        <v>852.67</v>
      </c>
      <c r="G1308">
        <v>0.21</v>
      </c>
      <c r="H1308">
        <v>127631.91</v>
      </c>
      <c r="I1308" t="s">
        <v>1727</v>
      </c>
      <c r="J1308">
        <v>664.6</v>
      </c>
      <c r="K1308">
        <v>99690</v>
      </c>
      <c r="L1308">
        <v>3252.35</v>
      </c>
      <c r="M1308">
        <v>775.94</v>
      </c>
      <c r="N1308">
        <v>6912.1</v>
      </c>
      <c r="O1308">
        <v>110630.39</v>
      </c>
      <c r="P1308">
        <v>27941.91</v>
      </c>
      <c r="Q1308">
        <v>17001.52</v>
      </c>
      <c r="R1308" t="s">
        <v>65</v>
      </c>
      <c r="S1308">
        <v>127631.91</v>
      </c>
      <c r="T1308">
        <v>0</v>
      </c>
      <c r="U1308" t="s">
        <v>66</v>
      </c>
      <c r="V1308" t="s">
        <v>6</v>
      </c>
      <c r="W1308" t="s">
        <v>80</v>
      </c>
      <c r="X1308" t="s">
        <v>142</v>
      </c>
      <c r="Y1308" t="s">
        <v>28</v>
      </c>
      <c r="Z1308">
        <v>1.17</v>
      </c>
      <c r="AA1308">
        <f t="shared" si="60"/>
        <v>17001.52</v>
      </c>
      <c r="AB1308">
        <f t="shared" si="61"/>
        <v>0.13320744005162971</v>
      </c>
      <c r="AC1308">
        <f t="shared" si="62"/>
        <v>0</v>
      </c>
      <c r="AD1308">
        <v>2024</v>
      </c>
      <c r="AE1308">
        <v>3</v>
      </c>
      <c r="AF1308" t="s">
        <v>105</v>
      </c>
      <c r="AG1308" t="s">
        <v>120</v>
      </c>
    </row>
    <row r="1309" spans="1:33">
      <c r="A1309" t="s">
        <v>1460</v>
      </c>
      <c r="B1309">
        <v>45703</v>
      </c>
      <c r="C1309">
        <v>45713</v>
      </c>
      <c r="D1309" t="s">
        <v>25</v>
      </c>
      <c r="E1309">
        <v>300</v>
      </c>
      <c r="F1309">
        <v>931.19</v>
      </c>
      <c r="G1309">
        <v>0.56000000000000005</v>
      </c>
      <c r="H1309">
        <v>277792.59999999998</v>
      </c>
      <c r="I1309" t="s">
        <v>1726</v>
      </c>
      <c r="J1309">
        <v>769.87</v>
      </c>
      <c r="K1309">
        <v>230961</v>
      </c>
      <c r="L1309">
        <v>2583.5500000000002</v>
      </c>
      <c r="M1309">
        <v>670.14</v>
      </c>
      <c r="N1309">
        <v>7357.32</v>
      </c>
      <c r="O1309">
        <v>241572.01</v>
      </c>
      <c r="P1309">
        <v>46831.6</v>
      </c>
      <c r="Q1309">
        <v>36220.589999999997</v>
      </c>
      <c r="R1309" t="s">
        <v>65</v>
      </c>
      <c r="S1309">
        <v>277792.59999999998</v>
      </c>
      <c r="T1309">
        <v>0</v>
      </c>
      <c r="U1309" t="s">
        <v>66</v>
      </c>
      <c r="V1309" t="s">
        <v>6</v>
      </c>
      <c r="W1309" t="s">
        <v>67</v>
      </c>
      <c r="X1309" t="s">
        <v>97</v>
      </c>
      <c r="Y1309" t="s">
        <v>24</v>
      </c>
      <c r="Z1309">
        <v>1.93</v>
      </c>
      <c r="AA1309">
        <f t="shared" si="60"/>
        <v>36220.589999999997</v>
      </c>
      <c r="AB1309">
        <f t="shared" si="61"/>
        <v>0.13038716654079338</v>
      </c>
      <c r="AC1309">
        <f t="shared" si="62"/>
        <v>0</v>
      </c>
      <c r="AD1309">
        <v>2025</v>
      </c>
      <c r="AE1309">
        <v>2</v>
      </c>
      <c r="AF1309" t="s">
        <v>172</v>
      </c>
      <c r="AG1309" t="s">
        <v>244</v>
      </c>
    </row>
    <row r="1310" spans="1:33">
      <c r="A1310" t="s">
        <v>1461</v>
      </c>
      <c r="B1310">
        <v>45948</v>
      </c>
      <c r="C1310">
        <v>45958</v>
      </c>
      <c r="D1310" t="s">
        <v>21</v>
      </c>
      <c r="E1310">
        <v>200</v>
      </c>
      <c r="F1310">
        <v>911.47</v>
      </c>
      <c r="G1310">
        <v>1.81</v>
      </c>
      <c r="H1310">
        <v>178994.48</v>
      </c>
      <c r="I1310" t="s">
        <v>1726</v>
      </c>
      <c r="J1310">
        <v>748.84</v>
      </c>
      <c r="K1310">
        <v>149768</v>
      </c>
      <c r="L1310">
        <v>3913.9</v>
      </c>
      <c r="M1310">
        <v>928.66</v>
      </c>
      <c r="N1310">
        <v>3437.39</v>
      </c>
      <c r="O1310">
        <v>158047.95000000001</v>
      </c>
      <c r="P1310">
        <v>29226.48</v>
      </c>
      <c r="Q1310">
        <v>20946.53</v>
      </c>
      <c r="R1310" t="s">
        <v>65</v>
      </c>
      <c r="S1310">
        <v>178994.48</v>
      </c>
      <c r="T1310">
        <v>0</v>
      </c>
      <c r="U1310" t="s">
        <v>66</v>
      </c>
      <c r="V1310" t="s">
        <v>12</v>
      </c>
      <c r="W1310" t="s">
        <v>74</v>
      </c>
      <c r="X1310" t="s">
        <v>162</v>
      </c>
      <c r="Y1310" t="s">
        <v>26</v>
      </c>
      <c r="Z1310">
        <v>0.79</v>
      </c>
      <c r="AA1310">
        <f t="shared" si="60"/>
        <v>20946.53</v>
      </c>
      <c r="AB1310">
        <f t="shared" si="61"/>
        <v>0.11702332943451663</v>
      </c>
      <c r="AC1310">
        <f t="shared" si="62"/>
        <v>0</v>
      </c>
      <c r="AD1310">
        <v>2025</v>
      </c>
      <c r="AE1310">
        <v>10</v>
      </c>
      <c r="AF1310" t="s">
        <v>138</v>
      </c>
      <c r="AG1310" t="s">
        <v>160</v>
      </c>
    </row>
    <row r="1311" spans="1:33">
      <c r="A1311" t="s">
        <v>1462</v>
      </c>
      <c r="B1311">
        <v>45397</v>
      </c>
      <c r="C1311">
        <v>45401</v>
      </c>
      <c r="D1311" t="s">
        <v>25</v>
      </c>
      <c r="E1311">
        <v>50</v>
      </c>
      <c r="F1311">
        <v>977.88</v>
      </c>
      <c r="G1311">
        <v>1.44</v>
      </c>
      <c r="H1311">
        <v>48189.93</v>
      </c>
      <c r="I1311" t="s">
        <v>1726</v>
      </c>
      <c r="J1311">
        <v>793.32</v>
      </c>
      <c r="K1311">
        <v>39666</v>
      </c>
      <c r="L1311">
        <v>422.86</v>
      </c>
      <c r="M1311">
        <v>83.45</v>
      </c>
      <c r="N1311">
        <v>6705.88</v>
      </c>
      <c r="O1311">
        <v>46878.19</v>
      </c>
      <c r="P1311">
        <v>8523.93</v>
      </c>
      <c r="Q1311">
        <v>1311.74</v>
      </c>
      <c r="R1311" t="s">
        <v>85</v>
      </c>
      <c r="S1311">
        <v>14443.85</v>
      </c>
      <c r="T1311">
        <v>33746.080000000002</v>
      </c>
      <c r="U1311" t="s">
        <v>66</v>
      </c>
      <c r="V1311" t="s">
        <v>16</v>
      </c>
      <c r="W1311" t="s">
        <v>67</v>
      </c>
      <c r="X1311" t="s">
        <v>176</v>
      </c>
      <c r="Y1311" t="s">
        <v>22</v>
      </c>
      <c r="Z1311">
        <v>1.99</v>
      </c>
      <c r="AA1311">
        <f t="shared" si="60"/>
        <v>1311.74</v>
      </c>
      <c r="AB1311">
        <f t="shared" si="61"/>
        <v>2.7220209699412305E-2</v>
      </c>
      <c r="AC1311">
        <f t="shared" si="62"/>
        <v>0</v>
      </c>
      <c r="AD1311">
        <v>2024</v>
      </c>
      <c r="AE1311">
        <v>4</v>
      </c>
      <c r="AF1311" t="s">
        <v>154</v>
      </c>
      <c r="AG1311" t="s">
        <v>157</v>
      </c>
    </row>
    <row r="1312" spans="1:33">
      <c r="A1312" t="s">
        <v>1463</v>
      </c>
      <c r="B1312">
        <v>45634</v>
      </c>
      <c r="C1312">
        <v>45641</v>
      </c>
      <c r="D1312" t="s">
        <v>27</v>
      </c>
      <c r="E1312">
        <v>500</v>
      </c>
      <c r="F1312">
        <v>731.46</v>
      </c>
      <c r="G1312">
        <v>3.57</v>
      </c>
      <c r="H1312">
        <v>352673.44</v>
      </c>
      <c r="I1312" t="s">
        <v>1727</v>
      </c>
      <c r="J1312">
        <v>584.17999999999995</v>
      </c>
      <c r="K1312">
        <v>292090</v>
      </c>
      <c r="L1312">
        <v>7698.8</v>
      </c>
      <c r="M1312">
        <v>779.01</v>
      </c>
      <c r="N1312">
        <v>3819.57</v>
      </c>
      <c r="O1312">
        <v>304387.38</v>
      </c>
      <c r="P1312">
        <v>60583.44</v>
      </c>
      <c r="Q1312">
        <v>48286.06</v>
      </c>
      <c r="R1312" t="s">
        <v>65</v>
      </c>
      <c r="S1312">
        <v>352673.44</v>
      </c>
      <c r="T1312">
        <v>0</v>
      </c>
      <c r="U1312" t="s">
        <v>66</v>
      </c>
      <c r="V1312" t="s">
        <v>12</v>
      </c>
      <c r="W1312" t="s">
        <v>80</v>
      </c>
      <c r="X1312" t="s">
        <v>147</v>
      </c>
      <c r="Y1312" t="s">
        <v>28</v>
      </c>
      <c r="Z1312">
        <v>0.15</v>
      </c>
      <c r="AA1312">
        <f t="shared" si="60"/>
        <v>48286.06</v>
      </c>
      <c r="AB1312">
        <f t="shared" si="61"/>
        <v>0.13691436474490395</v>
      </c>
      <c r="AC1312">
        <f t="shared" si="62"/>
        <v>0</v>
      </c>
      <c r="AD1312">
        <v>2024</v>
      </c>
      <c r="AE1312">
        <v>12</v>
      </c>
      <c r="AF1312" t="s">
        <v>98</v>
      </c>
      <c r="AG1312" t="s">
        <v>99</v>
      </c>
    </row>
    <row r="1313" spans="1:33">
      <c r="A1313" t="s">
        <v>1464</v>
      </c>
      <c r="B1313">
        <v>45483</v>
      </c>
      <c r="C1313">
        <v>45495</v>
      </c>
      <c r="D1313" t="s">
        <v>21</v>
      </c>
      <c r="E1313">
        <v>50</v>
      </c>
      <c r="F1313">
        <v>908.64</v>
      </c>
      <c r="G1313">
        <v>0</v>
      </c>
      <c r="H1313">
        <v>45432</v>
      </c>
      <c r="I1313" t="s">
        <v>1727</v>
      </c>
      <c r="J1313">
        <v>707.03</v>
      </c>
      <c r="K1313">
        <v>35351.5</v>
      </c>
      <c r="L1313">
        <v>306.52</v>
      </c>
      <c r="M1313">
        <v>267.73</v>
      </c>
      <c r="N1313">
        <v>3990.66</v>
      </c>
      <c r="O1313">
        <v>39916.410000000003</v>
      </c>
      <c r="P1313">
        <v>10080.5</v>
      </c>
      <c r="Q1313">
        <v>5515.59</v>
      </c>
      <c r="R1313" t="s">
        <v>65</v>
      </c>
      <c r="S1313">
        <v>45432</v>
      </c>
      <c r="T1313">
        <v>0</v>
      </c>
      <c r="U1313" t="s">
        <v>66</v>
      </c>
      <c r="V1313" t="s">
        <v>6</v>
      </c>
      <c r="W1313" t="s">
        <v>80</v>
      </c>
      <c r="X1313" t="s">
        <v>371</v>
      </c>
      <c r="Y1313" t="s">
        <v>26</v>
      </c>
      <c r="Z1313">
        <v>0.56000000000000005</v>
      </c>
      <c r="AA1313">
        <f t="shared" si="60"/>
        <v>5515.59</v>
      </c>
      <c r="AB1313">
        <f t="shared" si="61"/>
        <v>0.12140319598520867</v>
      </c>
      <c r="AC1313">
        <f t="shared" si="62"/>
        <v>0</v>
      </c>
      <c r="AD1313">
        <v>2024</v>
      </c>
      <c r="AE1313">
        <v>7</v>
      </c>
      <c r="AF1313" t="s">
        <v>69</v>
      </c>
      <c r="AG1313" t="s">
        <v>70</v>
      </c>
    </row>
    <row r="1314" spans="1:33">
      <c r="A1314" t="s">
        <v>1465</v>
      </c>
      <c r="B1314">
        <v>45662</v>
      </c>
      <c r="C1314">
        <v>45664</v>
      </c>
      <c r="D1314" t="s">
        <v>21</v>
      </c>
      <c r="E1314">
        <v>200</v>
      </c>
      <c r="F1314">
        <v>865.26</v>
      </c>
      <c r="G1314">
        <v>2.2799999999999998</v>
      </c>
      <c r="H1314">
        <v>169106.41</v>
      </c>
      <c r="I1314" t="s">
        <v>1726</v>
      </c>
      <c r="J1314">
        <v>745.48</v>
      </c>
      <c r="K1314">
        <v>149096</v>
      </c>
      <c r="L1314">
        <v>3919.38</v>
      </c>
      <c r="M1314">
        <v>419.49</v>
      </c>
      <c r="N1314">
        <v>5389.89</v>
      </c>
      <c r="O1314">
        <v>158824.76</v>
      </c>
      <c r="P1314">
        <v>20010.41</v>
      </c>
      <c r="Q1314">
        <v>10281.65</v>
      </c>
      <c r="R1314" t="s">
        <v>65</v>
      </c>
      <c r="S1314">
        <v>169106.41</v>
      </c>
      <c r="T1314">
        <v>0</v>
      </c>
      <c r="U1314" t="s">
        <v>66</v>
      </c>
      <c r="V1314" t="s">
        <v>6</v>
      </c>
      <c r="W1314" t="s">
        <v>80</v>
      </c>
      <c r="X1314" t="s">
        <v>108</v>
      </c>
      <c r="Y1314" t="s">
        <v>22</v>
      </c>
      <c r="Z1314">
        <v>0.03</v>
      </c>
      <c r="AA1314">
        <f t="shared" si="60"/>
        <v>10281.65</v>
      </c>
      <c r="AB1314">
        <f t="shared" si="61"/>
        <v>6.0799883339726739E-2</v>
      </c>
      <c r="AC1314">
        <f t="shared" si="62"/>
        <v>0</v>
      </c>
      <c r="AD1314">
        <v>2025</v>
      </c>
      <c r="AE1314">
        <v>1</v>
      </c>
      <c r="AF1314" t="s">
        <v>102</v>
      </c>
      <c r="AG1314" t="s">
        <v>118</v>
      </c>
    </row>
    <row r="1315" spans="1:33">
      <c r="A1315" t="s">
        <v>1466</v>
      </c>
      <c r="B1315">
        <v>45356</v>
      </c>
      <c r="C1315">
        <v>45360</v>
      </c>
      <c r="D1315" t="s">
        <v>21</v>
      </c>
      <c r="E1315">
        <v>200</v>
      </c>
      <c r="F1315">
        <v>904.68</v>
      </c>
      <c r="G1315">
        <v>1.78</v>
      </c>
      <c r="H1315">
        <v>177715.34</v>
      </c>
      <c r="I1315" t="s">
        <v>1727</v>
      </c>
      <c r="J1315">
        <v>700.83</v>
      </c>
      <c r="K1315">
        <v>140166</v>
      </c>
      <c r="L1315">
        <v>4140.8500000000004</v>
      </c>
      <c r="M1315">
        <v>1129.5999999999999</v>
      </c>
      <c r="N1315">
        <v>11591.43</v>
      </c>
      <c r="O1315">
        <v>157027.88</v>
      </c>
      <c r="P1315">
        <v>37549.339999999997</v>
      </c>
      <c r="Q1315">
        <v>20687.46</v>
      </c>
      <c r="R1315" t="s">
        <v>65</v>
      </c>
      <c r="S1315">
        <v>177715.34</v>
      </c>
      <c r="T1315">
        <v>0</v>
      </c>
      <c r="U1315" t="s">
        <v>66</v>
      </c>
      <c r="V1315" t="s">
        <v>16</v>
      </c>
      <c r="W1315" t="s">
        <v>74</v>
      </c>
      <c r="X1315" t="s">
        <v>167</v>
      </c>
      <c r="Y1315" t="s">
        <v>31</v>
      </c>
      <c r="Z1315">
        <v>0.81</v>
      </c>
      <c r="AA1315">
        <f t="shared" si="60"/>
        <v>20687.46</v>
      </c>
      <c r="AB1315">
        <f t="shared" si="61"/>
        <v>0.11640784639075051</v>
      </c>
      <c r="AC1315">
        <f t="shared" si="62"/>
        <v>0</v>
      </c>
      <c r="AD1315">
        <v>2024</v>
      </c>
      <c r="AE1315">
        <v>3</v>
      </c>
      <c r="AF1315" t="s">
        <v>105</v>
      </c>
      <c r="AG1315" t="s">
        <v>120</v>
      </c>
    </row>
    <row r="1316" spans="1:33">
      <c r="A1316" t="s">
        <v>1467</v>
      </c>
      <c r="B1316">
        <v>45351</v>
      </c>
      <c r="C1316">
        <v>45364</v>
      </c>
      <c r="D1316" t="s">
        <v>21</v>
      </c>
      <c r="E1316">
        <v>200</v>
      </c>
      <c r="F1316">
        <v>899.48</v>
      </c>
      <c r="G1316">
        <v>2.23</v>
      </c>
      <c r="H1316">
        <v>175884.32</v>
      </c>
      <c r="I1316" t="s">
        <v>1726</v>
      </c>
      <c r="J1316">
        <v>748.1</v>
      </c>
      <c r="K1316">
        <v>149620</v>
      </c>
      <c r="L1316">
        <v>4400.01</v>
      </c>
      <c r="M1316">
        <v>734.26</v>
      </c>
      <c r="N1316">
        <v>1308.2</v>
      </c>
      <c r="O1316">
        <v>156062.47</v>
      </c>
      <c r="P1316">
        <v>26264.32</v>
      </c>
      <c r="Q1316">
        <v>19821.849999999999</v>
      </c>
      <c r="R1316" t="s">
        <v>134</v>
      </c>
      <c r="S1316">
        <v>0</v>
      </c>
      <c r="T1316">
        <v>175884.32</v>
      </c>
      <c r="U1316" t="s">
        <v>73</v>
      </c>
      <c r="V1316" t="s">
        <v>10</v>
      </c>
      <c r="W1316" t="s">
        <v>141</v>
      </c>
      <c r="X1316" t="s">
        <v>239</v>
      </c>
      <c r="Y1316" t="s">
        <v>28</v>
      </c>
      <c r="Z1316">
        <v>0.47</v>
      </c>
      <c r="AA1316">
        <f t="shared" si="60"/>
        <v>19821.849999999999</v>
      </c>
      <c r="AB1316">
        <f t="shared" si="61"/>
        <v>0.11269822119447599</v>
      </c>
      <c r="AC1316">
        <f t="shared" si="62"/>
        <v>0</v>
      </c>
      <c r="AD1316">
        <v>2024</v>
      </c>
      <c r="AE1316">
        <v>2</v>
      </c>
      <c r="AF1316" t="s">
        <v>172</v>
      </c>
      <c r="AG1316" t="s">
        <v>173</v>
      </c>
    </row>
    <row r="1317" spans="1:33">
      <c r="A1317" t="s">
        <v>1468</v>
      </c>
      <c r="B1317">
        <v>45356</v>
      </c>
      <c r="C1317">
        <v>45368</v>
      </c>
      <c r="D1317" t="s">
        <v>21</v>
      </c>
      <c r="E1317">
        <v>1000</v>
      </c>
      <c r="F1317">
        <v>938.95</v>
      </c>
      <c r="G1317">
        <v>4.2300000000000004</v>
      </c>
      <c r="H1317">
        <v>899232.42</v>
      </c>
      <c r="I1317" t="s">
        <v>1726</v>
      </c>
      <c r="J1317">
        <v>690.83</v>
      </c>
      <c r="K1317">
        <v>690830</v>
      </c>
      <c r="L1317">
        <v>16649.82</v>
      </c>
      <c r="M1317">
        <v>2741.87</v>
      </c>
      <c r="N1317">
        <v>6012.56</v>
      </c>
      <c r="O1317">
        <v>716234.25</v>
      </c>
      <c r="P1317">
        <v>208402.42</v>
      </c>
      <c r="Q1317">
        <v>182998.17</v>
      </c>
      <c r="R1317" t="s">
        <v>65</v>
      </c>
      <c r="S1317">
        <v>899232.42</v>
      </c>
      <c r="T1317">
        <v>0</v>
      </c>
      <c r="U1317" t="s">
        <v>66</v>
      </c>
      <c r="V1317" t="s">
        <v>14</v>
      </c>
      <c r="W1317" t="s">
        <v>92</v>
      </c>
      <c r="X1317" t="s">
        <v>205</v>
      </c>
      <c r="Y1317" t="s">
        <v>24</v>
      </c>
      <c r="Z1317">
        <v>1.58</v>
      </c>
      <c r="AA1317">
        <f t="shared" si="60"/>
        <v>182998.17</v>
      </c>
      <c r="AB1317">
        <f t="shared" si="61"/>
        <v>0.20350486251374256</v>
      </c>
      <c r="AC1317">
        <f t="shared" si="62"/>
        <v>0</v>
      </c>
      <c r="AD1317">
        <v>2024</v>
      </c>
      <c r="AE1317">
        <v>3</v>
      </c>
      <c r="AF1317" t="s">
        <v>105</v>
      </c>
      <c r="AG1317" t="s">
        <v>120</v>
      </c>
    </row>
    <row r="1318" spans="1:33">
      <c r="A1318" t="s">
        <v>1469</v>
      </c>
      <c r="B1318">
        <v>45791</v>
      </c>
      <c r="C1318">
        <v>45798</v>
      </c>
      <c r="D1318" t="s">
        <v>23</v>
      </c>
      <c r="E1318">
        <v>50</v>
      </c>
      <c r="F1318">
        <v>1281.56</v>
      </c>
      <c r="G1318">
        <v>1.31</v>
      </c>
      <c r="H1318">
        <v>63238.58</v>
      </c>
      <c r="I1318" t="s">
        <v>1728</v>
      </c>
      <c r="J1318">
        <v>1002.97</v>
      </c>
      <c r="K1318">
        <v>50148.5</v>
      </c>
      <c r="L1318">
        <v>565.79</v>
      </c>
      <c r="M1318">
        <v>269.44</v>
      </c>
      <c r="N1318">
        <v>8839.1</v>
      </c>
      <c r="O1318">
        <v>59822.83</v>
      </c>
      <c r="P1318">
        <v>13090.08</v>
      </c>
      <c r="Q1318">
        <v>3415.75</v>
      </c>
      <c r="R1318" t="s">
        <v>65</v>
      </c>
      <c r="S1318">
        <v>63238.58</v>
      </c>
      <c r="T1318">
        <v>0</v>
      </c>
      <c r="U1318" t="s">
        <v>66</v>
      </c>
      <c r="V1318" t="s">
        <v>6</v>
      </c>
      <c r="W1318" t="s">
        <v>92</v>
      </c>
      <c r="X1318" t="s">
        <v>285</v>
      </c>
      <c r="Y1318" t="s">
        <v>28</v>
      </c>
      <c r="Z1318">
        <v>1.57</v>
      </c>
      <c r="AA1318">
        <f t="shared" si="60"/>
        <v>3415.75</v>
      </c>
      <c r="AB1318">
        <f t="shared" si="61"/>
        <v>5.4013704925063147E-2</v>
      </c>
      <c r="AC1318">
        <f t="shared" si="62"/>
        <v>0</v>
      </c>
      <c r="AD1318">
        <v>2025</v>
      </c>
      <c r="AE1318">
        <v>5</v>
      </c>
      <c r="AF1318" t="s">
        <v>76</v>
      </c>
      <c r="AG1318" t="s">
        <v>94</v>
      </c>
    </row>
    <row r="1319" spans="1:33">
      <c r="A1319" t="s">
        <v>1470</v>
      </c>
      <c r="B1319">
        <v>45976</v>
      </c>
      <c r="C1319">
        <v>45983</v>
      </c>
      <c r="D1319" t="s">
        <v>21</v>
      </c>
      <c r="E1319">
        <v>500</v>
      </c>
      <c r="F1319">
        <v>964.28</v>
      </c>
      <c r="G1319">
        <v>2.5099999999999998</v>
      </c>
      <c r="H1319">
        <v>470038.29</v>
      </c>
      <c r="I1319" t="s">
        <v>1728</v>
      </c>
      <c r="J1319">
        <v>665.09</v>
      </c>
      <c r="K1319">
        <v>332545</v>
      </c>
      <c r="L1319">
        <v>4690.21</v>
      </c>
      <c r="M1319">
        <v>2354.41</v>
      </c>
      <c r="N1319">
        <v>8477.6200000000008</v>
      </c>
      <c r="O1319">
        <v>348067.24</v>
      </c>
      <c r="P1319">
        <v>137493.29</v>
      </c>
      <c r="Q1319">
        <v>121971.05</v>
      </c>
      <c r="R1319" t="s">
        <v>65</v>
      </c>
      <c r="S1319">
        <v>470038.29</v>
      </c>
      <c r="T1319">
        <v>0</v>
      </c>
      <c r="U1319" t="s">
        <v>66</v>
      </c>
      <c r="V1319" t="s">
        <v>6</v>
      </c>
      <c r="W1319" t="s">
        <v>74</v>
      </c>
      <c r="X1319" t="s">
        <v>193</v>
      </c>
      <c r="Y1319" t="s">
        <v>30</v>
      </c>
      <c r="Z1319">
        <v>0.72</v>
      </c>
      <c r="AA1319">
        <f t="shared" si="60"/>
        <v>121971.05</v>
      </c>
      <c r="AB1319">
        <f t="shared" si="61"/>
        <v>0.25949173204591486</v>
      </c>
      <c r="AC1319">
        <f t="shared" si="62"/>
        <v>0</v>
      </c>
      <c r="AD1319">
        <v>2025</v>
      </c>
      <c r="AE1319">
        <v>11</v>
      </c>
      <c r="AF1319" t="s">
        <v>128</v>
      </c>
      <c r="AG1319" t="s">
        <v>135</v>
      </c>
    </row>
    <row r="1320" spans="1:33">
      <c r="A1320" t="s">
        <v>1471</v>
      </c>
      <c r="B1320">
        <v>45779</v>
      </c>
      <c r="C1320">
        <v>45789</v>
      </c>
      <c r="D1320" t="s">
        <v>23</v>
      </c>
      <c r="E1320">
        <v>300</v>
      </c>
      <c r="F1320">
        <v>1269.55</v>
      </c>
      <c r="G1320">
        <v>2.14</v>
      </c>
      <c r="H1320">
        <v>372714.49</v>
      </c>
      <c r="I1320" t="s">
        <v>1726</v>
      </c>
      <c r="J1320">
        <v>1029.18</v>
      </c>
      <c r="K1320">
        <v>308754</v>
      </c>
      <c r="L1320">
        <v>4925.83</v>
      </c>
      <c r="M1320">
        <v>1719.85</v>
      </c>
      <c r="N1320">
        <v>2120.48</v>
      </c>
      <c r="O1320">
        <v>317520.15999999997</v>
      </c>
      <c r="P1320">
        <v>63960.49</v>
      </c>
      <c r="Q1320">
        <v>55194.33</v>
      </c>
      <c r="R1320" t="s">
        <v>65</v>
      </c>
      <c r="S1320">
        <v>372714.49</v>
      </c>
      <c r="T1320">
        <v>0</v>
      </c>
      <c r="U1320" t="s">
        <v>66</v>
      </c>
      <c r="V1320" t="s">
        <v>6</v>
      </c>
      <c r="W1320" t="s">
        <v>67</v>
      </c>
      <c r="X1320" t="s">
        <v>127</v>
      </c>
      <c r="Y1320" t="s">
        <v>22</v>
      </c>
      <c r="Z1320">
        <v>1.61</v>
      </c>
      <c r="AA1320">
        <f t="shared" si="60"/>
        <v>55194.33</v>
      </c>
      <c r="AB1320">
        <f t="shared" si="61"/>
        <v>0.1480874274568719</v>
      </c>
      <c r="AC1320">
        <f t="shared" si="62"/>
        <v>0</v>
      </c>
      <c r="AD1320">
        <v>2025</v>
      </c>
      <c r="AE1320">
        <v>5</v>
      </c>
      <c r="AF1320" t="s">
        <v>76</v>
      </c>
      <c r="AG1320" t="s">
        <v>94</v>
      </c>
    </row>
    <row r="1321" spans="1:33">
      <c r="A1321" t="s">
        <v>1472</v>
      </c>
      <c r="B1321">
        <v>45459</v>
      </c>
      <c r="C1321">
        <v>45470</v>
      </c>
      <c r="D1321" t="s">
        <v>25</v>
      </c>
      <c r="E1321">
        <v>1000</v>
      </c>
      <c r="F1321">
        <v>937.78</v>
      </c>
      <c r="G1321">
        <v>2.2400000000000002</v>
      </c>
      <c r="H1321">
        <v>916773.73</v>
      </c>
      <c r="I1321" t="s">
        <v>1727</v>
      </c>
      <c r="J1321">
        <v>738.85</v>
      </c>
      <c r="K1321">
        <v>738850</v>
      </c>
      <c r="L1321">
        <v>8668.7900000000009</v>
      </c>
      <c r="M1321">
        <v>2147.15</v>
      </c>
      <c r="N1321">
        <v>6070.33</v>
      </c>
      <c r="O1321">
        <v>755736.27</v>
      </c>
      <c r="P1321">
        <v>177923.73</v>
      </c>
      <c r="Q1321">
        <v>161037.46</v>
      </c>
      <c r="R1321" t="s">
        <v>65</v>
      </c>
      <c r="S1321">
        <v>916773.73</v>
      </c>
      <c r="T1321">
        <v>0</v>
      </c>
      <c r="U1321" t="s">
        <v>73</v>
      </c>
      <c r="V1321" t="s">
        <v>6</v>
      </c>
      <c r="W1321" t="s">
        <v>80</v>
      </c>
      <c r="X1321" t="s">
        <v>230</v>
      </c>
      <c r="Y1321" t="s">
        <v>31</v>
      </c>
      <c r="Z1321">
        <v>2.25</v>
      </c>
      <c r="AA1321">
        <f t="shared" si="60"/>
        <v>161037.46</v>
      </c>
      <c r="AB1321">
        <f t="shared" si="61"/>
        <v>0.17565671302557939</v>
      </c>
      <c r="AC1321">
        <f t="shared" si="62"/>
        <v>0</v>
      </c>
      <c r="AD1321">
        <v>2024</v>
      </c>
      <c r="AE1321">
        <v>6</v>
      </c>
      <c r="AF1321" t="s">
        <v>111</v>
      </c>
      <c r="AG1321" t="s">
        <v>148</v>
      </c>
    </row>
    <row r="1322" spans="1:33">
      <c r="A1322" t="s">
        <v>1473</v>
      </c>
      <c r="B1322">
        <v>45864</v>
      </c>
      <c r="C1322">
        <v>45868</v>
      </c>
      <c r="D1322" t="s">
        <v>21</v>
      </c>
      <c r="E1322">
        <v>200</v>
      </c>
      <c r="F1322">
        <v>901.59</v>
      </c>
      <c r="G1322">
        <v>0.24</v>
      </c>
      <c r="H1322">
        <v>179885.24</v>
      </c>
      <c r="I1322" t="s">
        <v>1726</v>
      </c>
      <c r="J1322">
        <v>684.44</v>
      </c>
      <c r="K1322">
        <v>136888</v>
      </c>
      <c r="L1322">
        <v>1836.96</v>
      </c>
      <c r="M1322">
        <v>1009.9</v>
      </c>
      <c r="N1322">
        <v>5665.78</v>
      </c>
      <c r="O1322">
        <v>145400.64000000001</v>
      </c>
      <c r="P1322">
        <v>42997.24</v>
      </c>
      <c r="Q1322">
        <v>34484.6</v>
      </c>
      <c r="R1322" t="s">
        <v>65</v>
      </c>
      <c r="S1322">
        <v>179885.24</v>
      </c>
      <c r="T1322">
        <v>0</v>
      </c>
      <c r="U1322" t="s">
        <v>73</v>
      </c>
      <c r="V1322" t="s">
        <v>10</v>
      </c>
      <c r="W1322" t="s">
        <v>80</v>
      </c>
      <c r="X1322" t="s">
        <v>101</v>
      </c>
      <c r="Y1322" t="s">
        <v>22</v>
      </c>
      <c r="Z1322">
        <v>1.4</v>
      </c>
      <c r="AA1322">
        <f t="shared" si="60"/>
        <v>34484.6</v>
      </c>
      <c r="AB1322">
        <f t="shared" si="61"/>
        <v>0.19170333263585163</v>
      </c>
      <c r="AC1322">
        <f t="shared" si="62"/>
        <v>0</v>
      </c>
      <c r="AD1322">
        <v>2025</v>
      </c>
      <c r="AE1322">
        <v>7</v>
      </c>
      <c r="AF1322" t="s">
        <v>69</v>
      </c>
      <c r="AG1322" t="s">
        <v>151</v>
      </c>
    </row>
    <row r="1323" spans="1:33">
      <c r="A1323" t="s">
        <v>1474</v>
      </c>
      <c r="B1323">
        <v>45961</v>
      </c>
      <c r="C1323">
        <v>45972</v>
      </c>
      <c r="D1323" t="s">
        <v>25</v>
      </c>
      <c r="E1323">
        <v>300</v>
      </c>
      <c r="F1323">
        <v>1043.1199999999999</v>
      </c>
      <c r="G1323">
        <v>1.32</v>
      </c>
      <c r="H1323">
        <v>308805.24</v>
      </c>
      <c r="I1323" t="s">
        <v>1726</v>
      </c>
      <c r="J1323">
        <v>815.5</v>
      </c>
      <c r="K1323">
        <v>244650</v>
      </c>
      <c r="L1323">
        <v>5888.67</v>
      </c>
      <c r="M1323">
        <v>1772.76</v>
      </c>
      <c r="N1323">
        <v>2897.84</v>
      </c>
      <c r="O1323">
        <v>255209.27</v>
      </c>
      <c r="P1323">
        <v>64155.24</v>
      </c>
      <c r="Q1323">
        <v>53595.97</v>
      </c>
      <c r="R1323" t="s">
        <v>65</v>
      </c>
      <c r="S1323">
        <v>308805.24</v>
      </c>
      <c r="T1323">
        <v>0</v>
      </c>
      <c r="U1323" t="s">
        <v>66</v>
      </c>
      <c r="V1323" t="s">
        <v>6</v>
      </c>
      <c r="W1323" t="s">
        <v>74</v>
      </c>
      <c r="X1323" t="s">
        <v>123</v>
      </c>
      <c r="Y1323" t="s">
        <v>22</v>
      </c>
      <c r="Z1323">
        <v>7.0000000000000007E-2</v>
      </c>
      <c r="AA1323">
        <f t="shared" si="60"/>
        <v>53595.97</v>
      </c>
      <c r="AB1323">
        <f t="shared" si="61"/>
        <v>0.1735591339058884</v>
      </c>
      <c r="AC1323">
        <f t="shared" si="62"/>
        <v>0</v>
      </c>
      <c r="AD1323">
        <v>2025</v>
      </c>
      <c r="AE1323">
        <v>10</v>
      </c>
      <c r="AF1323" t="s">
        <v>138</v>
      </c>
      <c r="AG1323" t="s">
        <v>160</v>
      </c>
    </row>
    <row r="1324" spans="1:33">
      <c r="A1324" t="s">
        <v>1475</v>
      </c>
      <c r="B1324">
        <v>45973</v>
      </c>
      <c r="C1324">
        <v>45978</v>
      </c>
      <c r="D1324" t="s">
        <v>29</v>
      </c>
      <c r="E1324">
        <v>750</v>
      </c>
      <c r="F1324">
        <v>3089.7</v>
      </c>
      <c r="G1324">
        <v>4.0999999999999996</v>
      </c>
      <c r="H1324">
        <v>2222266.7200000002</v>
      </c>
      <c r="I1324" t="s">
        <v>1727</v>
      </c>
      <c r="J1324">
        <v>2248.9899999999998</v>
      </c>
      <c r="K1324">
        <v>1686742.5</v>
      </c>
      <c r="L1324">
        <v>4123.22</v>
      </c>
      <c r="M1324">
        <v>1126.32</v>
      </c>
      <c r="N1324">
        <v>11304.86</v>
      </c>
      <c r="O1324">
        <v>1703296.9</v>
      </c>
      <c r="P1324">
        <v>535524.22</v>
      </c>
      <c r="Q1324">
        <v>518969.82</v>
      </c>
      <c r="R1324" t="s">
        <v>134</v>
      </c>
      <c r="S1324">
        <v>0</v>
      </c>
      <c r="T1324">
        <v>2222266.7200000002</v>
      </c>
      <c r="U1324" t="s">
        <v>66</v>
      </c>
      <c r="V1324" t="s">
        <v>12</v>
      </c>
      <c r="W1324" t="s">
        <v>80</v>
      </c>
      <c r="X1324" t="s">
        <v>142</v>
      </c>
      <c r="Y1324" t="s">
        <v>28</v>
      </c>
      <c r="Z1324">
        <v>1.18</v>
      </c>
      <c r="AA1324">
        <f t="shared" si="60"/>
        <v>518969.82</v>
      </c>
      <c r="AB1324">
        <f t="shared" si="61"/>
        <v>0.23353174276038294</v>
      </c>
      <c r="AC1324">
        <f t="shared" si="62"/>
        <v>0</v>
      </c>
      <c r="AD1324">
        <v>2025</v>
      </c>
      <c r="AE1324">
        <v>11</v>
      </c>
      <c r="AF1324" t="s">
        <v>128</v>
      </c>
      <c r="AG1324" t="s">
        <v>135</v>
      </c>
    </row>
    <row r="1325" spans="1:33">
      <c r="A1325" t="s">
        <v>1476</v>
      </c>
      <c r="B1325">
        <v>45756</v>
      </c>
      <c r="C1325">
        <v>45758</v>
      </c>
      <c r="D1325" t="s">
        <v>23</v>
      </c>
      <c r="E1325">
        <v>500</v>
      </c>
      <c r="F1325">
        <v>1384.81</v>
      </c>
      <c r="G1325">
        <v>3.55</v>
      </c>
      <c r="H1325">
        <v>667824.62</v>
      </c>
      <c r="I1325" t="s">
        <v>1727</v>
      </c>
      <c r="J1325">
        <v>976.18</v>
      </c>
      <c r="K1325">
        <v>488090</v>
      </c>
      <c r="L1325">
        <v>11541.29</v>
      </c>
      <c r="M1325">
        <v>778.02</v>
      </c>
      <c r="N1325">
        <v>2249.46</v>
      </c>
      <c r="O1325">
        <v>502658.77</v>
      </c>
      <c r="P1325">
        <v>179734.62</v>
      </c>
      <c r="Q1325">
        <v>165165.85</v>
      </c>
      <c r="R1325" t="s">
        <v>65</v>
      </c>
      <c r="S1325">
        <v>667824.62</v>
      </c>
      <c r="T1325">
        <v>0</v>
      </c>
      <c r="U1325" t="s">
        <v>66</v>
      </c>
      <c r="V1325" t="s">
        <v>16</v>
      </c>
      <c r="W1325" t="s">
        <v>74</v>
      </c>
      <c r="X1325" t="s">
        <v>127</v>
      </c>
      <c r="Y1325" t="s">
        <v>22</v>
      </c>
      <c r="Z1325">
        <v>0.17</v>
      </c>
      <c r="AA1325">
        <f t="shared" si="60"/>
        <v>165165.85</v>
      </c>
      <c r="AB1325">
        <f t="shared" si="61"/>
        <v>0.24731919886391732</v>
      </c>
      <c r="AC1325">
        <f t="shared" si="62"/>
        <v>0</v>
      </c>
      <c r="AD1325">
        <v>2025</v>
      </c>
      <c r="AE1325">
        <v>4</v>
      </c>
      <c r="AF1325" t="s">
        <v>154</v>
      </c>
      <c r="AG1325" t="s">
        <v>155</v>
      </c>
    </row>
    <row r="1326" spans="1:33">
      <c r="A1326" t="s">
        <v>1477</v>
      </c>
      <c r="B1326">
        <v>45745</v>
      </c>
      <c r="C1326">
        <v>45758</v>
      </c>
      <c r="D1326" t="s">
        <v>21</v>
      </c>
      <c r="E1326">
        <v>100</v>
      </c>
      <c r="F1326">
        <v>862.76</v>
      </c>
      <c r="G1326">
        <v>2.2000000000000002</v>
      </c>
      <c r="H1326">
        <v>84377.93</v>
      </c>
      <c r="I1326" t="s">
        <v>1726</v>
      </c>
      <c r="J1326">
        <v>714.88</v>
      </c>
      <c r="K1326">
        <v>71488</v>
      </c>
      <c r="L1326">
        <v>1339.52</v>
      </c>
      <c r="M1326">
        <v>498.47</v>
      </c>
      <c r="N1326">
        <v>6840.19</v>
      </c>
      <c r="O1326">
        <v>80166.179999999993</v>
      </c>
      <c r="P1326">
        <v>12889.93</v>
      </c>
      <c r="Q1326">
        <v>4211.75</v>
      </c>
      <c r="R1326" t="s">
        <v>65</v>
      </c>
      <c r="S1326">
        <v>84377.93</v>
      </c>
      <c r="T1326">
        <v>0</v>
      </c>
      <c r="U1326" t="s">
        <v>73</v>
      </c>
      <c r="V1326" t="s">
        <v>8</v>
      </c>
      <c r="W1326" t="s">
        <v>74</v>
      </c>
      <c r="X1326" t="s">
        <v>176</v>
      </c>
      <c r="Y1326" t="s">
        <v>22</v>
      </c>
      <c r="Z1326">
        <v>2.1800000000000002</v>
      </c>
      <c r="AA1326">
        <f t="shared" si="60"/>
        <v>4211.75</v>
      </c>
      <c r="AB1326">
        <f t="shared" si="61"/>
        <v>4.9915303681898816E-2</v>
      </c>
      <c r="AC1326">
        <f t="shared" si="62"/>
        <v>0</v>
      </c>
      <c r="AD1326">
        <v>2025</v>
      </c>
      <c r="AE1326">
        <v>3</v>
      </c>
      <c r="AF1326" t="s">
        <v>105</v>
      </c>
      <c r="AG1326" t="s">
        <v>106</v>
      </c>
    </row>
    <row r="1327" spans="1:33">
      <c r="A1327" t="s">
        <v>1478</v>
      </c>
      <c r="B1327">
        <v>46000</v>
      </c>
      <c r="C1327">
        <v>46005</v>
      </c>
      <c r="D1327" t="s">
        <v>21</v>
      </c>
      <c r="E1327">
        <v>200</v>
      </c>
      <c r="F1327">
        <v>867.34</v>
      </c>
      <c r="G1327">
        <v>2.13</v>
      </c>
      <c r="H1327">
        <v>169773.13</v>
      </c>
      <c r="I1327" t="s">
        <v>1729</v>
      </c>
      <c r="J1327">
        <v>650.38</v>
      </c>
      <c r="K1327">
        <v>130076</v>
      </c>
      <c r="L1327">
        <v>1488.94</v>
      </c>
      <c r="M1327">
        <v>457.5</v>
      </c>
      <c r="N1327">
        <v>7968.73</v>
      </c>
      <c r="O1327">
        <v>139991.17000000001</v>
      </c>
      <c r="P1327">
        <v>39697.129999999997</v>
      </c>
      <c r="Q1327">
        <v>29781.96</v>
      </c>
      <c r="R1327" t="s">
        <v>65</v>
      </c>
      <c r="S1327">
        <v>169773.13</v>
      </c>
      <c r="T1327">
        <v>0</v>
      </c>
      <c r="U1327" t="s">
        <v>66</v>
      </c>
      <c r="V1327" t="s">
        <v>8</v>
      </c>
      <c r="W1327" t="s">
        <v>74</v>
      </c>
      <c r="X1327" t="s">
        <v>101</v>
      </c>
      <c r="Y1327" t="s">
        <v>22</v>
      </c>
      <c r="Z1327">
        <v>1.63</v>
      </c>
      <c r="AA1327">
        <f t="shared" si="60"/>
        <v>29781.96</v>
      </c>
      <c r="AB1327">
        <f t="shared" si="61"/>
        <v>0.17542210595987714</v>
      </c>
      <c r="AC1327">
        <f t="shared" si="62"/>
        <v>0</v>
      </c>
      <c r="AD1327">
        <v>2025</v>
      </c>
      <c r="AE1327">
        <v>12</v>
      </c>
      <c r="AF1327" t="s">
        <v>98</v>
      </c>
      <c r="AG1327" t="s">
        <v>168</v>
      </c>
    </row>
    <row r="1328" spans="1:33">
      <c r="A1328" t="s">
        <v>1479</v>
      </c>
      <c r="B1328">
        <v>45562</v>
      </c>
      <c r="C1328">
        <v>45564</v>
      </c>
      <c r="D1328" t="s">
        <v>21</v>
      </c>
      <c r="E1328">
        <v>100</v>
      </c>
      <c r="F1328">
        <v>893.72</v>
      </c>
      <c r="G1328">
        <v>0.53</v>
      </c>
      <c r="H1328">
        <v>88898.33</v>
      </c>
      <c r="I1328" t="s">
        <v>1726</v>
      </c>
      <c r="J1328">
        <v>731.02</v>
      </c>
      <c r="K1328">
        <v>73102</v>
      </c>
      <c r="L1328">
        <v>1190.95</v>
      </c>
      <c r="M1328">
        <v>565.79999999999995</v>
      </c>
      <c r="N1328">
        <v>2729.03</v>
      </c>
      <c r="O1328">
        <v>77587.78</v>
      </c>
      <c r="P1328">
        <v>15796.33</v>
      </c>
      <c r="Q1328">
        <v>11310.55</v>
      </c>
      <c r="R1328" t="s">
        <v>65</v>
      </c>
      <c r="S1328">
        <v>88898.33</v>
      </c>
      <c r="T1328">
        <v>0</v>
      </c>
      <c r="U1328" t="s">
        <v>66</v>
      </c>
      <c r="V1328" t="s">
        <v>14</v>
      </c>
      <c r="W1328" t="s">
        <v>92</v>
      </c>
      <c r="X1328" t="s">
        <v>162</v>
      </c>
      <c r="Y1328" t="s">
        <v>26</v>
      </c>
      <c r="Z1328">
        <v>0.17</v>
      </c>
      <c r="AA1328">
        <f t="shared" si="60"/>
        <v>11310.55</v>
      </c>
      <c r="AB1328">
        <f t="shared" si="61"/>
        <v>0.12723017406513709</v>
      </c>
      <c r="AC1328">
        <f t="shared" si="62"/>
        <v>0</v>
      </c>
      <c r="AD1328">
        <v>2024</v>
      </c>
      <c r="AE1328">
        <v>9</v>
      </c>
      <c r="AF1328" t="s">
        <v>131</v>
      </c>
      <c r="AG1328" t="s">
        <v>188</v>
      </c>
    </row>
    <row r="1329" spans="1:33">
      <c r="A1329" t="s">
        <v>1480</v>
      </c>
      <c r="B1329">
        <v>45431</v>
      </c>
      <c r="C1329">
        <v>45432</v>
      </c>
      <c r="D1329" t="s">
        <v>23</v>
      </c>
      <c r="E1329">
        <v>100</v>
      </c>
      <c r="F1329">
        <v>1256.3800000000001</v>
      </c>
      <c r="G1329">
        <v>2.0499999999999998</v>
      </c>
      <c r="H1329">
        <v>123062.42</v>
      </c>
      <c r="I1329" t="s">
        <v>1726</v>
      </c>
      <c r="J1329">
        <v>989.06</v>
      </c>
      <c r="K1329">
        <v>98906</v>
      </c>
      <c r="L1329">
        <v>2280.23</v>
      </c>
      <c r="M1329">
        <v>477.22</v>
      </c>
      <c r="N1329">
        <v>6316.79</v>
      </c>
      <c r="O1329">
        <v>107980.24</v>
      </c>
      <c r="P1329">
        <v>24156.42</v>
      </c>
      <c r="Q1329">
        <v>15082.18</v>
      </c>
      <c r="R1329" t="s">
        <v>65</v>
      </c>
      <c r="S1329">
        <v>123062.42</v>
      </c>
      <c r="T1329">
        <v>0</v>
      </c>
      <c r="U1329" t="s">
        <v>73</v>
      </c>
      <c r="V1329" t="s">
        <v>6</v>
      </c>
      <c r="W1329" t="s">
        <v>74</v>
      </c>
      <c r="X1329" t="s">
        <v>68</v>
      </c>
      <c r="Y1329" t="s">
        <v>31</v>
      </c>
      <c r="Z1329">
        <v>1.93</v>
      </c>
      <c r="AA1329">
        <f t="shared" si="60"/>
        <v>15082.18</v>
      </c>
      <c r="AB1329">
        <f t="shared" si="61"/>
        <v>0.12255715432867322</v>
      </c>
      <c r="AC1329">
        <f t="shared" si="62"/>
        <v>0</v>
      </c>
      <c r="AD1329">
        <v>2024</v>
      </c>
      <c r="AE1329">
        <v>5</v>
      </c>
      <c r="AF1329" t="s">
        <v>76</v>
      </c>
      <c r="AG1329" t="s">
        <v>77</v>
      </c>
    </row>
    <row r="1330" spans="1:33">
      <c r="A1330" t="s">
        <v>1481</v>
      </c>
      <c r="B1330">
        <v>45470</v>
      </c>
      <c r="C1330">
        <v>45479</v>
      </c>
      <c r="D1330" t="s">
        <v>21</v>
      </c>
      <c r="E1330">
        <v>250</v>
      </c>
      <c r="F1330">
        <v>869.96</v>
      </c>
      <c r="G1330">
        <v>1.42</v>
      </c>
      <c r="H1330">
        <v>214401.64</v>
      </c>
      <c r="I1330" t="s">
        <v>1727</v>
      </c>
      <c r="J1330">
        <v>650.09</v>
      </c>
      <c r="K1330">
        <v>162522.5</v>
      </c>
      <c r="L1330">
        <v>3088.12</v>
      </c>
      <c r="M1330">
        <v>925.09</v>
      </c>
      <c r="N1330">
        <v>9581.0499999999993</v>
      </c>
      <c r="O1330">
        <v>176116.76</v>
      </c>
      <c r="P1330">
        <v>51879.14</v>
      </c>
      <c r="Q1330">
        <v>38284.879999999997</v>
      </c>
      <c r="R1330" t="s">
        <v>65</v>
      </c>
      <c r="S1330">
        <v>214401.64</v>
      </c>
      <c r="T1330">
        <v>0</v>
      </c>
      <c r="U1330" t="s">
        <v>66</v>
      </c>
      <c r="V1330" t="s">
        <v>6</v>
      </c>
      <c r="W1330" t="s">
        <v>80</v>
      </c>
      <c r="X1330" t="s">
        <v>208</v>
      </c>
      <c r="Y1330" t="s">
        <v>26</v>
      </c>
      <c r="Z1330">
        <v>1.43</v>
      </c>
      <c r="AA1330">
        <f t="shared" si="60"/>
        <v>38284.879999999997</v>
      </c>
      <c r="AB1330">
        <f t="shared" si="61"/>
        <v>0.17856617141547981</v>
      </c>
      <c r="AC1330">
        <f t="shared" si="62"/>
        <v>0</v>
      </c>
      <c r="AD1330">
        <v>2024</v>
      </c>
      <c r="AE1330">
        <v>6</v>
      </c>
      <c r="AF1330" t="s">
        <v>111</v>
      </c>
      <c r="AG1330" t="s">
        <v>148</v>
      </c>
    </row>
    <row r="1331" spans="1:33">
      <c r="A1331" t="s">
        <v>1482</v>
      </c>
      <c r="B1331">
        <v>45985</v>
      </c>
      <c r="C1331">
        <v>45987</v>
      </c>
      <c r="D1331" t="s">
        <v>21</v>
      </c>
      <c r="E1331">
        <v>200</v>
      </c>
      <c r="F1331">
        <v>904.25</v>
      </c>
      <c r="G1331">
        <v>1.49</v>
      </c>
      <c r="H1331">
        <v>178155.34</v>
      </c>
      <c r="I1331" t="s">
        <v>1727</v>
      </c>
      <c r="J1331">
        <v>713.89</v>
      </c>
      <c r="K1331">
        <v>142778</v>
      </c>
      <c r="L1331">
        <v>2171.7800000000002</v>
      </c>
      <c r="M1331">
        <v>1189.6400000000001</v>
      </c>
      <c r="N1331">
        <v>7873.93</v>
      </c>
      <c r="O1331">
        <v>154013.35</v>
      </c>
      <c r="P1331">
        <v>35377.339999999997</v>
      </c>
      <c r="Q1331">
        <v>24141.99</v>
      </c>
      <c r="R1331" t="s">
        <v>65</v>
      </c>
      <c r="S1331">
        <v>178155.34</v>
      </c>
      <c r="T1331">
        <v>0</v>
      </c>
      <c r="U1331" t="s">
        <v>66</v>
      </c>
      <c r="V1331" t="s">
        <v>16</v>
      </c>
      <c r="W1331" t="s">
        <v>141</v>
      </c>
      <c r="X1331" t="s">
        <v>123</v>
      </c>
      <c r="Y1331" t="s">
        <v>22</v>
      </c>
      <c r="Z1331">
        <v>0.26</v>
      </c>
      <c r="AA1331">
        <f t="shared" si="60"/>
        <v>24141.99</v>
      </c>
      <c r="AB1331">
        <f t="shared" si="61"/>
        <v>0.13551089739998814</v>
      </c>
      <c r="AC1331">
        <f t="shared" si="62"/>
        <v>0</v>
      </c>
      <c r="AD1331">
        <v>2025</v>
      </c>
      <c r="AE1331">
        <v>11</v>
      </c>
      <c r="AF1331" t="s">
        <v>128</v>
      </c>
      <c r="AG1331" t="s">
        <v>135</v>
      </c>
    </row>
    <row r="1332" spans="1:33">
      <c r="A1332" t="s">
        <v>1483</v>
      </c>
      <c r="B1332">
        <v>45918</v>
      </c>
      <c r="C1332">
        <v>45919</v>
      </c>
      <c r="D1332" t="s">
        <v>23</v>
      </c>
      <c r="E1332">
        <v>100</v>
      </c>
      <c r="F1332">
        <v>1340.11</v>
      </c>
      <c r="G1332">
        <v>0.53</v>
      </c>
      <c r="H1332">
        <v>133300.74</v>
      </c>
      <c r="I1332" t="s">
        <v>1726</v>
      </c>
      <c r="J1332">
        <v>1053.0999999999999</v>
      </c>
      <c r="K1332">
        <v>105310</v>
      </c>
      <c r="L1332">
        <v>1849.29</v>
      </c>
      <c r="M1332">
        <v>400.06</v>
      </c>
      <c r="N1332">
        <v>5856.66</v>
      </c>
      <c r="O1332">
        <v>113416.01</v>
      </c>
      <c r="P1332">
        <v>27990.74</v>
      </c>
      <c r="Q1332">
        <v>19884.73</v>
      </c>
      <c r="R1332" t="s">
        <v>65</v>
      </c>
      <c r="S1332">
        <v>133300.74</v>
      </c>
      <c r="T1332">
        <v>0</v>
      </c>
      <c r="U1332" t="s">
        <v>66</v>
      </c>
      <c r="V1332" t="s">
        <v>10</v>
      </c>
      <c r="W1332" t="s">
        <v>74</v>
      </c>
      <c r="X1332" t="s">
        <v>193</v>
      </c>
      <c r="Y1332" t="s">
        <v>30</v>
      </c>
      <c r="Z1332">
        <v>1.69</v>
      </c>
      <c r="AA1332">
        <f t="shared" si="60"/>
        <v>19884.73</v>
      </c>
      <c r="AB1332">
        <f t="shared" si="61"/>
        <v>0.14917194008075274</v>
      </c>
      <c r="AC1332">
        <f t="shared" si="62"/>
        <v>0</v>
      </c>
      <c r="AD1332">
        <v>2025</v>
      </c>
      <c r="AE1332">
        <v>9</v>
      </c>
      <c r="AF1332" t="s">
        <v>131</v>
      </c>
      <c r="AG1332" t="s">
        <v>132</v>
      </c>
    </row>
    <row r="1333" spans="1:33">
      <c r="A1333" t="s">
        <v>1484</v>
      </c>
      <c r="B1333">
        <v>45509</v>
      </c>
      <c r="C1333">
        <v>45518</v>
      </c>
      <c r="D1333" t="s">
        <v>23</v>
      </c>
      <c r="E1333">
        <v>150</v>
      </c>
      <c r="F1333">
        <v>1326.85</v>
      </c>
      <c r="G1333">
        <v>0.23</v>
      </c>
      <c r="H1333">
        <v>198569.74</v>
      </c>
      <c r="I1333" t="s">
        <v>1727</v>
      </c>
      <c r="J1333">
        <v>982.02</v>
      </c>
      <c r="K1333">
        <v>147303</v>
      </c>
      <c r="L1333">
        <v>3515.97</v>
      </c>
      <c r="M1333">
        <v>486.59</v>
      </c>
      <c r="N1333">
        <v>827.87</v>
      </c>
      <c r="O1333">
        <v>152133.43</v>
      </c>
      <c r="P1333">
        <v>51266.74</v>
      </c>
      <c r="Q1333">
        <v>46436.31</v>
      </c>
      <c r="R1333" t="s">
        <v>65</v>
      </c>
      <c r="S1333">
        <v>198569.74</v>
      </c>
      <c r="T1333">
        <v>0</v>
      </c>
      <c r="U1333" t="s">
        <v>66</v>
      </c>
      <c r="V1333" t="s">
        <v>6</v>
      </c>
      <c r="W1333" t="s">
        <v>67</v>
      </c>
      <c r="X1333" t="s">
        <v>145</v>
      </c>
      <c r="Y1333" t="s">
        <v>30</v>
      </c>
      <c r="Z1333">
        <v>0.01</v>
      </c>
      <c r="AA1333">
        <f t="shared" si="60"/>
        <v>46436.31</v>
      </c>
      <c r="AB1333">
        <f t="shared" si="61"/>
        <v>0.2338539094627409</v>
      </c>
      <c r="AC1333">
        <f t="shared" si="62"/>
        <v>0</v>
      </c>
      <c r="AD1333">
        <v>2024</v>
      </c>
      <c r="AE1333">
        <v>8</v>
      </c>
      <c r="AF1333" t="s">
        <v>82</v>
      </c>
      <c r="AG1333" t="s">
        <v>83</v>
      </c>
    </row>
    <row r="1334" spans="1:33">
      <c r="A1334" t="s">
        <v>1485</v>
      </c>
      <c r="B1334">
        <v>45373</v>
      </c>
      <c r="C1334">
        <v>45374</v>
      </c>
      <c r="D1334" t="s">
        <v>23</v>
      </c>
      <c r="E1334">
        <v>300</v>
      </c>
      <c r="F1334">
        <v>1264.3599999999999</v>
      </c>
      <c r="G1334">
        <v>2.11</v>
      </c>
      <c r="H1334">
        <v>371304.6</v>
      </c>
      <c r="I1334" t="s">
        <v>1726</v>
      </c>
      <c r="J1334">
        <v>1025.49</v>
      </c>
      <c r="K1334">
        <v>307647</v>
      </c>
      <c r="L1334">
        <v>5030.08</v>
      </c>
      <c r="M1334">
        <v>1157.5</v>
      </c>
      <c r="N1334">
        <v>11039.52</v>
      </c>
      <c r="O1334">
        <v>324874.09999999998</v>
      </c>
      <c r="P1334">
        <v>63657.599999999999</v>
      </c>
      <c r="Q1334">
        <v>46430.5</v>
      </c>
      <c r="R1334" t="s">
        <v>85</v>
      </c>
      <c r="S1334">
        <v>162845.06</v>
      </c>
      <c r="T1334">
        <v>208459.54</v>
      </c>
      <c r="U1334" t="s">
        <v>73</v>
      </c>
      <c r="V1334" t="s">
        <v>10</v>
      </c>
      <c r="W1334" t="s">
        <v>74</v>
      </c>
      <c r="X1334" t="s">
        <v>176</v>
      </c>
      <c r="Y1334" t="s">
        <v>22</v>
      </c>
      <c r="Z1334">
        <v>0.35</v>
      </c>
      <c r="AA1334">
        <f t="shared" si="60"/>
        <v>46430.5</v>
      </c>
      <c r="AB1334">
        <f t="shared" si="61"/>
        <v>0.12504692912503643</v>
      </c>
      <c r="AC1334">
        <f t="shared" si="62"/>
        <v>0</v>
      </c>
      <c r="AD1334">
        <v>2024</v>
      </c>
      <c r="AE1334">
        <v>3</v>
      </c>
      <c r="AF1334" t="s">
        <v>105</v>
      </c>
      <c r="AG1334" t="s">
        <v>120</v>
      </c>
    </row>
    <row r="1335" spans="1:33">
      <c r="A1335" t="s">
        <v>1486</v>
      </c>
      <c r="B1335">
        <v>46007</v>
      </c>
      <c r="C1335">
        <v>46008</v>
      </c>
      <c r="D1335" t="s">
        <v>21</v>
      </c>
      <c r="E1335">
        <v>500</v>
      </c>
      <c r="F1335">
        <v>898.41</v>
      </c>
      <c r="G1335">
        <v>4.1399999999999997</v>
      </c>
      <c r="H1335">
        <v>430607.91</v>
      </c>
      <c r="I1335" t="s">
        <v>1726</v>
      </c>
      <c r="J1335">
        <v>702.38</v>
      </c>
      <c r="K1335">
        <v>351190</v>
      </c>
      <c r="L1335">
        <v>11973.99</v>
      </c>
      <c r="M1335">
        <v>2906.85</v>
      </c>
      <c r="N1335">
        <v>3745.97</v>
      </c>
      <c r="O1335">
        <v>369816.81</v>
      </c>
      <c r="P1335">
        <v>79417.91</v>
      </c>
      <c r="Q1335">
        <v>60791.1</v>
      </c>
      <c r="R1335" t="s">
        <v>134</v>
      </c>
      <c r="S1335">
        <v>0</v>
      </c>
      <c r="T1335">
        <v>430607.91</v>
      </c>
      <c r="U1335" t="s">
        <v>66</v>
      </c>
      <c r="V1335" t="s">
        <v>12</v>
      </c>
      <c r="W1335" t="s">
        <v>67</v>
      </c>
      <c r="X1335" t="s">
        <v>127</v>
      </c>
      <c r="Y1335" t="s">
        <v>22</v>
      </c>
      <c r="Z1335">
        <v>2.3199999999999998</v>
      </c>
      <c r="AA1335">
        <f t="shared" si="60"/>
        <v>60791.1</v>
      </c>
      <c r="AB1335">
        <f t="shared" si="61"/>
        <v>0.14117506573439398</v>
      </c>
      <c r="AC1335">
        <f t="shared" si="62"/>
        <v>0</v>
      </c>
      <c r="AD1335">
        <v>2025</v>
      </c>
      <c r="AE1335">
        <v>12</v>
      </c>
      <c r="AF1335" t="s">
        <v>98</v>
      </c>
      <c r="AG1335" t="s">
        <v>168</v>
      </c>
    </row>
    <row r="1336" spans="1:33">
      <c r="A1336" t="s">
        <v>1487</v>
      </c>
      <c r="B1336">
        <v>45331</v>
      </c>
      <c r="C1336">
        <v>45332</v>
      </c>
      <c r="D1336" t="s">
        <v>25</v>
      </c>
      <c r="E1336">
        <v>500</v>
      </c>
      <c r="F1336">
        <v>896.09</v>
      </c>
      <c r="G1336">
        <v>1.53</v>
      </c>
      <c r="H1336">
        <v>441189.91</v>
      </c>
      <c r="I1336" t="s">
        <v>1727</v>
      </c>
      <c r="J1336">
        <v>746.92</v>
      </c>
      <c r="K1336">
        <v>373460</v>
      </c>
      <c r="L1336">
        <v>9608.11</v>
      </c>
      <c r="M1336">
        <v>2224.39</v>
      </c>
      <c r="N1336">
        <v>1180.7</v>
      </c>
      <c r="O1336">
        <v>386473.2</v>
      </c>
      <c r="P1336">
        <v>67729.91</v>
      </c>
      <c r="Q1336">
        <v>54716.71</v>
      </c>
      <c r="R1336" t="s">
        <v>65</v>
      </c>
      <c r="S1336">
        <v>441189.91</v>
      </c>
      <c r="T1336">
        <v>0</v>
      </c>
      <c r="U1336" t="s">
        <v>66</v>
      </c>
      <c r="V1336" t="s">
        <v>6</v>
      </c>
      <c r="W1336" t="s">
        <v>92</v>
      </c>
      <c r="X1336" t="s">
        <v>108</v>
      </c>
      <c r="Y1336" t="s">
        <v>22</v>
      </c>
      <c r="Z1336">
        <v>0.02</v>
      </c>
      <c r="AA1336">
        <f t="shared" si="60"/>
        <v>54716.71</v>
      </c>
      <c r="AB1336">
        <f t="shared" si="61"/>
        <v>0.12402076466345298</v>
      </c>
      <c r="AC1336">
        <f t="shared" si="62"/>
        <v>0</v>
      </c>
      <c r="AD1336">
        <v>2024</v>
      </c>
      <c r="AE1336">
        <v>2</v>
      </c>
      <c r="AF1336" t="s">
        <v>172</v>
      </c>
      <c r="AG1336" t="s">
        <v>173</v>
      </c>
    </row>
    <row r="1337" spans="1:33">
      <c r="A1337" t="s">
        <v>1488</v>
      </c>
      <c r="B1337">
        <v>45454</v>
      </c>
      <c r="C1337">
        <v>45467</v>
      </c>
      <c r="D1337" t="s">
        <v>25</v>
      </c>
      <c r="E1337">
        <v>300</v>
      </c>
      <c r="F1337">
        <v>990.66</v>
      </c>
      <c r="G1337">
        <v>1.87</v>
      </c>
      <c r="H1337">
        <v>291640.40000000002</v>
      </c>
      <c r="I1337" t="s">
        <v>1728</v>
      </c>
      <c r="J1337">
        <v>775.4</v>
      </c>
      <c r="K1337">
        <v>232620</v>
      </c>
      <c r="L1337">
        <v>5030.4799999999996</v>
      </c>
      <c r="M1337">
        <v>1272.21</v>
      </c>
      <c r="N1337">
        <v>7521.42</v>
      </c>
      <c r="O1337">
        <v>246444.11</v>
      </c>
      <c r="P1337">
        <v>59020.4</v>
      </c>
      <c r="Q1337">
        <v>45196.29</v>
      </c>
      <c r="R1337" t="s">
        <v>85</v>
      </c>
      <c r="S1337">
        <v>218815.74</v>
      </c>
      <c r="T1337">
        <v>72824.66</v>
      </c>
      <c r="U1337" t="s">
        <v>73</v>
      </c>
      <c r="V1337" t="s">
        <v>6</v>
      </c>
      <c r="W1337" t="s">
        <v>92</v>
      </c>
      <c r="X1337" t="s">
        <v>101</v>
      </c>
      <c r="Y1337" t="s">
        <v>22</v>
      </c>
      <c r="Z1337">
        <v>2.0499999999999998</v>
      </c>
      <c r="AA1337">
        <f t="shared" si="60"/>
        <v>45196.29</v>
      </c>
      <c r="AB1337">
        <f t="shared" si="61"/>
        <v>0.15497266496685644</v>
      </c>
      <c r="AC1337">
        <f t="shared" si="62"/>
        <v>0</v>
      </c>
      <c r="AD1337">
        <v>2024</v>
      </c>
      <c r="AE1337">
        <v>6</v>
      </c>
      <c r="AF1337" t="s">
        <v>111</v>
      </c>
      <c r="AG1337" t="s">
        <v>148</v>
      </c>
    </row>
    <row r="1338" spans="1:33">
      <c r="A1338" t="s">
        <v>1489</v>
      </c>
      <c r="B1338">
        <v>45599</v>
      </c>
      <c r="C1338">
        <v>45613</v>
      </c>
      <c r="D1338" t="s">
        <v>21</v>
      </c>
      <c r="E1338">
        <v>50</v>
      </c>
      <c r="F1338">
        <v>890.99</v>
      </c>
      <c r="G1338">
        <v>1.45</v>
      </c>
      <c r="H1338">
        <v>43903.53</v>
      </c>
      <c r="I1338" t="s">
        <v>1726</v>
      </c>
      <c r="J1338">
        <v>696.08</v>
      </c>
      <c r="K1338">
        <v>34804</v>
      </c>
      <c r="L1338">
        <v>1180.27</v>
      </c>
      <c r="M1338">
        <v>126.87</v>
      </c>
      <c r="N1338">
        <v>3054.55</v>
      </c>
      <c r="O1338">
        <v>39165.69</v>
      </c>
      <c r="P1338">
        <v>9099.5300000000007</v>
      </c>
      <c r="Q1338">
        <v>4737.84</v>
      </c>
      <c r="R1338" t="s">
        <v>65</v>
      </c>
      <c r="S1338">
        <v>43903.53</v>
      </c>
      <c r="T1338">
        <v>0</v>
      </c>
      <c r="U1338" t="s">
        <v>66</v>
      </c>
      <c r="V1338" t="s">
        <v>14</v>
      </c>
      <c r="W1338" t="s">
        <v>67</v>
      </c>
      <c r="X1338" t="s">
        <v>123</v>
      </c>
      <c r="Y1338" t="s">
        <v>22</v>
      </c>
      <c r="Z1338">
        <v>0.76</v>
      </c>
      <c r="AA1338">
        <f t="shared" si="60"/>
        <v>4737.84</v>
      </c>
      <c r="AB1338">
        <f t="shared" si="61"/>
        <v>0.10791478498425981</v>
      </c>
      <c r="AC1338">
        <f t="shared" si="62"/>
        <v>0</v>
      </c>
      <c r="AD1338">
        <v>2024</v>
      </c>
      <c r="AE1338">
        <v>11</v>
      </c>
      <c r="AF1338" t="s">
        <v>128</v>
      </c>
      <c r="AG1338" t="s">
        <v>129</v>
      </c>
    </row>
    <row r="1339" spans="1:33">
      <c r="A1339" t="s">
        <v>1490</v>
      </c>
      <c r="B1339">
        <v>45701</v>
      </c>
      <c r="C1339">
        <v>45709</v>
      </c>
      <c r="D1339" t="s">
        <v>23</v>
      </c>
      <c r="E1339">
        <v>100</v>
      </c>
      <c r="F1339">
        <v>1192.4100000000001</v>
      </c>
      <c r="G1339">
        <v>2.2999999999999998</v>
      </c>
      <c r="H1339">
        <v>116498.46</v>
      </c>
      <c r="I1339" t="s">
        <v>1727</v>
      </c>
      <c r="J1339">
        <v>1088.47</v>
      </c>
      <c r="K1339">
        <v>108847</v>
      </c>
      <c r="L1339">
        <v>695</v>
      </c>
      <c r="M1339">
        <v>483.12</v>
      </c>
      <c r="N1339">
        <v>377.3</v>
      </c>
      <c r="O1339">
        <v>110402.42</v>
      </c>
      <c r="P1339">
        <v>7651.46</v>
      </c>
      <c r="Q1339">
        <v>6096.04</v>
      </c>
      <c r="R1339" t="s">
        <v>85</v>
      </c>
      <c r="S1339">
        <v>30003.95</v>
      </c>
      <c r="T1339">
        <v>86494.51</v>
      </c>
      <c r="U1339" t="s">
        <v>66</v>
      </c>
      <c r="V1339" t="s">
        <v>6</v>
      </c>
      <c r="W1339" t="s">
        <v>80</v>
      </c>
      <c r="X1339" t="s">
        <v>115</v>
      </c>
      <c r="Y1339" t="s">
        <v>22</v>
      </c>
      <c r="Z1339">
        <v>0.34</v>
      </c>
      <c r="AA1339">
        <f t="shared" si="60"/>
        <v>6096.04</v>
      </c>
      <c r="AB1339">
        <f t="shared" si="61"/>
        <v>5.2327215312545756E-2</v>
      </c>
      <c r="AC1339">
        <f t="shared" si="62"/>
        <v>0</v>
      </c>
      <c r="AD1339">
        <v>2025</v>
      </c>
      <c r="AE1339">
        <v>2</v>
      </c>
      <c r="AF1339" t="s">
        <v>172</v>
      </c>
      <c r="AG1339" t="s">
        <v>244</v>
      </c>
    </row>
    <row r="1340" spans="1:33">
      <c r="A1340" t="s">
        <v>1491</v>
      </c>
      <c r="B1340">
        <v>45777</v>
      </c>
      <c r="D1340" t="s">
        <v>21</v>
      </c>
      <c r="E1340">
        <v>50</v>
      </c>
      <c r="F1340">
        <v>823.94</v>
      </c>
      <c r="G1340">
        <v>0.08</v>
      </c>
      <c r="H1340">
        <v>41164.04</v>
      </c>
      <c r="I1340" t="s">
        <v>1729</v>
      </c>
      <c r="J1340">
        <v>707.07</v>
      </c>
      <c r="K1340">
        <v>35353.5</v>
      </c>
      <c r="L1340">
        <v>1009.95</v>
      </c>
      <c r="M1340">
        <v>185.14</v>
      </c>
      <c r="N1340">
        <v>7962.38</v>
      </c>
      <c r="O1340">
        <v>44510.97</v>
      </c>
      <c r="P1340">
        <v>5810.54</v>
      </c>
      <c r="Q1340">
        <v>-3346.93</v>
      </c>
      <c r="R1340" t="s">
        <v>134</v>
      </c>
      <c r="S1340">
        <v>0</v>
      </c>
      <c r="T1340">
        <v>41164.04</v>
      </c>
      <c r="U1340" t="s">
        <v>91</v>
      </c>
      <c r="V1340" t="s">
        <v>14</v>
      </c>
      <c r="W1340" t="s">
        <v>74</v>
      </c>
      <c r="X1340" t="s">
        <v>123</v>
      </c>
      <c r="Y1340" t="s">
        <v>22</v>
      </c>
      <c r="Z1340">
        <v>1.48</v>
      </c>
      <c r="AA1340">
        <f t="shared" si="60"/>
        <v>-3346.93</v>
      </c>
      <c r="AB1340">
        <f t="shared" si="61"/>
        <v>-8.1307131175657188E-2</v>
      </c>
      <c r="AC1340">
        <f t="shared" si="62"/>
        <v>0</v>
      </c>
      <c r="AD1340">
        <v>2025</v>
      </c>
      <c r="AE1340">
        <v>4</v>
      </c>
      <c r="AF1340" t="s">
        <v>154</v>
      </c>
      <c r="AG1340" t="s">
        <v>155</v>
      </c>
    </row>
    <row r="1341" spans="1:33">
      <c r="A1341" t="s">
        <v>1492</v>
      </c>
      <c r="B1341">
        <v>45950</v>
      </c>
      <c r="C1341">
        <v>45954</v>
      </c>
      <c r="D1341" t="s">
        <v>21</v>
      </c>
      <c r="E1341">
        <v>250</v>
      </c>
      <c r="F1341">
        <v>951.07</v>
      </c>
      <c r="G1341">
        <v>1.6</v>
      </c>
      <c r="H1341">
        <v>233963.22</v>
      </c>
      <c r="I1341" t="s">
        <v>1728</v>
      </c>
      <c r="J1341">
        <v>711.64</v>
      </c>
      <c r="K1341">
        <v>177910</v>
      </c>
      <c r="L1341">
        <v>4877.21</v>
      </c>
      <c r="M1341">
        <v>1236.4000000000001</v>
      </c>
      <c r="N1341">
        <v>10332.77</v>
      </c>
      <c r="O1341">
        <v>194356.38</v>
      </c>
      <c r="P1341">
        <v>56053.22</v>
      </c>
      <c r="Q1341">
        <v>39606.839999999997</v>
      </c>
      <c r="R1341" t="s">
        <v>134</v>
      </c>
      <c r="S1341">
        <v>0</v>
      </c>
      <c r="T1341">
        <v>233963.22</v>
      </c>
      <c r="U1341" t="s">
        <v>73</v>
      </c>
      <c r="V1341" t="s">
        <v>8</v>
      </c>
      <c r="W1341" t="s">
        <v>141</v>
      </c>
      <c r="X1341" t="s">
        <v>164</v>
      </c>
      <c r="Y1341" t="s">
        <v>24</v>
      </c>
      <c r="Z1341">
        <v>1.66</v>
      </c>
      <c r="AA1341">
        <f t="shared" si="60"/>
        <v>39606.839999999997</v>
      </c>
      <c r="AB1341">
        <f t="shared" si="61"/>
        <v>0.16928660838229187</v>
      </c>
      <c r="AC1341">
        <f t="shared" si="62"/>
        <v>0</v>
      </c>
      <c r="AD1341">
        <v>2025</v>
      </c>
      <c r="AE1341">
        <v>10</v>
      </c>
      <c r="AF1341" t="s">
        <v>138</v>
      </c>
      <c r="AG1341" t="s">
        <v>160</v>
      </c>
    </row>
    <row r="1342" spans="1:33">
      <c r="A1342" t="s">
        <v>1493</v>
      </c>
      <c r="B1342">
        <v>45616</v>
      </c>
      <c r="C1342">
        <v>45624</v>
      </c>
      <c r="D1342" t="s">
        <v>25</v>
      </c>
      <c r="E1342">
        <v>1000</v>
      </c>
      <c r="F1342">
        <v>977.63</v>
      </c>
      <c r="G1342">
        <v>0.82</v>
      </c>
      <c r="H1342">
        <v>969613.43</v>
      </c>
      <c r="I1342" t="s">
        <v>1726</v>
      </c>
      <c r="J1342">
        <v>790.09</v>
      </c>
      <c r="K1342">
        <v>790090</v>
      </c>
      <c r="L1342">
        <v>18763.759999999998</v>
      </c>
      <c r="M1342">
        <v>4314.8</v>
      </c>
      <c r="N1342">
        <v>11142.11</v>
      </c>
      <c r="O1342">
        <v>824310.67</v>
      </c>
      <c r="P1342">
        <v>179523.43</v>
      </c>
      <c r="Q1342">
        <v>145302.76</v>
      </c>
      <c r="R1342" t="s">
        <v>65</v>
      </c>
      <c r="S1342">
        <v>969613.43</v>
      </c>
      <c r="T1342">
        <v>0</v>
      </c>
      <c r="U1342" t="s">
        <v>73</v>
      </c>
      <c r="V1342" t="s">
        <v>6</v>
      </c>
      <c r="W1342" t="s">
        <v>141</v>
      </c>
      <c r="X1342" t="s">
        <v>123</v>
      </c>
      <c r="Y1342" t="s">
        <v>22</v>
      </c>
      <c r="Z1342">
        <v>2.2599999999999998</v>
      </c>
      <c r="AA1342">
        <f t="shared" si="60"/>
        <v>145302.76</v>
      </c>
      <c r="AB1342">
        <f t="shared" si="61"/>
        <v>0.1498563814240898</v>
      </c>
      <c r="AC1342">
        <f t="shared" si="62"/>
        <v>0</v>
      </c>
      <c r="AD1342">
        <v>2024</v>
      </c>
      <c r="AE1342">
        <v>11</v>
      </c>
      <c r="AF1342" t="s">
        <v>128</v>
      </c>
      <c r="AG1342" t="s">
        <v>129</v>
      </c>
    </row>
    <row r="1343" spans="1:33">
      <c r="A1343" t="s">
        <v>1494</v>
      </c>
      <c r="B1343">
        <v>45354</v>
      </c>
      <c r="C1343">
        <v>45354</v>
      </c>
      <c r="D1343" t="s">
        <v>29</v>
      </c>
      <c r="E1343">
        <v>750</v>
      </c>
      <c r="F1343">
        <v>2962.62</v>
      </c>
      <c r="G1343">
        <v>3.7</v>
      </c>
      <c r="H1343">
        <v>2139752.2999999998</v>
      </c>
      <c r="I1343" t="s">
        <v>1729</v>
      </c>
      <c r="J1343">
        <v>2145.0300000000002</v>
      </c>
      <c r="K1343">
        <v>1608772.5</v>
      </c>
      <c r="L1343">
        <v>9866.93</v>
      </c>
      <c r="M1343">
        <v>3607.01</v>
      </c>
      <c r="N1343">
        <v>9692.2000000000007</v>
      </c>
      <c r="O1343">
        <v>1631938.64</v>
      </c>
      <c r="P1343">
        <v>530979.80000000005</v>
      </c>
      <c r="Q1343">
        <v>507813.66</v>
      </c>
      <c r="R1343" t="s">
        <v>65</v>
      </c>
      <c r="S1343">
        <v>2139752.2999999998</v>
      </c>
      <c r="T1343">
        <v>0</v>
      </c>
      <c r="U1343" t="s">
        <v>66</v>
      </c>
      <c r="V1343" t="s">
        <v>10</v>
      </c>
      <c r="W1343" t="s">
        <v>80</v>
      </c>
      <c r="X1343" t="s">
        <v>127</v>
      </c>
      <c r="Y1343" t="s">
        <v>22</v>
      </c>
      <c r="Z1343">
        <v>1.28</v>
      </c>
      <c r="AA1343">
        <f t="shared" si="60"/>
        <v>507813.66</v>
      </c>
      <c r="AB1343">
        <f t="shared" si="61"/>
        <v>0.2373235724527554</v>
      </c>
      <c r="AC1343">
        <f t="shared" si="62"/>
        <v>0</v>
      </c>
      <c r="AD1343">
        <v>2024</v>
      </c>
      <c r="AE1343">
        <v>3</v>
      </c>
      <c r="AF1343" t="s">
        <v>105</v>
      </c>
      <c r="AG1343" t="s">
        <v>120</v>
      </c>
    </row>
    <row r="1344" spans="1:33">
      <c r="A1344" t="s">
        <v>1495</v>
      </c>
      <c r="B1344">
        <v>45389</v>
      </c>
      <c r="C1344">
        <v>45395</v>
      </c>
      <c r="D1344" t="s">
        <v>21</v>
      </c>
      <c r="E1344">
        <v>150</v>
      </c>
      <c r="F1344">
        <v>934.27</v>
      </c>
      <c r="G1344">
        <v>1.81</v>
      </c>
      <c r="H1344">
        <v>137603.96</v>
      </c>
      <c r="I1344" t="s">
        <v>1726</v>
      </c>
      <c r="J1344">
        <v>717.57</v>
      </c>
      <c r="K1344">
        <v>107635.5</v>
      </c>
      <c r="L1344">
        <v>1440.46</v>
      </c>
      <c r="M1344">
        <v>394.05</v>
      </c>
      <c r="N1344">
        <v>7008.41</v>
      </c>
      <c r="O1344">
        <v>116478.42</v>
      </c>
      <c r="P1344">
        <v>29968.46</v>
      </c>
      <c r="Q1344">
        <v>21125.54</v>
      </c>
      <c r="R1344" t="s">
        <v>85</v>
      </c>
      <c r="S1344">
        <v>58600.92</v>
      </c>
      <c r="T1344">
        <v>79003.039999999994</v>
      </c>
      <c r="U1344" t="s">
        <v>66</v>
      </c>
      <c r="V1344" t="s">
        <v>8</v>
      </c>
      <c r="W1344" t="s">
        <v>141</v>
      </c>
      <c r="X1344" t="s">
        <v>176</v>
      </c>
      <c r="Y1344" t="s">
        <v>22</v>
      </c>
      <c r="Z1344">
        <v>0.32</v>
      </c>
      <c r="AA1344">
        <f t="shared" si="60"/>
        <v>21125.54</v>
      </c>
      <c r="AB1344">
        <f t="shared" si="61"/>
        <v>0.15352421543682321</v>
      </c>
      <c r="AC1344">
        <f t="shared" si="62"/>
        <v>0</v>
      </c>
      <c r="AD1344">
        <v>2024</v>
      </c>
      <c r="AE1344">
        <v>4</v>
      </c>
      <c r="AF1344" t="s">
        <v>154</v>
      </c>
      <c r="AG1344" t="s">
        <v>157</v>
      </c>
    </row>
    <row r="1345" spans="1:33">
      <c r="A1345" t="s">
        <v>1496</v>
      </c>
      <c r="B1345">
        <v>45894</v>
      </c>
      <c r="C1345">
        <v>45896</v>
      </c>
      <c r="D1345" t="s">
        <v>21</v>
      </c>
      <c r="E1345">
        <v>200</v>
      </c>
      <c r="F1345">
        <v>913.45</v>
      </c>
      <c r="G1345">
        <v>1.92</v>
      </c>
      <c r="H1345">
        <v>179182.35</v>
      </c>
      <c r="I1345" t="s">
        <v>1726</v>
      </c>
      <c r="J1345">
        <v>745.16</v>
      </c>
      <c r="K1345">
        <v>149032</v>
      </c>
      <c r="L1345">
        <v>3608.05</v>
      </c>
      <c r="M1345">
        <v>323.7</v>
      </c>
      <c r="N1345">
        <v>1909.2</v>
      </c>
      <c r="O1345">
        <v>154872.95000000001</v>
      </c>
      <c r="P1345">
        <v>30150.35</v>
      </c>
      <c r="Q1345">
        <v>24309.4</v>
      </c>
      <c r="R1345" t="s">
        <v>85</v>
      </c>
      <c r="S1345">
        <v>108619.84</v>
      </c>
      <c r="T1345">
        <v>70562.509999999995</v>
      </c>
      <c r="U1345" t="s">
        <v>66</v>
      </c>
      <c r="V1345" t="s">
        <v>10</v>
      </c>
      <c r="W1345" t="s">
        <v>141</v>
      </c>
      <c r="X1345" t="s">
        <v>167</v>
      </c>
      <c r="Y1345" t="s">
        <v>31</v>
      </c>
      <c r="Z1345">
        <v>0.52</v>
      </c>
      <c r="AA1345">
        <f t="shared" si="60"/>
        <v>24309.4</v>
      </c>
      <c r="AB1345">
        <f t="shared" si="61"/>
        <v>0.13566849636696918</v>
      </c>
      <c r="AC1345">
        <f t="shared" si="62"/>
        <v>0</v>
      </c>
      <c r="AD1345">
        <v>2025</v>
      </c>
      <c r="AE1345">
        <v>8</v>
      </c>
      <c r="AF1345" t="s">
        <v>82</v>
      </c>
      <c r="AG1345" t="s">
        <v>87</v>
      </c>
    </row>
    <row r="1346" spans="1:33">
      <c r="A1346" t="s">
        <v>1497</v>
      </c>
      <c r="B1346">
        <v>45745</v>
      </c>
      <c r="C1346">
        <v>45757</v>
      </c>
      <c r="D1346" t="s">
        <v>23</v>
      </c>
      <c r="E1346">
        <v>200</v>
      </c>
      <c r="F1346">
        <v>1273.68</v>
      </c>
      <c r="G1346">
        <v>1.73</v>
      </c>
      <c r="H1346">
        <v>250329.07</v>
      </c>
      <c r="I1346" t="s">
        <v>1729</v>
      </c>
      <c r="J1346">
        <v>1009.28</v>
      </c>
      <c r="K1346">
        <v>201856</v>
      </c>
      <c r="L1346">
        <v>3801.04</v>
      </c>
      <c r="M1346">
        <v>704.59</v>
      </c>
      <c r="N1346">
        <v>1690.48</v>
      </c>
      <c r="O1346">
        <v>208052.11</v>
      </c>
      <c r="P1346">
        <v>48473.07</v>
      </c>
      <c r="Q1346">
        <v>42276.959999999999</v>
      </c>
      <c r="R1346" t="s">
        <v>65</v>
      </c>
      <c r="S1346">
        <v>250329.07</v>
      </c>
      <c r="T1346">
        <v>0</v>
      </c>
      <c r="U1346" t="s">
        <v>73</v>
      </c>
      <c r="V1346" t="s">
        <v>6</v>
      </c>
      <c r="W1346" t="s">
        <v>80</v>
      </c>
      <c r="X1346" t="s">
        <v>275</v>
      </c>
      <c r="Y1346" t="s">
        <v>31</v>
      </c>
      <c r="Z1346">
        <v>0.14000000000000001</v>
      </c>
      <c r="AA1346">
        <f t="shared" ref="AA1346:AA1409" si="63">ROUND(H1346-O1346,2)</f>
        <v>42276.959999999999</v>
      </c>
      <c r="AB1346">
        <f t="shared" ref="AB1346:AB1409" si="64">AA1346/H1346</f>
        <v>0.16888553934227454</v>
      </c>
      <c r="AC1346">
        <f t="shared" ref="AC1346:AC1409" si="65">ROUND(AA1346-Q1346,2)</f>
        <v>0</v>
      </c>
      <c r="AD1346">
        <v>2025</v>
      </c>
      <c r="AE1346">
        <v>3</v>
      </c>
      <c r="AF1346" t="s">
        <v>105</v>
      </c>
      <c r="AG1346" t="s">
        <v>106</v>
      </c>
    </row>
    <row r="1347" spans="1:33">
      <c r="A1347" t="s">
        <v>1498</v>
      </c>
      <c r="B1347">
        <v>45769</v>
      </c>
      <c r="C1347">
        <v>45774</v>
      </c>
      <c r="D1347" t="s">
        <v>21</v>
      </c>
      <c r="E1347">
        <v>1000</v>
      </c>
      <c r="F1347">
        <v>905.25</v>
      </c>
      <c r="G1347">
        <v>0.9</v>
      </c>
      <c r="H1347">
        <v>897102.75</v>
      </c>
      <c r="I1347" t="s">
        <v>1726</v>
      </c>
      <c r="J1347">
        <v>703.82</v>
      </c>
      <c r="K1347">
        <v>703820</v>
      </c>
      <c r="L1347">
        <v>23002.7</v>
      </c>
      <c r="M1347">
        <v>4083.8</v>
      </c>
      <c r="N1347">
        <v>10377.42</v>
      </c>
      <c r="O1347">
        <v>741283.92</v>
      </c>
      <c r="P1347">
        <v>193282.75</v>
      </c>
      <c r="Q1347">
        <v>155818.82999999999</v>
      </c>
      <c r="R1347" t="s">
        <v>65</v>
      </c>
      <c r="S1347">
        <v>897102.75</v>
      </c>
      <c r="T1347">
        <v>0</v>
      </c>
      <c r="U1347" t="s">
        <v>66</v>
      </c>
      <c r="V1347" t="s">
        <v>16</v>
      </c>
      <c r="W1347" t="s">
        <v>67</v>
      </c>
      <c r="X1347" t="s">
        <v>75</v>
      </c>
      <c r="Y1347" t="s">
        <v>28</v>
      </c>
      <c r="Z1347">
        <v>2.08</v>
      </c>
      <c r="AA1347">
        <f t="shared" si="63"/>
        <v>155818.82999999999</v>
      </c>
      <c r="AB1347">
        <f t="shared" si="64"/>
        <v>0.17369117417152047</v>
      </c>
      <c r="AC1347">
        <f t="shared" si="65"/>
        <v>0</v>
      </c>
      <c r="AD1347">
        <v>2025</v>
      </c>
      <c r="AE1347">
        <v>4</v>
      </c>
      <c r="AF1347" t="s">
        <v>154</v>
      </c>
      <c r="AG1347" t="s">
        <v>155</v>
      </c>
    </row>
    <row r="1348" spans="1:33">
      <c r="A1348" t="s">
        <v>1499</v>
      </c>
      <c r="B1348">
        <v>45324</v>
      </c>
      <c r="C1348">
        <v>45333</v>
      </c>
      <c r="D1348" t="s">
        <v>21</v>
      </c>
      <c r="E1348">
        <v>500</v>
      </c>
      <c r="F1348">
        <v>891.89</v>
      </c>
      <c r="G1348">
        <v>2.6</v>
      </c>
      <c r="H1348">
        <v>434350.43</v>
      </c>
      <c r="I1348" t="s">
        <v>1727</v>
      </c>
      <c r="J1348">
        <v>718.39</v>
      </c>
      <c r="K1348">
        <v>359195</v>
      </c>
      <c r="L1348">
        <v>10844.63</v>
      </c>
      <c r="M1348">
        <v>1415.71</v>
      </c>
      <c r="N1348">
        <v>557.66</v>
      </c>
      <c r="O1348">
        <v>372013</v>
      </c>
      <c r="P1348">
        <v>75155.429999999993</v>
      </c>
      <c r="Q1348">
        <v>62337.43</v>
      </c>
      <c r="R1348" t="s">
        <v>65</v>
      </c>
      <c r="S1348">
        <v>434350.43</v>
      </c>
      <c r="T1348">
        <v>0</v>
      </c>
      <c r="U1348" t="s">
        <v>73</v>
      </c>
      <c r="V1348" t="s">
        <v>16</v>
      </c>
      <c r="W1348" t="s">
        <v>141</v>
      </c>
      <c r="X1348" t="s">
        <v>127</v>
      </c>
      <c r="Y1348" t="s">
        <v>22</v>
      </c>
      <c r="Z1348">
        <v>1.02</v>
      </c>
      <c r="AA1348">
        <f t="shared" si="63"/>
        <v>62337.43</v>
      </c>
      <c r="AB1348">
        <f t="shared" si="64"/>
        <v>0.14351874821443139</v>
      </c>
      <c r="AC1348">
        <f t="shared" si="65"/>
        <v>0</v>
      </c>
      <c r="AD1348">
        <v>2024</v>
      </c>
      <c r="AE1348">
        <v>2</v>
      </c>
      <c r="AF1348" t="s">
        <v>172</v>
      </c>
      <c r="AG1348" t="s">
        <v>173</v>
      </c>
    </row>
    <row r="1349" spans="1:33">
      <c r="A1349" t="s">
        <v>1500</v>
      </c>
      <c r="B1349">
        <v>45957</v>
      </c>
      <c r="C1349">
        <v>45969</v>
      </c>
      <c r="D1349" t="s">
        <v>23</v>
      </c>
      <c r="E1349">
        <v>1000</v>
      </c>
      <c r="F1349">
        <v>1302.5899999999999</v>
      </c>
      <c r="G1349">
        <v>2.81</v>
      </c>
      <c r="H1349">
        <v>1265987.22</v>
      </c>
      <c r="I1349" t="s">
        <v>1727</v>
      </c>
      <c r="J1349">
        <v>1015.55</v>
      </c>
      <c r="K1349">
        <v>1015550</v>
      </c>
      <c r="L1349">
        <v>12003.85</v>
      </c>
      <c r="M1349">
        <v>4614.8999999999996</v>
      </c>
      <c r="N1349">
        <v>308.95999999999998</v>
      </c>
      <c r="O1349">
        <v>1032477.71</v>
      </c>
      <c r="P1349">
        <v>250437.22</v>
      </c>
      <c r="Q1349">
        <v>233509.51</v>
      </c>
      <c r="R1349" t="s">
        <v>65</v>
      </c>
      <c r="S1349">
        <v>1265987.22</v>
      </c>
      <c r="T1349">
        <v>0</v>
      </c>
      <c r="U1349" t="s">
        <v>73</v>
      </c>
      <c r="V1349" t="s">
        <v>6</v>
      </c>
      <c r="W1349" t="s">
        <v>80</v>
      </c>
      <c r="X1349" t="s">
        <v>327</v>
      </c>
      <c r="Y1349" t="s">
        <v>26</v>
      </c>
      <c r="Z1349">
        <v>0.47</v>
      </c>
      <c r="AA1349">
        <f t="shared" si="63"/>
        <v>233509.51</v>
      </c>
      <c r="AB1349">
        <f t="shared" si="64"/>
        <v>0.18444855233214758</v>
      </c>
      <c r="AC1349">
        <f t="shared" si="65"/>
        <v>0</v>
      </c>
      <c r="AD1349">
        <v>2025</v>
      </c>
      <c r="AE1349">
        <v>10</v>
      </c>
      <c r="AF1349" t="s">
        <v>138</v>
      </c>
      <c r="AG1349" t="s">
        <v>160</v>
      </c>
    </row>
    <row r="1350" spans="1:33">
      <c r="A1350" t="s">
        <v>1501</v>
      </c>
      <c r="B1350">
        <v>46007</v>
      </c>
      <c r="C1350">
        <v>46017</v>
      </c>
      <c r="D1350" t="s">
        <v>25</v>
      </c>
      <c r="E1350">
        <v>200</v>
      </c>
      <c r="F1350">
        <v>1044.31</v>
      </c>
      <c r="G1350">
        <v>2.06</v>
      </c>
      <c r="H1350">
        <v>204559.44</v>
      </c>
      <c r="I1350" t="s">
        <v>1726</v>
      </c>
      <c r="J1350">
        <v>734.07</v>
      </c>
      <c r="K1350">
        <v>146814</v>
      </c>
      <c r="L1350">
        <v>3130.26</v>
      </c>
      <c r="M1350">
        <v>996.19</v>
      </c>
      <c r="N1350">
        <v>9311.11</v>
      </c>
      <c r="O1350">
        <v>160251.56</v>
      </c>
      <c r="P1350">
        <v>57745.440000000002</v>
      </c>
      <c r="Q1350">
        <v>44307.88</v>
      </c>
      <c r="R1350" t="s">
        <v>65</v>
      </c>
      <c r="S1350">
        <v>204559.44</v>
      </c>
      <c r="T1350">
        <v>0</v>
      </c>
      <c r="U1350" t="s">
        <v>66</v>
      </c>
      <c r="V1350" t="s">
        <v>16</v>
      </c>
      <c r="W1350" t="s">
        <v>74</v>
      </c>
      <c r="X1350" t="s">
        <v>97</v>
      </c>
      <c r="Y1350" t="s">
        <v>24</v>
      </c>
      <c r="Z1350">
        <v>0.31</v>
      </c>
      <c r="AA1350">
        <f t="shared" si="63"/>
        <v>44307.88</v>
      </c>
      <c r="AB1350">
        <f t="shared" si="64"/>
        <v>0.21660149245617799</v>
      </c>
      <c r="AC1350">
        <f t="shared" si="65"/>
        <v>0</v>
      </c>
      <c r="AD1350">
        <v>2025</v>
      </c>
      <c r="AE1350">
        <v>12</v>
      </c>
      <c r="AF1350" t="s">
        <v>98</v>
      </c>
      <c r="AG1350" t="s">
        <v>168</v>
      </c>
    </row>
    <row r="1351" spans="1:33">
      <c r="A1351" t="s">
        <v>1502</v>
      </c>
      <c r="B1351">
        <v>46004</v>
      </c>
      <c r="C1351">
        <v>46013</v>
      </c>
      <c r="D1351" t="s">
        <v>27</v>
      </c>
      <c r="E1351">
        <v>100</v>
      </c>
      <c r="F1351">
        <v>720.27</v>
      </c>
      <c r="G1351">
        <v>0.77</v>
      </c>
      <c r="H1351">
        <v>71472.39</v>
      </c>
      <c r="I1351" t="s">
        <v>1728</v>
      </c>
      <c r="J1351">
        <v>572.55999999999995</v>
      </c>
      <c r="K1351">
        <v>57256</v>
      </c>
      <c r="L1351">
        <v>830.73</v>
      </c>
      <c r="M1351">
        <v>580.6</v>
      </c>
      <c r="N1351">
        <v>8716.42</v>
      </c>
      <c r="O1351">
        <v>67383.75</v>
      </c>
      <c r="P1351">
        <v>14216.39</v>
      </c>
      <c r="Q1351">
        <v>4088.64</v>
      </c>
      <c r="R1351" t="s">
        <v>65</v>
      </c>
      <c r="S1351">
        <v>71472.39</v>
      </c>
      <c r="T1351">
        <v>0</v>
      </c>
      <c r="U1351" t="s">
        <v>66</v>
      </c>
      <c r="V1351" t="s">
        <v>12</v>
      </c>
      <c r="W1351" t="s">
        <v>80</v>
      </c>
      <c r="X1351" t="s">
        <v>162</v>
      </c>
      <c r="Y1351" t="s">
        <v>26</v>
      </c>
      <c r="Z1351">
        <v>0.9</v>
      </c>
      <c r="AA1351">
        <f t="shared" si="63"/>
        <v>4088.64</v>
      </c>
      <c r="AB1351">
        <f t="shared" si="64"/>
        <v>5.7205866489143567E-2</v>
      </c>
      <c r="AC1351">
        <f t="shared" si="65"/>
        <v>0</v>
      </c>
      <c r="AD1351">
        <v>2025</v>
      </c>
      <c r="AE1351">
        <v>12</v>
      </c>
      <c r="AF1351" t="s">
        <v>98</v>
      </c>
      <c r="AG1351" t="s">
        <v>168</v>
      </c>
    </row>
    <row r="1352" spans="1:33">
      <c r="A1352" t="s">
        <v>1503</v>
      </c>
      <c r="B1352">
        <v>45407</v>
      </c>
      <c r="D1352" t="s">
        <v>21</v>
      </c>
      <c r="E1352">
        <v>250</v>
      </c>
      <c r="F1352">
        <v>853.85</v>
      </c>
      <c r="G1352">
        <v>1.17</v>
      </c>
      <c r="H1352">
        <v>210964.99</v>
      </c>
      <c r="I1352" t="s">
        <v>1727</v>
      </c>
      <c r="J1352">
        <v>648.75</v>
      </c>
      <c r="K1352">
        <v>162187.5</v>
      </c>
      <c r="L1352">
        <v>5165.54</v>
      </c>
      <c r="M1352">
        <v>667.48</v>
      </c>
      <c r="N1352">
        <v>4846.96</v>
      </c>
      <c r="O1352">
        <v>172867.48</v>
      </c>
      <c r="P1352">
        <v>48777.49</v>
      </c>
      <c r="Q1352">
        <v>38097.51</v>
      </c>
      <c r="R1352" t="s">
        <v>65</v>
      </c>
      <c r="S1352">
        <v>210964.99</v>
      </c>
      <c r="T1352">
        <v>0</v>
      </c>
      <c r="U1352" t="s">
        <v>91</v>
      </c>
      <c r="V1352" t="s">
        <v>8</v>
      </c>
      <c r="W1352" t="s">
        <v>141</v>
      </c>
      <c r="X1352" t="s">
        <v>108</v>
      </c>
      <c r="Y1352" t="s">
        <v>22</v>
      </c>
      <c r="Z1352">
        <v>2.14</v>
      </c>
      <c r="AA1352">
        <f t="shared" si="63"/>
        <v>38097.51</v>
      </c>
      <c r="AB1352">
        <f t="shared" si="64"/>
        <v>0.18058688316009214</v>
      </c>
      <c r="AC1352">
        <f t="shared" si="65"/>
        <v>0</v>
      </c>
      <c r="AD1352">
        <v>2024</v>
      </c>
      <c r="AE1352">
        <v>4</v>
      </c>
      <c r="AF1352" t="s">
        <v>154</v>
      </c>
      <c r="AG1352" t="s">
        <v>157</v>
      </c>
    </row>
    <row r="1353" spans="1:33">
      <c r="A1353" t="s">
        <v>1504</v>
      </c>
      <c r="B1353">
        <v>45651</v>
      </c>
      <c r="D1353" t="s">
        <v>23</v>
      </c>
      <c r="E1353">
        <v>750</v>
      </c>
      <c r="F1353">
        <v>1345.58</v>
      </c>
      <c r="G1353">
        <v>2.74</v>
      </c>
      <c r="H1353">
        <v>981533.33</v>
      </c>
      <c r="I1353" t="s">
        <v>1726</v>
      </c>
      <c r="J1353">
        <v>996.28</v>
      </c>
      <c r="K1353">
        <v>747210</v>
      </c>
      <c r="L1353">
        <v>16581.830000000002</v>
      </c>
      <c r="M1353">
        <v>4360.04</v>
      </c>
      <c r="N1353">
        <v>2796.03</v>
      </c>
      <c r="O1353">
        <v>770947.9</v>
      </c>
      <c r="P1353">
        <v>234323.33</v>
      </c>
      <c r="Q1353">
        <v>210585.43</v>
      </c>
      <c r="R1353" t="s">
        <v>65</v>
      </c>
      <c r="S1353">
        <v>981533.33</v>
      </c>
      <c r="T1353">
        <v>0</v>
      </c>
      <c r="U1353" t="s">
        <v>91</v>
      </c>
      <c r="V1353" t="s">
        <v>16</v>
      </c>
      <c r="W1353" t="s">
        <v>141</v>
      </c>
      <c r="X1353" t="s">
        <v>176</v>
      </c>
      <c r="Y1353" t="s">
        <v>22</v>
      </c>
      <c r="Z1353">
        <v>0.26</v>
      </c>
      <c r="AA1353">
        <f t="shared" si="63"/>
        <v>210585.43</v>
      </c>
      <c r="AB1353">
        <f t="shared" si="64"/>
        <v>0.2145474061487041</v>
      </c>
      <c r="AC1353">
        <f t="shared" si="65"/>
        <v>0</v>
      </c>
      <c r="AD1353">
        <v>2024</v>
      </c>
      <c r="AE1353">
        <v>12</v>
      </c>
      <c r="AF1353" t="s">
        <v>98</v>
      </c>
      <c r="AG1353" t="s">
        <v>99</v>
      </c>
    </row>
    <row r="1354" spans="1:33">
      <c r="A1354" t="s">
        <v>1505</v>
      </c>
      <c r="B1354">
        <v>45803</v>
      </c>
      <c r="C1354">
        <v>45814</v>
      </c>
      <c r="D1354" t="s">
        <v>21</v>
      </c>
      <c r="E1354">
        <v>200</v>
      </c>
      <c r="F1354">
        <v>913.09</v>
      </c>
      <c r="G1354">
        <v>2.4300000000000002</v>
      </c>
      <c r="H1354">
        <v>178180.38</v>
      </c>
      <c r="I1354" t="s">
        <v>1726</v>
      </c>
      <c r="J1354">
        <v>667.61</v>
      </c>
      <c r="K1354">
        <v>133522</v>
      </c>
      <c r="L1354">
        <v>4471.6899999999996</v>
      </c>
      <c r="M1354">
        <v>1145.2</v>
      </c>
      <c r="N1354">
        <v>2186.8200000000002</v>
      </c>
      <c r="O1354">
        <v>141325.71</v>
      </c>
      <c r="P1354">
        <v>44658.38</v>
      </c>
      <c r="Q1354">
        <v>36854.67</v>
      </c>
      <c r="R1354" t="s">
        <v>65</v>
      </c>
      <c r="S1354">
        <v>178180.38</v>
      </c>
      <c r="T1354">
        <v>0</v>
      </c>
      <c r="U1354" t="s">
        <v>66</v>
      </c>
      <c r="V1354" t="s">
        <v>6</v>
      </c>
      <c r="W1354" t="s">
        <v>80</v>
      </c>
      <c r="X1354" t="s">
        <v>375</v>
      </c>
      <c r="Y1354" t="s">
        <v>30</v>
      </c>
      <c r="Z1354">
        <v>0.01</v>
      </c>
      <c r="AA1354">
        <f t="shared" si="63"/>
        <v>36854.67</v>
      </c>
      <c r="AB1354">
        <f t="shared" si="64"/>
        <v>0.20683910316051632</v>
      </c>
      <c r="AC1354">
        <f t="shared" si="65"/>
        <v>0</v>
      </c>
      <c r="AD1354">
        <v>2025</v>
      </c>
      <c r="AE1354">
        <v>5</v>
      </c>
      <c r="AF1354" t="s">
        <v>76</v>
      </c>
      <c r="AG1354" t="s">
        <v>94</v>
      </c>
    </row>
    <row r="1355" spans="1:33">
      <c r="A1355" t="s">
        <v>1506</v>
      </c>
      <c r="B1355">
        <v>45896</v>
      </c>
      <c r="C1355">
        <v>45903</v>
      </c>
      <c r="D1355" t="s">
        <v>21</v>
      </c>
      <c r="E1355">
        <v>500</v>
      </c>
      <c r="F1355">
        <v>872.69</v>
      </c>
      <c r="G1355">
        <v>3.49</v>
      </c>
      <c r="H1355">
        <v>421116.56</v>
      </c>
      <c r="I1355" t="s">
        <v>1727</v>
      </c>
      <c r="J1355">
        <v>700.36</v>
      </c>
      <c r="K1355">
        <v>350180</v>
      </c>
      <c r="L1355">
        <v>7773.14</v>
      </c>
      <c r="M1355">
        <v>2972.04</v>
      </c>
      <c r="N1355">
        <v>9418.34</v>
      </c>
      <c r="O1355">
        <v>370343.52</v>
      </c>
      <c r="P1355">
        <v>70936.56</v>
      </c>
      <c r="Q1355">
        <v>50773.04</v>
      </c>
      <c r="R1355" t="s">
        <v>65</v>
      </c>
      <c r="S1355">
        <v>421116.56</v>
      </c>
      <c r="T1355">
        <v>0</v>
      </c>
      <c r="U1355" t="s">
        <v>73</v>
      </c>
      <c r="V1355" t="s">
        <v>6</v>
      </c>
      <c r="W1355" t="s">
        <v>67</v>
      </c>
      <c r="X1355" t="s">
        <v>162</v>
      </c>
      <c r="Y1355" t="s">
        <v>26</v>
      </c>
      <c r="Z1355">
        <v>1</v>
      </c>
      <c r="AA1355">
        <f t="shared" si="63"/>
        <v>50773.04</v>
      </c>
      <c r="AB1355">
        <f t="shared" si="64"/>
        <v>0.12056766421154276</v>
      </c>
      <c r="AC1355">
        <f t="shared" si="65"/>
        <v>0</v>
      </c>
      <c r="AD1355">
        <v>2025</v>
      </c>
      <c r="AE1355">
        <v>8</v>
      </c>
      <c r="AF1355" t="s">
        <v>82</v>
      </c>
      <c r="AG1355" t="s">
        <v>87</v>
      </c>
    </row>
    <row r="1356" spans="1:33">
      <c r="A1356" t="s">
        <v>1507</v>
      </c>
      <c r="B1356">
        <v>45641</v>
      </c>
      <c r="C1356">
        <v>45651</v>
      </c>
      <c r="D1356" t="s">
        <v>21</v>
      </c>
      <c r="E1356">
        <v>50</v>
      </c>
      <c r="F1356">
        <v>923.28</v>
      </c>
      <c r="G1356">
        <v>0.16</v>
      </c>
      <c r="H1356">
        <v>46090.14</v>
      </c>
      <c r="I1356" t="s">
        <v>1729</v>
      </c>
      <c r="J1356">
        <v>680.51</v>
      </c>
      <c r="K1356">
        <v>34025.5</v>
      </c>
      <c r="L1356">
        <v>638.11</v>
      </c>
      <c r="M1356">
        <v>121.47</v>
      </c>
      <c r="N1356">
        <v>7226.5</v>
      </c>
      <c r="O1356">
        <v>42011.58</v>
      </c>
      <c r="P1356">
        <v>12064.64</v>
      </c>
      <c r="Q1356">
        <v>4078.56</v>
      </c>
      <c r="R1356" t="s">
        <v>134</v>
      </c>
      <c r="S1356">
        <v>0</v>
      </c>
      <c r="T1356">
        <v>46090.14</v>
      </c>
      <c r="U1356" t="s">
        <v>66</v>
      </c>
      <c r="V1356" t="s">
        <v>12</v>
      </c>
      <c r="W1356" t="s">
        <v>141</v>
      </c>
      <c r="X1356" t="s">
        <v>182</v>
      </c>
      <c r="Y1356" t="s">
        <v>26</v>
      </c>
      <c r="Z1356">
        <v>1.92</v>
      </c>
      <c r="AA1356">
        <f t="shared" si="63"/>
        <v>4078.56</v>
      </c>
      <c r="AB1356">
        <f t="shared" si="64"/>
        <v>8.8490944050072309E-2</v>
      </c>
      <c r="AC1356">
        <f t="shared" si="65"/>
        <v>0</v>
      </c>
      <c r="AD1356">
        <v>2024</v>
      </c>
      <c r="AE1356">
        <v>12</v>
      </c>
      <c r="AF1356" t="s">
        <v>98</v>
      </c>
      <c r="AG1356" t="s">
        <v>99</v>
      </c>
    </row>
    <row r="1357" spans="1:33">
      <c r="A1357" t="s">
        <v>1508</v>
      </c>
      <c r="B1357">
        <v>45296</v>
      </c>
      <c r="C1357">
        <v>45296</v>
      </c>
      <c r="D1357" t="s">
        <v>21</v>
      </c>
      <c r="E1357">
        <v>200</v>
      </c>
      <c r="F1357">
        <v>855.11</v>
      </c>
      <c r="G1357">
        <v>2.39</v>
      </c>
      <c r="H1357">
        <v>166934.57</v>
      </c>
      <c r="I1357" t="s">
        <v>1727</v>
      </c>
      <c r="J1357">
        <v>728.04</v>
      </c>
      <c r="K1357">
        <v>145608</v>
      </c>
      <c r="L1357">
        <v>1495.88</v>
      </c>
      <c r="M1357">
        <v>1006.21</v>
      </c>
      <c r="N1357">
        <v>9990.01</v>
      </c>
      <c r="O1357">
        <v>158100.1</v>
      </c>
      <c r="P1357">
        <v>21326.57</v>
      </c>
      <c r="Q1357">
        <v>8834.4699999999993</v>
      </c>
      <c r="R1357" t="s">
        <v>85</v>
      </c>
      <c r="S1357">
        <v>77387.11</v>
      </c>
      <c r="T1357">
        <v>89547.46</v>
      </c>
      <c r="U1357" t="s">
        <v>66</v>
      </c>
      <c r="V1357" t="s">
        <v>10</v>
      </c>
      <c r="W1357" t="s">
        <v>67</v>
      </c>
      <c r="X1357" t="s">
        <v>162</v>
      </c>
      <c r="Y1357" t="s">
        <v>26</v>
      </c>
      <c r="Z1357">
        <v>0.19</v>
      </c>
      <c r="AA1357">
        <f t="shared" si="63"/>
        <v>8834.4699999999993</v>
      </c>
      <c r="AB1357">
        <f t="shared" si="64"/>
        <v>5.292175251656981E-2</v>
      </c>
      <c r="AC1357">
        <f t="shared" si="65"/>
        <v>0</v>
      </c>
      <c r="AD1357">
        <v>2024</v>
      </c>
      <c r="AE1357">
        <v>1</v>
      </c>
      <c r="AF1357" t="s">
        <v>102</v>
      </c>
      <c r="AG1357" t="s">
        <v>103</v>
      </c>
    </row>
    <row r="1358" spans="1:33">
      <c r="A1358" t="s">
        <v>1509</v>
      </c>
      <c r="B1358">
        <v>45881</v>
      </c>
      <c r="C1358">
        <v>45883</v>
      </c>
      <c r="D1358" t="s">
        <v>21</v>
      </c>
      <c r="E1358">
        <v>100</v>
      </c>
      <c r="F1358">
        <v>917.26</v>
      </c>
      <c r="G1358">
        <v>0.46</v>
      </c>
      <c r="H1358">
        <v>91304.06</v>
      </c>
      <c r="I1358" t="s">
        <v>1726</v>
      </c>
      <c r="J1358">
        <v>738.29</v>
      </c>
      <c r="K1358">
        <v>73829</v>
      </c>
      <c r="L1358">
        <v>1463.21</v>
      </c>
      <c r="M1358">
        <v>521.89</v>
      </c>
      <c r="N1358">
        <v>7065.52</v>
      </c>
      <c r="O1358">
        <v>82879.62</v>
      </c>
      <c r="P1358">
        <v>17475.060000000001</v>
      </c>
      <c r="Q1358">
        <v>8424.44</v>
      </c>
      <c r="R1358" t="s">
        <v>65</v>
      </c>
      <c r="S1358">
        <v>91304.06</v>
      </c>
      <c r="T1358">
        <v>0</v>
      </c>
      <c r="U1358" t="s">
        <v>73</v>
      </c>
      <c r="V1358" t="s">
        <v>12</v>
      </c>
      <c r="W1358" t="s">
        <v>67</v>
      </c>
      <c r="X1358" t="s">
        <v>81</v>
      </c>
      <c r="Y1358" t="s">
        <v>24</v>
      </c>
      <c r="Z1358">
        <v>1.8</v>
      </c>
      <c r="AA1358">
        <f t="shared" si="63"/>
        <v>8424.44</v>
      </c>
      <c r="AB1358">
        <f t="shared" si="64"/>
        <v>9.2267967054258049E-2</v>
      </c>
      <c r="AC1358">
        <f t="shared" si="65"/>
        <v>0</v>
      </c>
      <c r="AD1358">
        <v>2025</v>
      </c>
      <c r="AE1358">
        <v>8</v>
      </c>
      <c r="AF1358" t="s">
        <v>82</v>
      </c>
      <c r="AG1358" t="s">
        <v>87</v>
      </c>
    </row>
    <row r="1359" spans="1:33">
      <c r="A1359" t="s">
        <v>1510</v>
      </c>
      <c r="B1359">
        <v>45903</v>
      </c>
      <c r="D1359" t="s">
        <v>23</v>
      </c>
      <c r="E1359">
        <v>200</v>
      </c>
      <c r="F1359">
        <v>1245.6099999999999</v>
      </c>
      <c r="G1359">
        <v>0.7</v>
      </c>
      <c r="H1359">
        <v>247378.15</v>
      </c>
      <c r="I1359" t="s">
        <v>1728</v>
      </c>
      <c r="J1359">
        <v>1089.26</v>
      </c>
      <c r="K1359">
        <v>217852</v>
      </c>
      <c r="L1359">
        <v>4715.78</v>
      </c>
      <c r="M1359">
        <v>748.78</v>
      </c>
      <c r="N1359">
        <v>970.29</v>
      </c>
      <c r="O1359">
        <v>224286.85</v>
      </c>
      <c r="P1359">
        <v>29526.15</v>
      </c>
      <c r="Q1359">
        <v>23091.3</v>
      </c>
      <c r="R1359" t="s">
        <v>134</v>
      </c>
      <c r="S1359">
        <v>0</v>
      </c>
      <c r="T1359">
        <v>247378.15</v>
      </c>
      <c r="U1359" t="s">
        <v>91</v>
      </c>
      <c r="V1359" t="s">
        <v>6</v>
      </c>
      <c r="W1359" t="s">
        <v>67</v>
      </c>
      <c r="X1359" t="s">
        <v>145</v>
      </c>
      <c r="Y1359" t="s">
        <v>30</v>
      </c>
      <c r="Z1359">
        <v>1.7</v>
      </c>
      <c r="AA1359">
        <f t="shared" si="63"/>
        <v>23091.3</v>
      </c>
      <c r="AB1359">
        <f t="shared" si="64"/>
        <v>9.3344137305578528E-2</v>
      </c>
      <c r="AC1359">
        <f t="shared" si="65"/>
        <v>0</v>
      </c>
      <c r="AD1359">
        <v>2025</v>
      </c>
      <c r="AE1359">
        <v>9</v>
      </c>
      <c r="AF1359" t="s">
        <v>131</v>
      </c>
      <c r="AG1359" t="s">
        <v>132</v>
      </c>
    </row>
    <row r="1360" spans="1:33">
      <c r="A1360" t="s">
        <v>1511</v>
      </c>
      <c r="B1360">
        <v>45519</v>
      </c>
      <c r="C1360">
        <v>45522</v>
      </c>
      <c r="D1360" t="s">
        <v>25</v>
      </c>
      <c r="E1360">
        <v>100</v>
      </c>
      <c r="F1360">
        <v>965.26</v>
      </c>
      <c r="G1360">
        <v>0.4</v>
      </c>
      <c r="H1360">
        <v>96139.9</v>
      </c>
      <c r="I1360" t="s">
        <v>1728</v>
      </c>
      <c r="J1360">
        <v>736.77</v>
      </c>
      <c r="K1360">
        <v>73677</v>
      </c>
      <c r="L1360">
        <v>1910.84</v>
      </c>
      <c r="M1360">
        <v>228.33</v>
      </c>
      <c r="N1360">
        <v>2360.94</v>
      </c>
      <c r="O1360">
        <v>78177.11</v>
      </c>
      <c r="P1360">
        <v>22462.9</v>
      </c>
      <c r="Q1360">
        <v>17962.79</v>
      </c>
      <c r="R1360" t="s">
        <v>65</v>
      </c>
      <c r="S1360">
        <v>96139.9</v>
      </c>
      <c r="T1360">
        <v>0</v>
      </c>
      <c r="U1360" t="s">
        <v>66</v>
      </c>
      <c r="V1360" t="s">
        <v>12</v>
      </c>
      <c r="W1360" t="s">
        <v>74</v>
      </c>
      <c r="X1360" t="s">
        <v>81</v>
      </c>
      <c r="Y1360" t="s">
        <v>24</v>
      </c>
      <c r="Z1360">
        <v>1.06</v>
      </c>
      <c r="AA1360">
        <f t="shared" si="63"/>
        <v>17962.79</v>
      </c>
      <c r="AB1360">
        <f t="shared" si="64"/>
        <v>0.18684011529032174</v>
      </c>
      <c r="AC1360">
        <f t="shared" si="65"/>
        <v>0</v>
      </c>
      <c r="AD1360">
        <v>2024</v>
      </c>
      <c r="AE1360">
        <v>8</v>
      </c>
      <c r="AF1360" t="s">
        <v>82</v>
      </c>
      <c r="AG1360" t="s">
        <v>83</v>
      </c>
    </row>
    <row r="1361" spans="1:33">
      <c r="A1361" t="s">
        <v>1512</v>
      </c>
      <c r="B1361">
        <v>46013</v>
      </c>
      <c r="C1361">
        <v>46014</v>
      </c>
      <c r="D1361" t="s">
        <v>21</v>
      </c>
      <c r="E1361">
        <v>250</v>
      </c>
      <c r="F1361">
        <v>991.25</v>
      </c>
      <c r="G1361">
        <v>1.04</v>
      </c>
      <c r="H1361">
        <v>245235.25</v>
      </c>
      <c r="I1361" t="s">
        <v>1729</v>
      </c>
      <c r="J1361">
        <v>657.51</v>
      </c>
      <c r="K1361">
        <v>164377.5</v>
      </c>
      <c r="L1361">
        <v>4362.3500000000004</v>
      </c>
      <c r="M1361">
        <v>486.59</v>
      </c>
      <c r="N1361">
        <v>5852.13</v>
      </c>
      <c r="O1361">
        <v>175078.57</v>
      </c>
      <c r="P1361">
        <v>80857.75</v>
      </c>
      <c r="Q1361">
        <v>70156.679999999993</v>
      </c>
      <c r="R1361" t="s">
        <v>65</v>
      </c>
      <c r="S1361">
        <v>245235.25</v>
      </c>
      <c r="T1361">
        <v>0</v>
      </c>
      <c r="U1361" t="s">
        <v>66</v>
      </c>
      <c r="V1361" t="s">
        <v>14</v>
      </c>
      <c r="W1361" t="s">
        <v>74</v>
      </c>
      <c r="X1361" t="s">
        <v>145</v>
      </c>
      <c r="Y1361" t="s">
        <v>30</v>
      </c>
      <c r="Z1361">
        <v>0.62</v>
      </c>
      <c r="AA1361">
        <f t="shared" si="63"/>
        <v>70156.679999999993</v>
      </c>
      <c r="AB1361">
        <f t="shared" si="64"/>
        <v>0.28607910159734373</v>
      </c>
      <c r="AC1361">
        <f t="shared" si="65"/>
        <v>0</v>
      </c>
      <c r="AD1361">
        <v>2025</v>
      </c>
      <c r="AE1361">
        <v>12</v>
      </c>
      <c r="AF1361" t="s">
        <v>98</v>
      </c>
      <c r="AG1361" t="s">
        <v>168</v>
      </c>
    </row>
    <row r="1362" spans="1:33">
      <c r="A1362" t="s">
        <v>1513</v>
      </c>
      <c r="B1362">
        <v>45454</v>
      </c>
      <c r="C1362">
        <v>45468</v>
      </c>
      <c r="D1362" t="s">
        <v>21</v>
      </c>
      <c r="E1362">
        <v>100</v>
      </c>
      <c r="F1362">
        <v>829.86</v>
      </c>
      <c r="G1362">
        <v>2.13</v>
      </c>
      <c r="H1362">
        <v>81218.399999999994</v>
      </c>
      <c r="I1362" t="s">
        <v>1727</v>
      </c>
      <c r="J1362">
        <v>684.54</v>
      </c>
      <c r="K1362">
        <v>68454</v>
      </c>
      <c r="L1362">
        <v>2019.26</v>
      </c>
      <c r="M1362">
        <v>321.87</v>
      </c>
      <c r="N1362">
        <v>5917.65</v>
      </c>
      <c r="O1362">
        <v>76712.78</v>
      </c>
      <c r="P1362">
        <v>12764.4</v>
      </c>
      <c r="Q1362">
        <v>4505.62</v>
      </c>
      <c r="R1362" t="s">
        <v>65</v>
      </c>
      <c r="S1362">
        <v>81218.399999999994</v>
      </c>
      <c r="T1362">
        <v>0</v>
      </c>
      <c r="U1362" t="s">
        <v>73</v>
      </c>
      <c r="V1362" t="s">
        <v>10</v>
      </c>
      <c r="W1362" t="s">
        <v>74</v>
      </c>
      <c r="X1362" t="s">
        <v>127</v>
      </c>
      <c r="Y1362" t="s">
        <v>22</v>
      </c>
      <c r="Z1362">
        <v>1.3</v>
      </c>
      <c r="AA1362">
        <f t="shared" si="63"/>
        <v>4505.62</v>
      </c>
      <c r="AB1362">
        <f t="shared" si="64"/>
        <v>5.5475360263191595E-2</v>
      </c>
      <c r="AC1362">
        <f t="shared" si="65"/>
        <v>0</v>
      </c>
      <c r="AD1362">
        <v>2024</v>
      </c>
      <c r="AE1362">
        <v>6</v>
      </c>
      <c r="AF1362" t="s">
        <v>111</v>
      </c>
      <c r="AG1362" t="s">
        <v>148</v>
      </c>
    </row>
    <row r="1363" spans="1:33">
      <c r="A1363" t="s">
        <v>1514</v>
      </c>
      <c r="B1363">
        <v>45602</v>
      </c>
      <c r="C1363">
        <v>45613</v>
      </c>
      <c r="D1363" t="s">
        <v>23</v>
      </c>
      <c r="E1363">
        <v>500</v>
      </c>
      <c r="F1363">
        <v>1410.14</v>
      </c>
      <c r="G1363">
        <v>1.7</v>
      </c>
      <c r="H1363">
        <v>693083.81</v>
      </c>
      <c r="I1363" t="s">
        <v>1726</v>
      </c>
      <c r="J1363">
        <v>1008.09</v>
      </c>
      <c r="K1363">
        <v>504045</v>
      </c>
      <c r="L1363">
        <v>3145.73</v>
      </c>
      <c r="M1363">
        <v>1888.9</v>
      </c>
      <c r="N1363">
        <v>9216.85</v>
      </c>
      <c r="O1363">
        <v>518296.48</v>
      </c>
      <c r="P1363">
        <v>189038.81</v>
      </c>
      <c r="Q1363">
        <v>174787.33</v>
      </c>
      <c r="R1363" t="s">
        <v>65</v>
      </c>
      <c r="S1363">
        <v>693083.81</v>
      </c>
      <c r="T1363">
        <v>0</v>
      </c>
      <c r="U1363" t="s">
        <v>66</v>
      </c>
      <c r="V1363" t="s">
        <v>6</v>
      </c>
      <c r="W1363" t="s">
        <v>74</v>
      </c>
      <c r="X1363" t="s">
        <v>205</v>
      </c>
      <c r="Y1363" t="s">
        <v>24</v>
      </c>
      <c r="Z1363">
        <v>0.94</v>
      </c>
      <c r="AA1363">
        <f t="shared" si="63"/>
        <v>174787.33</v>
      </c>
      <c r="AB1363">
        <f t="shared" si="64"/>
        <v>0.25218787032408096</v>
      </c>
      <c r="AC1363">
        <f t="shared" si="65"/>
        <v>0</v>
      </c>
      <c r="AD1363">
        <v>2024</v>
      </c>
      <c r="AE1363">
        <v>11</v>
      </c>
      <c r="AF1363" t="s">
        <v>128</v>
      </c>
      <c r="AG1363" t="s">
        <v>129</v>
      </c>
    </row>
    <row r="1364" spans="1:33">
      <c r="A1364" t="s">
        <v>1515</v>
      </c>
      <c r="B1364">
        <v>45759</v>
      </c>
      <c r="D1364" t="s">
        <v>21</v>
      </c>
      <c r="E1364">
        <v>500</v>
      </c>
      <c r="F1364">
        <v>857.77</v>
      </c>
      <c r="G1364">
        <v>0.83</v>
      </c>
      <c r="H1364">
        <v>425325.25</v>
      </c>
      <c r="I1364" t="s">
        <v>1726</v>
      </c>
      <c r="J1364">
        <v>663.26</v>
      </c>
      <c r="K1364">
        <v>331630</v>
      </c>
      <c r="L1364">
        <v>7017.19</v>
      </c>
      <c r="M1364">
        <v>784.23</v>
      </c>
      <c r="N1364">
        <v>4545.7</v>
      </c>
      <c r="O1364">
        <v>343977.12</v>
      </c>
      <c r="P1364">
        <v>93695.25</v>
      </c>
      <c r="Q1364">
        <v>81348.13</v>
      </c>
      <c r="R1364" t="s">
        <v>134</v>
      </c>
      <c r="S1364">
        <v>0</v>
      </c>
      <c r="T1364">
        <v>425325.25</v>
      </c>
      <c r="U1364" t="s">
        <v>91</v>
      </c>
      <c r="V1364" t="s">
        <v>8</v>
      </c>
      <c r="W1364" t="s">
        <v>74</v>
      </c>
      <c r="X1364" t="s">
        <v>176</v>
      </c>
      <c r="Y1364" t="s">
        <v>22</v>
      </c>
      <c r="Z1364">
        <v>0.21</v>
      </c>
      <c r="AA1364">
        <f t="shared" si="63"/>
        <v>81348.13</v>
      </c>
      <c r="AB1364">
        <f t="shared" si="64"/>
        <v>0.19126099379239772</v>
      </c>
      <c r="AC1364">
        <f t="shared" si="65"/>
        <v>0</v>
      </c>
      <c r="AD1364">
        <v>2025</v>
      </c>
      <c r="AE1364">
        <v>4</v>
      </c>
      <c r="AF1364" t="s">
        <v>154</v>
      </c>
      <c r="AG1364" t="s">
        <v>155</v>
      </c>
    </row>
    <row r="1365" spans="1:33">
      <c r="A1365" t="s">
        <v>1516</v>
      </c>
      <c r="B1365">
        <v>45366</v>
      </c>
      <c r="C1365">
        <v>45380</v>
      </c>
      <c r="D1365" t="s">
        <v>21</v>
      </c>
      <c r="E1365">
        <v>250</v>
      </c>
      <c r="F1365">
        <v>917.1</v>
      </c>
      <c r="G1365">
        <v>0.88</v>
      </c>
      <c r="H1365">
        <v>227257.38</v>
      </c>
      <c r="I1365" t="s">
        <v>1726</v>
      </c>
      <c r="J1365">
        <v>731.63</v>
      </c>
      <c r="K1365">
        <v>182907.5</v>
      </c>
      <c r="L1365">
        <v>5321.32</v>
      </c>
      <c r="M1365">
        <v>403.09</v>
      </c>
      <c r="N1365">
        <v>3149.45</v>
      </c>
      <c r="O1365">
        <v>191781.36</v>
      </c>
      <c r="P1365">
        <v>44349.88</v>
      </c>
      <c r="Q1365">
        <v>35476.019999999997</v>
      </c>
      <c r="R1365" t="s">
        <v>65</v>
      </c>
      <c r="S1365">
        <v>227257.38</v>
      </c>
      <c r="T1365">
        <v>0</v>
      </c>
      <c r="U1365" t="s">
        <v>66</v>
      </c>
      <c r="V1365" t="s">
        <v>16</v>
      </c>
      <c r="W1365" t="s">
        <v>74</v>
      </c>
      <c r="X1365" t="s">
        <v>142</v>
      </c>
      <c r="Y1365" t="s">
        <v>28</v>
      </c>
      <c r="Z1365">
        <v>0.3</v>
      </c>
      <c r="AA1365">
        <f t="shared" si="63"/>
        <v>35476.019999999997</v>
      </c>
      <c r="AB1365">
        <f t="shared" si="64"/>
        <v>0.1561050294604294</v>
      </c>
      <c r="AC1365">
        <f t="shared" si="65"/>
        <v>0</v>
      </c>
      <c r="AD1365">
        <v>2024</v>
      </c>
      <c r="AE1365">
        <v>3</v>
      </c>
      <c r="AF1365" t="s">
        <v>105</v>
      </c>
      <c r="AG1365" t="s">
        <v>120</v>
      </c>
    </row>
    <row r="1366" spans="1:33">
      <c r="A1366" t="s">
        <v>1517</v>
      </c>
      <c r="B1366">
        <v>45653</v>
      </c>
      <c r="D1366" t="s">
        <v>21</v>
      </c>
      <c r="E1366">
        <v>500</v>
      </c>
      <c r="F1366">
        <v>919.32</v>
      </c>
      <c r="G1366">
        <v>2.17</v>
      </c>
      <c r="H1366">
        <v>449685.38</v>
      </c>
      <c r="I1366" t="s">
        <v>1727</v>
      </c>
      <c r="J1366">
        <v>682.76</v>
      </c>
      <c r="K1366">
        <v>341380</v>
      </c>
      <c r="L1366">
        <v>6383.96</v>
      </c>
      <c r="M1366">
        <v>1788.89</v>
      </c>
      <c r="N1366">
        <v>4931.5600000000004</v>
      </c>
      <c r="O1366">
        <v>354484.41</v>
      </c>
      <c r="P1366">
        <v>108305.38</v>
      </c>
      <c r="Q1366">
        <v>95200.97</v>
      </c>
      <c r="R1366" t="s">
        <v>85</v>
      </c>
      <c r="S1366">
        <v>259998.12</v>
      </c>
      <c r="T1366">
        <v>189687.26</v>
      </c>
      <c r="U1366" t="s">
        <v>91</v>
      </c>
      <c r="V1366" t="s">
        <v>10</v>
      </c>
      <c r="W1366" t="s">
        <v>67</v>
      </c>
      <c r="X1366" t="s">
        <v>327</v>
      </c>
      <c r="Y1366" t="s">
        <v>26</v>
      </c>
      <c r="Z1366">
        <v>1.75</v>
      </c>
      <c r="AA1366">
        <f t="shared" si="63"/>
        <v>95200.97</v>
      </c>
      <c r="AB1366">
        <f t="shared" si="64"/>
        <v>0.21170572634582871</v>
      </c>
      <c r="AC1366">
        <f t="shared" si="65"/>
        <v>0</v>
      </c>
      <c r="AD1366">
        <v>2024</v>
      </c>
      <c r="AE1366">
        <v>12</v>
      </c>
      <c r="AF1366" t="s">
        <v>98</v>
      </c>
      <c r="AG1366" t="s">
        <v>99</v>
      </c>
    </row>
    <row r="1367" spans="1:33">
      <c r="A1367" t="s">
        <v>1518</v>
      </c>
      <c r="B1367">
        <v>45322</v>
      </c>
      <c r="D1367" t="s">
        <v>21</v>
      </c>
      <c r="E1367">
        <v>100</v>
      </c>
      <c r="F1367">
        <v>809.46</v>
      </c>
      <c r="G1367">
        <v>0.3</v>
      </c>
      <c r="H1367">
        <v>80703.16</v>
      </c>
      <c r="I1367" t="s">
        <v>1726</v>
      </c>
      <c r="J1367">
        <v>718.59</v>
      </c>
      <c r="K1367">
        <v>71859</v>
      </c>
      <c r="L1367">
        <v>1035.71</v>
      </c>
      <c r="M1367">
        <v>452.86</v>
      </c>
      <c r="N1367">
        <v>1324.98</v>
      </c>
      <c r="O1367">
        <v>74672.55</v>
      </c>
      <c r="P1367">
        <v>8844.16</v>
      </c>
      <c r="Q1367">
        <v>6030.61</v>
      </c>
      <c r="R1367" t="s">
        <v>65</v>
      </c>
      <c r="S1367">
        <v>80703.16</v>
      </c>
      <c r="T1367">
        <v>0</v>
      </c>
      <c r="U1367" t="s">
        <v>91</v>
      </c>
      <c r="V1367" t="s">
        <v>16</v>
      </c>
      <c r="W1367" t="s">
        <v>80</v>
      </c>
      <c r="X1367" t="s">
        <v>115</v>
      </c>
      <c r="Y1367" t="s">
        <v>22</v>
      </c>
      <c r="Z1367">
        <v>1.1000000000000001</v>
      </c>
      <c r="AA1367">
        <f t="shared" si="63"/>
        <v>6030.61</v>
      </c>
      <c r="AB1367">
        <f t="shared" si="64"/>
        <v>7.4725822384154469E-2</v>
      </c>
      <c r="AC1367">
        <f t="shared" si="65"/>
        <v>0</v>
      </c>
      <c r="AD1367">
        <v>2024</v>
      </c>
      <c r="AE1367">
        <v>1</v>
      </c>
      <c r="AF1367" t="s">
        <v>102</v>
      </c>
      <c r="AG1367" t="s">
        <v>103</v>
      </c>
    </row>
    <row r="1368" spans="1:33">
      <c r="A1368" t="s">
        <v>1519</v>
      </c>
      <c r="B1368">
        <v>45913</v>
      </c>
      <c r="C1368">
        <v>45924</v>
      </c>
      <c r="D1368" t="s">
        <v>21</v>
      </c>
      <c r="E1368">
        <v>150</v>
      </c>
      <c r="F1368">
        <v>852.29</v>
      </c>
      <c r="G1368">
        <v>0.48</v>
      </c>
      <c r="H1368">
        <v>127229.85</v>
      </c>
      <c r="I1368" t="s">
        <v>1727</v>
      </c>
      <c r="J1368">
        <v>711.7</v>
      </c>
      <c r="K1368">
        <v>106755</v>
      </c>
      <c r="L1368">
        <v>1179.9000000000001</v>
      </c>
      <c r="M1368">
        <v>660.38</v>
      </c>
      <c r="N1368">
        <v>1025.6300000000001</v>
      </c>
      <c r="O1368">
        <v>109620.91</v>
      </c>
      <c r="P1368">
        <v>20474.849999999999</v>
      </c>
      <c r="Q1368">
        <v>17608.939999999999</v>
      </c>
      <c r="R1368" t="s">
        <v>65</v>
      </c>
      <c r="S1368">
        <v>127229.85</v>
      </c>
      <c r="T1368">
        <v>0</v>
      </c>
      <c r="U1368" t="s">
        <v>66</v>
      </c>
      <c r="V1368" t="s">
        <v>6</v>
      </c>
      <c r="W1368" t="s">
        <v>67</v>
      </c>
      <c r="X1368" t="s">
        <v>150</v>
      </c>
      <c r="Y1368" t="s">
        <v>30</v>
      </c>
      <c r="Z1368">
        <v>0.3</v>
      </c>
      <c r="AA1368">
        <f t="shared" si="63"/>
        <v>17608.939999999999</v>
      </c>
      <c r="AB1368">
        <f t="shared" si="64"/>
        <v>0.13840258398481173</v>
      </c>
      <c r="AC1368">
        <f t="shared" si="65"/>
        <v>0</v>
      </c>
      <c r="AD1368">
        <v>2025</v>
      </c>
      <c r="AE1368">
        <v>9</v>
      </c>
      <c r="AF1368" t="s">
        <v>131</v>
      </c>
      <c r="AG1368" t="s">
        <v>132</v>
      </c>
    </row>
    <row r="1369" spans="1:33">
      <c r="A1369" t="s">
        <v>1520</v>
      </c>
      <c r="B1369">
        <v>45867</v>
      </c>
      <c r="C1369">
        <v>45879</v>
      </c>
      <c r="D1369" t="s">
        <v>21</v>
      </c>
      <c r="E1369">
        <v>250</v>
      </c>
      <c r="F1369">
        <v>816.4</v>
      </c>
      <c r="G1369">
        <v>2.48</v>
      </c>
      <c r="H1369">
        <v>199038.32</v>
      </c>
      <c r="I1369" t="s">
        <v>1726</v>
      </c>
      <c r="J1369">
        <v>662.45</v>
      </c>
      <c r="K1369">
        <v>165612.5</v>
      </c>
      <c r="L1369">
        <v>4980.21</v>
      </c>
      <c r="M1369">
        <v>1477.66</v>
      </c>
      <c r="N1369">
        <v>931.63</v>
      </c>
      <c r="O1369">
        <v>173002</v>
      </c>
      <c r="P1369">
        <v>33425.82</v>
      </c>
      <c r="Q1369">
        <v>26036.32</v>
      </c>
      <c r="R1369" t="s">
        <v>65</v>
      </c>
      <c r="S1369">
        <v>199038.32</v>
      </c>
      <c r="T1369">
        <v>0</v>
      </c>
      <c r="U1369" t="s">
        <v>66</v>
      </c>
      <c r="V1369" t="s">
        <v>14</v>
      </c>
      <c r="W1369" t="s">
        <v>74</v>
      </c>
      <c r="X1369" t="s">
        <v>159</v>
      </c>
      <c r="Y1369" t="s">
        <v>30</v>
      </c>
      <c r="Z1369">
        <v>0.9</v>
      </c>
      <c r="AA1369">
        <f t="shared" si="63"/>
        <v>26036.32</v>
      </c>
      <c r="AB1369">
        <f t="shared" si="64"/>
        <v>0.13081058963922124</v>
      </c>
      <c r="AC1369">
        <f t="shared" si="65"/>
        <v>0</v>
      </c>
      <c r="AD1369">
        <v>2025</v>
      </c>
      <c r="AE1369">
        <v>7</v>
      </c>
      <c r="AF1369" t="s">
        <v>69</v>
      </c>
      <c r="AG1369" t="s">
        <v>151</v>
      </c>
    </row>
    <row r="1370" spans="1:33">
      <c r="A1370" t="s">
        <v>1521</v>
      </c>
      <c r="B1370">
        <v>45466</v>
      </c>
      <c r="C1370">
        <v>45470</v>
      </c>
      <c r="D1370" t="s">
        <v>21</v>
      </c>
      <c r="E1370">
        <v>1200</v>
      </c>
      <c r="F1370">
        <v>820.88</v>
      </c>
      <c r="G1370">
        <v>2.38</v>
      </c>
      <c r="H1370">
        <v>961611.67</v>
      </c>
      <c r="I1370" t="s">
        <v>1729</v>
      </c>
      <c r="J1370">
        <v>663.45</v>
      </c>
      <c r="K1370">
        <v>796140</v>
      </c>
      <c r="L1370">
        <v>28448.560000000001</v>
      </c>
      <c r="M1370">
        <v>2510.83</v>
      </c>
      <c r="N1370">
        <v>7670.11</v>
      </c>
      <c r="O1370">
        <v>834769.5</v>
      </c>
      <c r="P1370">
        <v>165471.67000000001</v>
      </c>
      <c r="Q1370">
        <v>126842.17</v>
      </c>
      <c r="R1370" t="s">
        <v>134</v>
      </c>
      <c r="S1370">
        <v>0</v>
      </c>
      <c r="T1370">
        <v>961611.67</v>
      </c>
      <c r="U1370" t="s">
        <v>66</v>
      </c>
      <c r="V1370" t="s">
        <v>8</v>
      </c>
      <c r="W1370" t="s">
        <v>92</v>
      </c>
      <c r="X1370" t="s">
        <v>115</v>
      </c>
      <c r="Y1370" t="s">
        <v>22</v>
      </c>
      <c r="Z1370">
        <v>1.33</v>
      </c>
      <c r="AA1370">
        <f t="shared" si="63"/>
        <v>126842.17</v>
      </c>
      <c r="AB1370">
        <f t="shared" si="64"/>
        <v>0.13190581391342723</v>
      </c>
      <c r="AC1370">
        <f t="shared" si="65"/>
        <v>0</v>
      </c>
      <c r="AD1370">
        <v>2024</v>
      </c>
      <c r="AE1370">
        <v>6</v>
      </c>
      <c r="AF1370" t="s">
        <v>111</v>
      </c>
      <c r="AG1370" t="s">
        <v>148</v>
      </c>
    </row>
    <row r="1371" spans="1:33">
      <c r="A1371" t="s">
        <v>1522</v>
      </c>
      <c r="B1371">
        <v>45913</v>
      </c>
      <c r="C1371">
        <v>45926</v>
      </c>
      <c r="D1371" t="s">
        <v>25</v>
      </c>
      <c r="E1371">
        <v>1200</v>
      </c>
      <c r="F1371">
        <v>940.33</v>
      </c>
      <c r="G1371">
        <v>3.34</v>
      </c>
      <c r="H1371">
        <v>1090707.57</v>
      </c>
      <c r="I1371" t="s">
        <v>1727</v>
      </c>
      <c r="J1371">
        <v>818.46</v>
      </c>
      <c r="K1371">
        <v>982152</v>
      </c>
      <c r="L1371">
        <v>13241.72</v>
      </c>
      <c r="M1371">
        <v>2332.42</v>
      </c>
      <c r="N1371">
        <v>8339.4</v>
      </c>
      <c r="O1371">
        <v>1006065.54</v>
      </c>
      <c r="P1371">
        <v>108555.57</v>
      </c>
      <c r="Q1371">
        <v>84642.03</v>
      </c>
      <c r="R1371" t="s">
        <v>85</v>
      </c>
      <c r="S1371">
        <v>732455.15</v>
      </c>
      <c r="T1371">
        <v>358252.42</v>
      </c>
      <c r="U1371" t="s">
        <v>66</v>
      </c>
      <c r="V1371" t="s">
        <v>14</v>
      </c>
      <c r="W1371" t="s">
        <v>80</v>
      </c>
      <c r="X1371" t="s">
        <v>193</v>
      </c>
      <c r="Y1371" t="s">
        <v>30</v>
      </c>
      <c r="Z1371">
        <v>2.38</v>
      </c>
      <c r="AA1371">
        <f t="shared" si="63"/>
        <v>84642.03</v>
      </c>
      <c r="AB1371">
        <f t="shared" si="64"/>
        <v>7.7602862882853188E-2</v>
      </c>
      <c r="AC1371">
        <f t="shared" si="65"/>
        <v>0</v>
      </c>
      <c r="AD1371">
        <v>2025</v>
      </c>
      <c r="AE1371">
        <v>9</v>
      </c>
      <c r="AF1371" t="s">
        <v>131</v>
      </c>
      <c r="AG1371" t="s">
        <v>132</v>
      </c>
    </row>
    <row r="1372" spans="1:33">
      <c r="A1372" t="s">
        <v>1523</v>
      </c>
      <c r="B1372">
        <v>45475</v>
      </c>
      <c r="C1372">
        <v>45475</v>
      </c>
      <c r="D1372" t="s">
        <v>27</v>
      </c>
      <c r="E1372">
        <v>50</v>
      </c>
      <c r="F1372">
        <v>737.72</v>
      </c>
      <c r="G1372">
        <v>1.86</v>
      </c>
      <c r="H1372">
        <v>36199.919999999998</v>
      </c>
      <c r="I1372" t="s">
        <v>1727</v>
      </c>
      <c r="J1372">
        <v>560.14</v>
      </c>
      <c r="K1372">
        <v>28007</v>
      </c>
      <c r="L1372">
        <v>373.04</v>
      </c>
      <c r="M1372">
        <v>211.2</v>
      </c>
      <c r="N1372">
        <v>6130.39</v>
      </c>
      <c r="O1372">
        <v>34721.629999999997</v>
      </c>
      <c r="P1372">
        <v>8192.92</v>
      </c>
      <c r="Q1372">
        <v>1478.29</v>
      </c>
      <c r="R1372" t="s">
        <v>65</v>
      </c>
      <c r="S1372">
        <v>36199.919999999998</v>
      </c>
      <c r="T1372">
        <v>0</v>
      </c>
      <c r="U1372" t="s">
        <v>66</v>
      </c>
      <c r="V1372" t="s">
        <v>8</v>
      </c>
      <c r="W1372" t="s">
        <v>141</v>
      </c>
      <c r="X1372" t="s">
        <v>150</v>
      </c>
      <c r="Y1372" t="s">
        <v>30</v>
      </c>
      <c r="Z1372">
        <v>0.52</v>
      </c>
      <c r="AA1372">
        <f t="shared" si="63"/>
        <v>1478.29</v>
      </c>
      <c r="AB1372">
        <f t="shared" si="64"/>
        <v>4.0836830578631113E-2</v>
      </c>
      <c r="AC1372">
        <f t="shared" si="65"/>
        <v>0</v>
      </c>
      <c r="AD1372">
        <v>2024</v>
      </c>
      <c r="AE1372">
        <v>7</v>
      </c>
      <c r="AF1372" t="s">
        <v>69</v>
      </c>
      <c r="AG1372" t="s">
        <v>70</v>
      </c>
    </row>
    <row r="1373" spans="1:33">
      <c r="A1373" t="s">
        <v>1524</v>
      </c>
      <c r="B1373">
        <v>46013</v>
      </c>
      <c r="C1373">
        <v>46020</v>
      </c>
      <c r="D1373" t="s">
        <v>21</v>
      </c>
      <c r="E1373">
        <v>150</v>
      </c>
      <c r="F1373">
        <v>881.04</v>
      </c>
      <c r="G1373">
        <v>0.41</v>
      </c>
      <c r="H1373">
        <v>131614.16</v>
      </c>
      <c r="I1373" t="s">
        <v>1726</v>
      </c>
      <c r="J1373">
        <v>725.04</v>
      </c>
      <c r="K1373">
        <v>108756</v>
      </c>
      <c r="L1373">
        <v>3171.47</v>
      </c>
      <c r="M1373">
        <v>866.25</v>
      </c>
      <c r="N1373">
        <v>6039.74</v>
      </c>
      <c r="O1373">
        <v>118833.46</v>
      </c>
      <c r="P1373">
        <v>22858.16</v>
      </c>
      <c r="Q1373">
        <v>12780.7</v>
      </c>
      <c r="R1373" t="s">
        <v>65</v>
      </c>
      <c r="S1373">
        <v>131614.16</v>
      </c>
      <c r="T1373">
        <v>0</v>
      </c>
      <c r="U1373" t="s">
        <v>66</v>
      </c>
      <c r="V1373" t="s">
        <v>16</v>
      </c>
      <c r="W1373" t="s">
        <v>74</v>
      </c>
      <c r="X1373" t="s">
        <v>101</v>
      </c>
      <c r="Y1373" t="s">
        <v>22</v>
      </c>
      <c r="Z1373">
        <v>1.0900000000000001</v>
      </c>
      <c r="AA1373">
        <f t="shared" si="63"/>
        <v>12780.7</v>
      </c>
      <c r="AB1373">
        <f t="shared" si="64"/>
        <v>9.7107332524099227E-2</v>
      </c>
      <c r="AC1373">
        <f t="shared" si="65"/>
        <v>0</v>
      </c>
      <c r="AD1373">
        <v>2025</v>
      </c>
      <c r="AE1373">
        <v>12</v>
      </c>
      <c r="AF1373" t="s">
        <v>98</v>
      </c>
      <c r="AG1373" t="s">
        <v>168</v>
      </c>
    </row>
    <row r="1374" spans="1:33">
      <c r="A1374" t="s">
        <v>1525</v>
      </c>
      <c r="B1374">
        <v>45950</v>
      </c>
      <c r="C1374">
        <v>45950</v>
      </c>
      <c r="D1374" t="s">
        <v>29</v>
      </c>
      <c r="E1374">
        <v>750</v>
      </c>
      <c r="F1374">
        <v>3139.97</v>
      </c>
      <c r="G1374">
        <v>0.32</v>
      </c>
      <c r="H1374">
        <v>2347441.5699999998</v>
      </c>
      <c r="I1374" t="s">
        <v>1729</v>
      </c>
      <c r="J1374">
        <v>2286.6799999999998</v>
      </c>
      <c r="K1374">
        <v>1715010</v>
      </c>
      <c r="L1374">
        <v>11187.37</v>
      </c>
      <c r="M1374">
        <v>3699.79</v>
      </c>
      <c r="N1374">
        <v>6703.68</v>
      </c>
      <c r="O1374">
        <v>1736600.84</v>
      </c>
      <c r="P1374">
        <v>632431.56999999995</v>
      </c>
      <c r="Q1374">
        <v>610840.73</v>
      </c>
      <c r="R1374" t="s">
        <v>65</v>
      </c>
      <c r="S1374">
        <v>2347441.5699999998</v>
      </c>
      <c r="T1374">
        <v>0</v>
      </c>
      <c r="U1374" t="s">
        <v>66</v>
      </c>
      <c r="V1374" t="s">
        <v>6</v>
      </c>
      <c r="W1374" t="s">
        <v>67</v>
      </c>
      <c r="X1374" t="s">
        <v>224</v>
      </c>
      <c r="Y1374" t="s">
        <v>31</v>
      </c>
      <c r="Z1374">
        <v>1.74</v>
      </c>
      <c r="AA1374">
        <f t="shared" si="63"/>
        <v>610840.73</v>
      </c>
      <c r="AB1374">
        <f t="shared" si="64"/>
        <v>0.26021552050814201</v>
      </c>
      <c r="AC1374">
        <f t="shared" si="65"/>
        <v>0</v>
      </c>
      <c r="AD1374">
        <v>2025</v>
      </c>
      <c r="AE1374">
        <v>10</v>
      </c>
      <c r="AF1374" t="s">
        <v>138</v>
      </c>
      <c r="AG1374" t="s">
        <v>160</v>
      </c>
    </row>
    <row r="1375" spans="1:33">
      <c r="A1375" t="s">
        <v>1526</v>
      </c>
      <c r="B1375">
        <v>45473</v>
      </c>
      <c r="C1375">
        <v>45473</v>
      </c>
      <c r="D1375" t="s">
        <v>21</v>
      </c>
      <c r="E1375">
        <v>100</v>
      </c>
      <c r="F1375">
        <v>806.57</v>
      </c>
      <c r="G1375">
        <v>0.87</v>
      </c>
      <c r="H1375">
        <v>79955.28</v>
      </c>
      <c r="I1375" t="s">
        <v>1726</v>
      </c>
      <c r="J1375">
        <v>662.7</v>
      </c>
      <c r="K1375">
        <v>66270</v>
      </c>
      <c r="L1375">
        <v>2060.14</v>
      </c>
      <c r="M1375">
        <v>538.85</v>
      </c>
      <c r="N1375">
        <v>4235.1000000000004</v>
      </c>
      <c r="O1375">
        <v>73104.09</v>
      </c>
      <c r="P1375">
        <v>13685.28</v>
      </c>
      <c r="Q1375">
        <v>6851.19</v>
      </c>
      <c r="R1375" t="s">
        <v>85</v>
      </c>
      <c r="S1375">
        <v>43323.89</v>
      </c>
      <c r="T1375">
        <v>36631.39</v>
      </c>
      <c r="U1375" t="s">
        <v>66</v>
      </c>
      <c r="V1375" t="s">
        <v>16</v>
      </c>
      <c r="W1375" t="s">
        <v>67</v>
      </c>
      <c r="X1375" t="s">
        <v>176</v>
      </c>
      <c r="Y1375" t="s">
        <v>22</v>
      </c>
      <c r="Z1375">
        <v>1.34</v>
      </c>
      <c r="AA1375">
        <f t="shared" si="63"/>
        <v>6851.19</v>
      </c>
      <c r="AB1375">
        <f t="shared" si="64"/>
        <v>8.5687774465926445E-2</v>
      </c>
      <c r="AC1375">
        <f t="shared" si="65"/>
        <v>0</v>
      </c>
      <c r="AD1375">
        <v>2024</v>
      </c>
      <c r="AE1375">
        <v>6</v>
      </c>
      <c r="AF1375" t="s">
        <v>111</v>
      </c>
      <c r="AG1375" t="s">
        <v>148</v>
      </c>
    </row>
    <row r="1376" spans="1:33">
      <c r="A1376" t="s">
        <v>1527</v>
      </c>
      <c r="B1376">
        <v>45956</v>
      </c>
      <c r="C1376">
        <v>45960</v>
      </c>
      <c r="D1376" t="s">
        <v>23</v>
      </c>
      <c r="E1376">
        <v>50</v>
      </c>
      <c r="F1376">
        <v>1267.55</v>
      </c>
      <c r="G1376">
        <v>1.83</v>
      </c>
      <c r="H1376">
        <v>62217.69</v>
      </c>
      <c r="I1376" t="s">
        <v>1728</v>
      </c>
      <c r="J1376">
        <v>1114.04</v>
      </c>
      <c r="K1376">
        <v>55702</v>
      </c>
      <c r="L1376">
        <v>552.65</v>
      </c>
      <c r="M1376">
        <v>196.84</v>
      </c>
      <c r="N1376">
        <v>5619.99</v>
      </c>
      <c r="O1376">
        <v>62071.48</v>
      </c>
      <c r="P1376">
        <v>6515.69</v>
      </c>
      <c r="Q1376">
        <v>146.21</v>
      </c>
      <c r="R1376" t="s">
        <v>65</v>
      </c>
      <c r="S1376">
        <v>62217.69</v>
      </c>
      <c r="T1376">
        <v>0</v>
      </c>
      <c r="U1376" t="s">
        <v>66</v>
      </c>
      <c r="V1376" t="s">
        <v>12</v>
      </c>
      <c r="W1376" t="s">
        <v>74</v>
      </c>
      <c r="X1376" t="s">
        <v>93</v>
      </c>
      <c r="Y1376" t="s">
        <v>26</v>
      </c>
      <c r="Z1376">
        <v>2.06</v>
      </c>
      <c r="AA1376">
        <f t="shared" si="63"/>
        <v>146.21</v>
      </c>
      <c r="AB1376">
        <f t="shared" si="64"/>
        <v>2.3499747419102189E-3</v>
      </c>
      <c r="AC1376">
        <f t="shared" si="65"/>
        <v>0</v>
      </c>
      <c r="AD1376">
        <v>2025</v>
      </c>
      <c r="AE1376">
        <v>10</v>
      </c>
      <c r="AF1376" t="s">
        <v>138</v>
      </c>
      <c r="AG1376" t="s">
        <v>160</v>
      </c>
    </row>
    <row r="1377" spans="1:33">
      <c r="A1377" t="s">
        <v>1528</v>
      </c>
      <c r="B1377">
        <v>45834</v>
      </c>
      <c r="C1377">
        <v>45844</v>
      </c>
      <c r="D1377" t="s">
        <v>21</v>
      </c>
      <c r="E1377">
        <v>1000</v>
      </c>
      <c r="F1377">
        <v>803.73</v>
      </c>
      <c r="G1377">
        <v>3.94</v>
      </c>
      <c r="H1377">
        <v>772063.04</v>
      </c>
      <c r="I1377" t="s">
        <v>1727</v>
      </c>
      <c r="J1377">
        <v>661.35</v>
      </c>
      <c r="K1377">
        <v>661350</v>
      </c>
      <c r="L1377">
        <v>8652.91</v>
      </c>
      <c r="M1377">
        <v>4325.68</v>
      </c>
      <c r="N1377">
        <v>8535.25</v>
      </c>
      <c r="O1377">
        <v>682863.84</v>
      </c>
      <c r="P1377">
        <v>110713.04</v>
      </c>
      <c r="Q1377">
        <v>89199.2</v>
      </c>
      <c r="R1377" t="s">
        <v>85</v>
      </c>
      <c r="S1377">
        <v>378770.45</v>
      </c>
      <c r="T1377">
        <v>393292.59</v>
      </c>
      <c r="U1377" t="s">
        <v>73</v>
      </c>
      <c r="V1377" t="s">
        <v>12</v>
      </c>
      <c r="W1377" t="s">
        <v>74</v>
      </c>
      <c r="X1377" t="s">
        <v>164</v>
      </c>
      <c r="Y1377" t="s">
        <v>24</v>
      </c>
      <c r="Z1377">
        <v>2.44</v>
      </c>
      <c r="AA1377">
        <f t="shared" si="63"/>
        <v>89199.2</v>
      </c>
      <c r="AB1377">
        <f t="shared" si="64"/>
        <v>0.11553357093741981</v>
      </c>
      <c r="AC1377">
        <f t="shared" si="65"/>
        <v>0</v>
      </c>
      <c r="AD1377">
        <v>2025</v>
      </c>
      <c r="AE1377">
        <v>6</v>
      </c>
      <c r="AF1377" t="s">
        <v>111</v>
      </c>
      <c r="AG1377" t="s">
        <v>112</v>
      </c>
    </row>
    <row r="1378" spans="1:33">
      <c r="A1378" t="s">
        <v>1529</v>
      </c>
      <c r="B1378">
        <v>45926</v>
      </c>
      <c r="D1378" t="s">
        <v>25</v>
      </c>
      <c r="E1378">
        <v>50</v>
      </c>
      <c r="F1378">
        <v>1028.8399999999999</v>
      </c>
      <c r="G1378">
        <v>0.84</v>
      </c>
      <c r="H1378">
        <v>0</v>
      </c>
      <c r="I1378" t="s">
        <v>1726</v>
      </c>
      <c r="J1378">
        <v>762.83</v>
      </c>
      <c r="K1378">
        <v>0</v>
      </c>
      <c r="L1378">
        <v>0</v>
      </c>
      <c r="M1378">
        <v>0</v>
      </c>
      <c r="N1378">
        <v>0</v>
      </c>
      <c r="O1378">
        <v>0</v>
      </c>
      <c r="P1378">
        <v>0</v>
      </c>
      <c r="Q1378">
        <v>0</v>
      </c>
      <c r="R1378" t="s">
        <v>65</v>
      </c>
      <c r="S1378">
        <v>0</v>
      </c>
      <c r="T1378">
        <v>0</v>
      </c>
      <c r="U1378" t="s">
        <v>117</v>
      </c>
      <c r="V1378" t="s">
        <v>6</v>
      </c>
      <c r="W1378" t="s">
        <v>74</v>
      </c>
      <c r="X1378" t="s">
        <v>127</v>
      </c>
      <c r="Y1378" t="s">
        <v>22</v>
      </c>
      <c r="Z1378">
        <v>2.44</v>
      </c>
      <c r="AA1378">
        <f t="shared" si="63"/>
        <v>0</v>
      </c>
      <c r="AB1378" t="e">
        <f t="shared" si="64"/>
        <v>#DIV/0!</v>
      </c>
      <c r="AC1378">
        <f t="shared" si="65"/>
        <v>0</v>
      </c>
      <c r="AD1378">
        <v>2025</v>
      </c>
      <c r="AE1378">
        <v>9</v>
      </c>
      <c r="AF1378" t="s">
        <v>131</v>
      </c>
      <c r="AG1378" t="s">
        <v>132</v>
      </c>
    </row>
    <row r="1379" spans="1:33">
      <c r="A1379" t="s">
        <v>1530</v>
      </c>
      <c r="B1379">
        <v>45303</v>
      </c>
      <c r="C1379">
        <v>45317</v>
      </c>
      <c r="D1379" t="s">
        <v>25</v>
      </c>
      <c r="E1379">
        <v>250</v>
      </c>
      <c r="F1379">
        <v>946.43</v>
      </c>
      <c r="G1379">
        <v>0.52</v>
      </c>
      <c r="H1379">
        <v>235377.14</v>
      </c>
      <c r="I1379" t="s">
        <v>1726</v>
      </c>
      <c r="J1379">
        <v>765.09</v>
      </c>
      <c r="K1379">
        <v>191272.5</v>
      </c>
      <c r="L1379">
        <v>3599.37</v>
      </c>
      <c r="M1379">
        <v>1161.22</v>
      </c>
      <c r="N1379">
        <v>6407.44</v>
      </c>
      <c r="O1379">
        <v>202440.53</v>
      </c>
      <c r="P1379">
        <v>44104.639999999999</v>
      </c>
      <c r="Q1379">
        <v>32936.61</v>
      </c>
      <c r="R1379" t="s">
        <v>65</v>
      </c>
      <c r="S1379">
        <v>235377.14</v>
      </c>
      <c r="T1379">
        <v>0</v>
      </c>
      <c r="U1379" t="s">
        <v>66</v>
      </c>
      <c r="V1379" t="s">
        <v>6</v>
      </c>
      <c r="W1379" t="s">
        <v>67</v>
      </c>
      <c r="X1379" t="s">
        <v>176</v>
      </c>
      <c r="Y1379" t="s">
        <v>22</v>
      </c>
      <c r="Z1379">
        <v>0.5</v>
      </c>
      <c r="AA1379">
        <f t="shared" si="63"/>
        <v>32936.61</v>
      </c>
      <c r="AB1379">
        <f t="shared" si="64"/>
        <v>0.13993121846921922</v>
      </c>
      <c r="AC1379">
        <f t="shared" si="65"/>
        <v>0</v>
      </c>
      <c r="AD1379">
        <v>2024</v>
      </c>
      <c r="AE1379">
        <v>1</v>
      </c>
      <c r="AF1379" t="s">
        <v>102</v>
      </c>
      <c r="AG1379" t="s">
        <v>103</v>
      </c>
    </row>
    <row r="1380" spans="1:33">
      <c r="A1380" t="s">
        <v>1531</v>
      </c>
      <c r="B1380">
        <v>45374</v>
      </c>
      <c r="C1380">
        <v>45375</v>
      </c>
      <c r="D1380" t="s">
        <v>25</v>
      </c>
      <c r="E1380">
        <v>150</v>
      </c>
      <c r="F1380">
        <v>948.94</v>
      </c>
      <c r="G1380">
        <v>1.74</v>
      </c>
      <c r="H1380">
        <v>139864.26999999999</v>
      </c>
      <c r="I1380" t="s">
        <v>1726</v>
      </c>
      <c r="J1380">
        <v>813.9</v>
      </c>
      <c r="K1380">
        <v>122085</v>
      </c>
      <c r="L1380">
        <v>1956</v>
      </c>
      <c r="M1380">
        <v>311.67</v>
      </c>
      <c r="N1380">
        <v>4841.38</v>
      </c>
      <c r="O1380">
        <v>129194.05</v>
      </c>
      <c r="P1380">
        <v>17779.27</v>
      </c>
      <c r="Q1380">
        <v>10670.22</v>
      </c>
      <c r="R1380" t="s">
        <v>65</v>
      </c>
      <c r="S1380">
        <v>139864.26999999999</v>
      </c>
      <c r="T1380">
        <v>0</v>
      </c>
      <c r="U1380" t="s">
        <v>66</v>
      </c>
      <c r="V1380" t="s">
        <v>10</v>
      </c>
      <c r="W1380" t="s">
        <v>74</v>
      </c>
      <c r="X1380" t="s">
        <v>97</v>
      </c>
      <c r="Y1380" t="s">
        <v>24</v>
      </c>
      <c r="Z1380">
        <v>1.82</v>
      </c>
      <c r="AA1380">
        <f t="shared" si="63"/>
        <v>10670.22</v>
      </c>
      <c r="AB1380">
        <f t="shared" si="64"/>
        <v>7.6289820123466842E-2</v>
      </c>
      <c r="AC1380">
        <f t="shared" si="65"/>
        <v>0</v>
      </c>
      <c r="AD1380">
        <v>2024</v>
      </c>
      <c r="AE1380">
        <v>3</v>
      </c>
      <c r="AF1380" t="s">
        <v>105</v>
      </c>
      <c r="AG1380" t="s">
        <v>120</v>
      </c>
    </row>
    <row r="1381" spans="1:33">
      <c r="A1381" t="s">
        <v>1532</v>
      </c>
      <c r="B1381">
        <v>45841</v>
      </c>
      <c r="C1381">
        <v>45855</v>
      </c>
      <c r="D1381" t="s">
        <v>21</v>
      </c>
      <c r="E1381">
        <v>500</v>
      </c>
      <c r="F1381">
        <v>825.28</v>
      </c>
      <c r="G1381">
        <v>0.13</v>
      </c>
      <c r="H1381">
        <v>412103.57</v>
      </c>
      <c r="I1381" t="s">
        <v>1728</v>
      </c>
      <c r="J1381">
        <v>659.76</v>
      </c>
      <c r="K1381">
        <v>329880</v>
      </c>
      <c r="L1381">
        <v>9954.8700000000008</v>
      </c>
      <c r="M1381">
        <v>2440.54</v>
      </c>
      <c r="N1381">
        <v>4494.71</v>
      </c>
      <c r="O1381">
        <v>346770.12</v>
      </c>
      <c r="P1381">
        <v>82223.570000000007</v>
      </c>
      <c r="Q1381">
        <v>65333.45</v>
      </c>
      <c r="R1381" t="s">
        <v>65</v>
      </c>
      <c r="S1381">
        <v>412103.57</v>
      </c>
      <c r="T1381">
        <v>0</v>
      </c>
      <c r="U1381" t="s">
        <v>66</v>
      </c>
      <c r="V1381" t="s">
        <v>6</v>
      </c>
      <c r="W1381" t="s">
        <v>67</v>
      </c>
      <c r="X1381" t="s">
        <v>115</v>
      </c>
      <c r="Y1381" t="s">
        <v>22</v>
      </c>
      <c r="Z1381">
        <v>2.17</v>
      </c>
      <c r="AA1381">
        <f t="shared" si="63"/>
        <v>65333.45</v>
      </c>
      <c r="AB1381">
        <f t="shared" si="64"/>
        <v>0.15853648149662958</v>
      </c>
      <c r="AC1381">
        <f t="shared" si="65"/>
        <v>0</v>
      </c>
      <c r="AD1381">
        <v>2025</v>
      </c>
      <c r="AE1381">
        <v>7</v>
      </c>
      <c r="AF1381" t="s">
        <v>69</v>
      </c>
      <c r="AG1381" t="s">
        <v>151</v>
      </c>
    </row>
    <row r="1382" spans="1:33">
      <c r="A1382" t="s">
        <v>1533</v>
      </c>
      <c r="B1382">
        <v>45636</v>
      </c>
      <c r="C1382">
        <v>45638</v>
      </c>
      <c r="D1382" t="s">
        <v>21</v>
      </c>
      <c r="E1382">
        <v>500</v>
      </c>
      <c r="F1382">
        <v>874.05</v>
      </c>
      <c r="G1382">
        <v>3.58</v>
      </c>
      <c r="H1382">
        <v>421379.5</v>
      </c>
      <c r="I1382" t="s">
        <v>1727</v>
      </c>
      <c r="J1382">
        <v>748.42</v>
      </c>
      <c r="K1382">
        <v>374210</v>
      </c>
      <c r="L1382">
        <v>6244.82</v>
      </c>
      <c r="M1382">
        <v>1542.18</v>
      </c>
      <c r="N1382">
        <v>7518.17</v>
      </c>
      <c r="O1382">
        <v>389515.17</v>
      </c>
      <c r="P1382">
        <v>47169.5</v>
      </c>
      <c r="Q1382">
        <v>31864.33</v>
      </c>
      <c r="R1382" t="s">
        <v>65</v>
      </c>
      <c r="S1382">
        <v>421379.5</v>
      </c>
      <c r="T1382">
        <v>0</v>
      </c>
      <c r="U1382" t="s">
        <v>66</v>
      </c>
      <c r="V1382" t="s">
        <v>6</v>
      </c>
      <c r="W1382" t="s">
        <v>67</v>
      </c>
      <c r="X1382" t="s">
        <v>110</v>
      </c>
      <c r="Y1382" t="s">
        <v>28</v>
      </c>
      <c r="Z1382">
        <v>2.2200000000000002</v>
      </c>
      <c r="AA1382">
        <f t="shared" si="63"/>
        <v>31864.33</v>
      </c>
      <c r="AB1382">
        <f t="shared" si="64"/>
        <v>7.561907971318016E-2</v>
      </c>
      <c r="AC1382">
        <f t="shared" si="65"/>
        <v>0</v>
      </c>
      <c r="AD1382">
        <v>2024</v>
      </c>
      <c r="AE1382">
        <v>12</v>
      </c>
      <c r="AF1382" t="s">
        <v>98</v>
      </c>
      <c r="AG1382" t="s">
        <v>99</v>
      </c>
    </row>
    <row r="1383" spans="1:33">
      <c r="A1383" t="s">
        <v>1534</v>
      </c>
      <c r="B1383">
        <v>45937</v>
      </c>
      <c r="D1383" t="s">
        <v>21</v>
      </c>
      <c r="E1383">
        <v>150</v>
      </c>
      <c r="F1383">
        <v>913.64</v>
      </c>
      <c r="G1383">
        <v>0.03</v>
      </c>
      <c r="H1383">
        <v>137004.89000000001</v>
      </c>
      <c r="I1383" t="s">
        <v>1726</v>
      </c>
      <c r="J1383">
        <v>722.75</v>
      </c>
      <c r="K1383">
        <v>108412.5</v>
      </c>
      <c r="L1383">
        <v>1010.21</v>
      </c>
      <c r="M1383">
        <v>348.43</v>
      </c>
      <c r="N1383">
        <v>9444.9599999999991</v>
      </c>
      <c r="O1383">
        <v>119216.1</v>
      </c>
      <c r="P1383">
        <v>28592.39</v>
      </c>
      <c r="Q1383">
        <v>17788.79</v>
      </c>
      <c r="R1383" t="s">
        <v>65</v>
      </c>
      <c r="S1383">
        <v>137004.89000000001</v>
      </c>
      <c r="T1383">
        <v>0</v>
      </c>
      <c r="U1383" t="s">
        <v>91</v>
      </c>
      <c r="V1383" t="s">
        <v>6</v>
      </c>
      <c r="W1383" t="s">
        <v>74</v>
      </c>
      <c r="X1383" t="s">
        <v>371</v>
      </c>
      <c r="Y1383" t="s">
        <v>26</v>
      </c>
      <c r="Z1383">
        <v>1.54</v>
      </c>
      <c r="AA1383">
        <f t="shared" si="63"/>
        <v>17788.79</v>
      </c>
      <c r="AB1383">
        <f t="shared" si="64"/>
        <v>0.12984054802715436</v>
      </c>
      <c r="AC1383">
        <f t="shared" si="65"/>
        <v>0</v>
      </c>
      <c r="AD1383">
        <v>2025</v>
      </c>
      <c r="AE1383">
        <v>10</v>
      </c>
      <c r="AF1383" t="s">
        <v>138</v>
      </c>
      <c r="AG1383" t="s">
        <v>160</v>
      </c>
    </row>
    <row r="1384" spans="1:33">
      <c r="A1384" t="s">
        <v>1535</v>
      </c>
      <c r="B1384">
        <v>45598</v>
      </c>
      <c r="C1384">
        <v>45599</v>
      </c>
      <c r="D1384" t="s">
        <v>25</v>
      </c>
      <c r="E1384">
        <v>250</v>
      </c>
      <c r="F1384">
        <v>999.96</v>
      </c>
      <c r="G1384">
        <v>1.62</v>
      </c>
      <c r="H1384">
        <v>245940.16</v>
      </c>
      <c r="I1384" t="s">
        <v>1726</v>
      </c>
      <c r="J1384">
        <v>768.43</v>
      </c>
      <c r="K1384">
        <v>192107.5</v>
      </c>
      <c r="L1384">
        <v>3256.8</v>
      </c>
      <c r="M1384">
        <v>1291.0999999999999</v>
      </c>
      <c r="N1384">
        <v>5212.17</v>
      </c>
      <c r="O1384">
        <v>201867.57</v>
      </c>
      <c r="P1384">
        <v>53832.66</v>
      </c>
      <c r="Q1384">
        <v>44072.59</v>
      </c>
      <c r="R1384" t="s">
        <v>85</v>
      </c>
      <c r="S1384">
        <v>130371.08</v>
      </c>
      <c r="T1384">
        <v>115569.08</v>
      </c>
      <c r="U1384" t="s">
        <v>66</v>
      </c>
      <c r="V1384" t="s">
        <v>6</v>
      </c>
      <c r="W1384" t="s">
        <v>74</v>
      </c>
      <c r="X1384" t="s">
        <v>205</v>
      </c>
      <c r="Y1384" t="s">
        <v>24</v>
      </c>
      <c r="Z1384">
        <v>1.31</v>
      </c>
      <c r="AA1384">
        <f t="shared" si="63"/>
        <v>44072.59</v>
      </c>
      <c r="AB1384">
        <f t="shared" si="64"/>
        <v>0.17920046079501614</v>
      </c>
      <c r="AC1384">
        <f t="shared" si="65"/>
        <v>0</v>
      </c>
      <c r="AD1384">
        <v>2024</v>
      </c>
      <c r="AE1384">
        <v>11</v>
      </c>
      <c r="AF1384" t="s">
        <v>128</v>
      </c>
      <c r="AG1384" t="s">
        <v>129</v>
      </c>
    </row>
    <row r="1385" spans="1:33">
      <c r="A1385" t="s">
        <v>1536</v>
      </c>
      <c r="B1385">
        <v>45478</v>
      </c>
      <c r="D1385" t="s">
        <v>21</v>
      </c>
      <c r="E1385">
        <v>300</v>
      </c>
      <c r="F1385">
        <v>797.81</v>
      </c>
      <c r="G1385">
        <v>0.86</v>
      </c>
      <c r="H1385">
        <v>237284.65</v>
      </c>
      <c r="I1385" t="s">
        <v>1726</v>
      </c>
      <c r="J1385">
        <v>705.55</v>
      </c>
      <c r="K1385">
        <v>211665</v>
      </c>
      <c r="L1385">
        <v>5852.87</v>
      </c>
      <c r="M1385">
        <v>1590.17</v>
      </c>
      <c r="N1385">
        <v>6991.67</v>
      </c>
      <c r="O1385">
        <v>226099.71</v>
      </c>
      <c r="P1385">
        <v>25619.65</v>
      </c>
      <c r="Q1385">
        <v>11184.94</v>
      </c>
      <c r="R1385" t="s">
        <v>65</v>
      </c>
      <c r="S1385">
        <v>237284.65</v>
      </c>
      <c r="T1385">
        <v>0</v>
      </c>
      <c r="U1385" t="s">
        <v>91</v>
      </c>
      <c r="V1385" t="s">
        <v>10</v>
      </c>
      <c r="W1385" t="s">
        <v>74</v>
      </c>
      <c r="X1385" t="s">
        <v>167</v>
      </c>
      <c r="Y1385" t="s">
        <v>31</v>
      </c>
      <c r="Z1385">
        <v>2.25</v>
      </c>
      <c r="AA1385">
        <f t="shared" si="63"/>
        <v>11184.94</v>
      </c>
      <c r="AB1385">
        <f t="shared" si="64"/>
        <v>4.7137225269312619E-2</v>
      </c>
      <c r="AC1385">
        <f t="shared" si="65"/>
        <v>0</v>
      </c>
      <c r="AD1385">
        <v>2024</v>
      </c>
      <c r="AE1385">
        <v>7</v>
      </c>
      <c r="AF1385" t="s">
        <v>69</v>
      </c>
      <c r="AG1385" t="s">
        <v>70</v>
      </c>
    </row>
    <row r="1386" spans="1:33">
      <c r="A1386" t="s">
        <v>1537</v>
      </c>
      <c r="B1386">
        <v>45290</v>
      </c>
      <c r="C1386">
        <v>45300</v>
      </c>
      <c r="D1386" t="s">
        <v>25</v>
      </c>
      <c r="E1386">
        <v>1000</v>
      </c>
      <c r="F1386">
        <v>934.94</v>
      </c>
      <c r="G1386">
        <v>2.99</v>
      </c>
      <c r="H1386">
        <v>906985.29</v>
      </c>
      <c r="I1386" t="s">
        <v>1727</v>
      </c>
      <c r="J1386">
        <v>817.42</v>
      </c>
      <c r="K1386">
        <v>817420</v>
      </c>
      <c r="L1386">
        <v>7506.17</v>
      </c>
      <c r="M1386">
        <v>3110.03</v>
      </c>
      <c r="N1386">
        <v>1874.3</v>
      </c>
      <c r="O1386">
        <v>829910.5</v>
      </c>
      <c r="P1386">
        <v>89565.29</v>
      </c>
      <c r="Q1386">
        <v>77074.789999999994</v>
      </c>
      <c r="R1386" t="s">
        <v>65</v>
      </c>
      <c r="S1386">
        <v>906985.29</v>
      </c>
      <c r="T1386">
        <v>0</v>
      </c>
      <c r="U1386" t="s">
        <v>66</v>
      </c>
      <c r="V1386" t="s">
        <v>10</v>
      </c>
      <c r="W1386" t="s">
        <v>80</v>
      </c>
      <c r="X1386" t="s">
        <v>89</v>
      </c>
      <c r="Y1386" t="s">
        <v>28</v>
      </c>
      <c r="Z1386">
        <v>2.2799999999999998</v>
      </c>
      <c r="AA1386">
        <f t="shared" si="63"/>
        <v>77074.789999999994</v>
      </c>
      <c r="AB1386">
        <f t="shared" si="64"/>
        <v>8.4979095967477034E-2</v>
      </c>
      <c r="AC1386">
        <f t="shared" si="65"/>
        <v>0</v>
      </c>
      <c r="AD1386">
        <v>2023</v>
      </c>
      <c r="AE1386">
        <v>12</v>
      </c>
      <c r="AF1386" t="s">
        <v>98</v>
      </c>
      <c r="AG1386" t="s">
        <v>232</v>
      </c>
    </row>
    <row r="1387" spans="1:33">
      <c r="A1387" t="s">
        <v>1538</v>
      </c>
      <c r="B1387">
        <v>45876</v>
      </c>
      <c r="C1387">
        <v>45879</v>
      </c>
      <c r="D1387" t="s">
        <v>23</v>
      </c>
      <c r="E1387">
        <v>50</v>
      </c>
      <c r="F1387">
        <v>1334.87</v>
      </c>
      <c r="G1387">
        <v>1.99</v>
      </c>
      <c r="H1387">
        <v>65415.3</v>
      </c>
      <c r="I1387" t="s">
        <v>1726</v>
      </c>
      <c r="J1387">
        <v>1047.99</v>
      </c>
      <c r="K1387">
        <v>52399.5</v>
      </c>
      <c r="L1387">
        <v>311.45999999999998</v>
      </c>
      <c r="M1387">
        <v>148.68</v>
      </c>
      <c r="N1387">
        <v>7120.88</v>
      </c>
      <c r="O1387">
        <v>59980.52</v>
      </c>
      <c r="P1387">
        <v>13015.8</v>
      </c>
      <c r="Q1387">
        <v>5434.78</v>
      </c>
      <c r="R1387" t="s">
        <v>65</v>
      </c>
      <c r="S1387">
        <v>65415.3</v>
      </c>
      <c r="T1387">
        <v>0</v>
      </c>
      <c r="U1387" t="s">
        <v>66</v>
      </c>
      <c r="V1387" t="s">
        <v>16</v>
      </c>
      <c r="W1387" t="s">
        <v>67</v>
      </c>
      <c r="X1387" t="s">
        <v>123</v>
      </c>
      <c r="Y1387" t="s">
        <v>22</v>
      </c>
      <c r="Z1387">
        <v>2.08</v>
      </c>
      <c r="AA1387">
        <f t="shared" si="63"/>
        <v>5434.78</v>
      </c>
      <c r="AB1387">
        <f t="shared" si="64"/>
        <v>8.3081175199074209E-2</v>
      </c>
      <c r="AC1387">
        <f t="shared" si="65"/>
        <v>0</v>
      </c>
      <c r="AD1387">
        <v>2025</v>
      </c>
      <c r="AE1387">
        <v>8</v>
      </c>
      <c r="AF1387" t="s">
        <v>82</v>
      </c>
      <c r="AG1387" t="s">
        <v>87</v>
      </c>
    </row>
    <row r="1388" spans="1:33">
      <c r="A1388" t="s">
        <v>1539</v>
      </c>
      <c r="B1388">
        <v>45319</v>
      </c>
      <c r="C1388">
        <v>45333</v>
      </c>
      <c r="D1388" t="s">
        <v>21</v>
      </c>
      <c r="E1388">
        <v>500</v>
      </c>
      <c r="F1388">
        <v>894.73</v>
      </c>
      <c r="G1388">
        <v>3.7</v>
      </c>
      <c r="H1388">
        <v>430812.5</v>
      </c>
      <c r="I1388" t="s">
        <v>1726</v>
      </c>
      <c r="J1388">
        <v>750.08</v>
      </c>
      <c r="K1388">
        <v>375040</v>
      </c>
      <c r="L1388">
        <v>4942.05</v>
      </c>
      <c r="M1388">
        <v>1260.98</v>
      </c>
      <c r="N1388">
        <v>5323.98</v>
      </c>
      <c r="O1388">
        <v>386567.01</v>
      </c>
      <c r="P1388">
        <v>55772.5</v>
      </c>
      <c r="Q1388">
        <v>44245.49</v>
      </c>
      <c r="R1388" t="s">
        <v>134</v>
      </c>
      <c r="S1388">
        <v>0</v>
      </c>
      <c r="T1388">
        <v>430812.5</v>
      </c>
      <c r="U1388" t="s">
        <v>66</v>
      </c>
      <c r="V1388" t="s">
        <v>10</v>
      </c>
      <c r="W1388" t="s">
        <v>74</v>
      </c>
      <c r="X1388" t="s">
        <v>125</v>
      </c>
      <c r="Y1388" t="s">
        <v>24</v>
      </c>
      <c r="Z1388">
        <v>2.15</v>
      </c>
      <c r="AA1388">
        <f t="shared" si="63"/>
        <v>44245.49</v>
      </c>
      <c r="AB1388">
        <f t="shared" si="64"/>
        <v>0.10270242855070361</v>
      </c>
      <c r="AC1388">
        <f t="shared" si="65"/>
        <v>0</v>
      </c>
      <c r="AD1388">
        <v>2024</v>
      </c>
      <c r="AE1388">
        <v>1</v>
      </c>
      <c r="AF1388" t="s">
        <v>102</v>
      </c>
      <c r="AG1388" t="s">
        <v>103</v>
      </c>
    </row>
    <row r="1389" spans="1:33">
      <c r="A1389" t="s">
        <v>1540</v>
      </c>
      <c r="B1389">
        <v>46005</v>
      </c>
      <c r="C1389">
        <v>46019</v>
      </c>
      <c r="D1389" t="s">
        <v>23</v>
      </c>
      <c r="E1389">
        <v>300</v>
      </c>
      <c r="F1389">
        <v>1375.56</v>
      </c>
      <c r="G1389">
        <v>0.45</v>
      </c>
      <c r="H1389">
        <v>410810.99</v>
      </c>
      <c r="I1389" t="s">
        <v>1726</v>
      </c>
      <c r="J1389">
        <v>974.94</v>
      </c>
      <c r="K1389">
        <v>292482</v>
      </c>
      <c r="L1389">
        <v>4890.51</v>
      </c>
      <c r="M1389">
        <v>817.84</v>
      </c>
      <c r="N1389">
        <v>1526.83</v>
      </c>
      <c r="O1389">
        <v>299717.18</v>
      </c>
      <c r="P1389">
        <v>118328.99</v>
      </c>
      <c r="Q1389">
        <v>111093.81</v>
      </c>
      <c r="R1389" t="s">
        <v>65</v>
      </c>
      <c r="S1389">
        <v>410810.99</v>
      </c>
      <c r="T1389">
        <v>0</v>
      </c>
      <c r="U1389" t="s">
        <v>66</v>
      </c>
      <c r="V1389" t="s">
        <v>6</v>
      </c>
      <c r="W1389" t="s">
        <v>74</v>
      </c>
      <c r="X1389" t="s">
        <v>285</v>
      </c>
      <c r="Y1389" t="s">
        <v>28</v>
      </c>
      <c r="Z1389">
        <v>0.73</v>
      </c>
      <c r="AA1389">
        <f t="shared" si="63"/>
        <v>111093.81</v>
      </c>
      <c r="AB1389">
        <f t="shared" si="64"/>
        <v>0.27042560375514785</v>
      </c>
      <c r="AC1389">
        <f t="shared" si="65"/>
        <v>0</v>
      </c>
      <c r="AD1389">
        <v>2025</v>
      </c>
      <c r="AE1389">
        <v>12</v>
      </c>
      <c r="AF1389" t="s">
        <v>98</v>
      </c>
      <c r="AG1389" t="s">
        <v>168</v>
      </c>
    </row>
    <row r="1390" spans="1:33">
      <c r="A1390" t="s">
        <v>1541</v>
      </c>
      <c r="B1390">
        <v>45557</v>
      </c>
      <c r="D1390" t="s">
        <v>25</v>
      </c>
      <c r="E1390">
        <v>250</v>
      </c>
      <c r="F1390">
        <v>1027.17</v>
      </c>
      <c r="G1390">
        <v>0.32</v>
      </c>
      <c r="H1390">
        <v>255970.76</v>
      </c>
      <c r="I1390" t="s">
        <v>1727</v>
      </c>
      <c r="J1390">
        <v>802.6</v>
      </c>
      <c r="K1390">
        <v>200650</v>
      </c>
      <c r="L1390">
        <v>1390.02</v>
      </c>
      <c r="M1390">
        <v>1361.49</v>
      </c>
      <c r="N1390">
        <v>4430.24</v>
      </c>
      <c r="O1390">
        <v>207831.75</v>
      </c>
      <c r="P1390">
        <v>55320.76</v>
      </c>
      <c r="Q1390">
        <v>48139.01</v>
      </c>
      <c r="R1390" t="s">
        <v>65</v>
      </c>
      <c r="S1390">
        <v>255970.76</v>
      </c>
      <c r="T1390">
        <v>0</v>
      </c>
      <c r="U1390" t="s">
        <v>91</v>
      </c>
      <c r="V1390" t="s">
        <v>6</v>
      </c>
      <c r="W1390" t="s">
        <v>92</v>
      </c>
      <c r="X1390" t="s">
        <v>195</v>
      </c>
      <c r="Y1390" t="s">
        <v>26</v>
      </c>
      <c r="Z1390">
        <v>0.92</v>
      </c>
      <c r="AA1390">
        <f t="shared" si="63"/>
        <v>48139.01</v>
      </c>
      <c r="AB1390">
        <f t="shared" si="64"/>
        <v>0.18806448830327338</v>
      </c>
      <c r="AC1390">
        <f t="shared" si="65"/>
        <v>0</v>
      </c>
      <c r="AD1390">
        <v>2024</v>
      </c>
      <c r="AE1390">
        <v>9</v>
      </c>
      <c r="AF1390" t="s">
        <v>131</v>
      </c>
      <c r="AG1390" t="s">
        <v>188</v>
      </c>
    </row>
    <row r="1391" spans="1:33">
      <c r="A1391" t="s">
        <v>1542</v>
      </c>
      <c r="B1391">
        <v>45642</v>
      </c>
      <c r="C1391">
        <v>45648</v>
      </c>
      <c r="D1391" t="s">
        <v>23</v>
      </c>
      <c r="E1391">
        <v>250</v>
      </c>
      <c r="F1391">
        <v>1432.75</v>
      </c>
      <c r="G1391">
        <v>2.4500000000000002</v>
      </c>
      <c r="H1391">
        <v>349411.91</v>
      </c>
      <c r="I1391" t="s">
        <v>1726</v>
      </c>
      <c r="J1391">
        <v>983.51</v>
      </c>
      <c r="K1391">
        <v>245877.5</v>
      </c>
      <c r="L1391">
        <v>3988.64</v>
      </c>
      <c r="M1391">
        <v>1134.31</v>
      </c>
      <c r="N1391">
        <v>2962.28</v>
      </c>
      <c r="O1391">
        <v>253962.73</v>
      </c>
      <c r="P1391">
        <v>103534.41</v>
      </c>
      <c r="Q1391">
        <v>95449.18</v>
      </c>
      <c r="R1391" t="s">
        <v>65</v>
      </c>
      <c r="S1391">
        <v>349411.91</v>
      </c>
      <c r="T1391">
        <v>0</v>
      </c>
      <c r="U1391" t="s">
        <v>66</v>
      </c>
      <c r="V1391" t="s">
        <v>6</v>
      </c>
      <c r="W1391" t="s">
        <v>74</v>
      </c>
      <c r="X1391" t="s">
        <v>176</v>
      </c>
      <c r="Y1391" t="s">
        <v>22</v>
      </c>
      <c r="Z1391">
        <v>1.89</v>
      </c>
      <c r="AA1391">
        <f t="shared" si="63"/>
        <v>95449.18</v>
      </c>
      <c r="AB1391">
        <f t="shared" si="64"/>
        <v>0.2731709402807706</v>
      </c>
      <c r="AC1391">
        <f t="shared" si="65"/>
        <v>0</v>
      </c>
      <c r="AD1391">
        <v>2024</v>
      </c>
      <c r="AE1391">
        <v>12</v>
      </c>
      <c r="AF1391" t="s">
        <v>98</v>
      </c>
      <c r="AG1391" t="s">
        <v>99</v>
      </c>
    </row>
    <row r="1392" spans="1:33">
      <c r="A1392" t="s">
        <v>1543</v>
      </c>
      <c r="B1392">
        <v>45671</v>
      </c>
      <c r="C1392">
        <v>45671</v>
      </c>
      <c r="D1392" t="s">
        <v>21</v>
      </c>
      <c r="E1392">
        <v>750</v>
      </c>
      <c r="F1392">
        <v>906.51</v>
      </c>
      <c r="G1392">
        <v>1.93</v>
      </c>
      <c r="H1392">
        <v>666760.77</v>
      </c>
      <c r="I1392" t="s">
        <v>1727</v>
      </c>
      <c r="J1392">
        <v>707.43</v>
      </c>
      <c r="K1392">
        <v>530572.5</v>
      </c>
      <c r="L1392">
        <v>6682.17</v>
      </c>
      <c r="M1392">
        <v>1317.08</v>
      </c>
      <c r="N1392">
        <v>1682.27</v>
      </c>
      <c r="O1392">
        <v>540254.02</v>
      </c>
      <c r="P1392">
        <v>136188.26999999999</v>
      </c>
      <c r="Q1392">
        <v>126506.75</v>
      </c>
      <c r="R1392" t="s">
        <v>85</v>
      </c>
      <c r="S1392">
        <v>369401.95</v>
      </c>
      <c r="T1392">
        <v>297358.82</v>
      </c>
      <c r="U1392" t="s">
        <v>66</v>
      </c>
      <c r="V1392" t="s">
        <v>12</v>
      </c>
      <c r="W1392" t="s">
        <v>80</v>
      </c>
      <c r="X1392" t="s">
        <v>101</v>
      </c>
      <c r="Y1392" t="s">
        <v>22</v>
      </c>
      <c r="Z1392">
        <v>0.73</v>
      </c>
      <c r="AA1392">
        <f t="shared" si="63"/>
        <v>126506.75</v>
      </c>
      <c r="AB1392">
        <f t="shared" si="64"/>
        <v>0.18973334318994201</v>
      </c>
      <c r="AC1392">
        <f t="shared" si="65"/>
        <v>0</v>
      </c>
      <c r="AD1392">
        <v>2025</v>
      </c>
      <c r="AE1392">
        <v>1</v>
      </c>
      <c r="AF1392" t="s">
        <v>102</v>
      </c>
      <c r="AG1392" t="s">
        <v>118</v>
      </c>
    </row>
    <row r="1393" spans="1:33">
      <c r="A1393" t="s">
        <v>1544</v>
      </c>
      <c r="B1393">
        <v>45676</v>
      </c>
      <c r="C1393">
        <v>45686</v>
      </c>
      <c r="D1393" t="s">
        <v>25</v>
      </c>
      <c r="E1393">
        <v>1000</v>
      </c>
      <c r="F1393">
        <v>967.13</v>
      </c>
      <c r="G1393">
        <v>0.41</v>
      </c>
      <c r="H1393">
        <v>963164.77</v>
      </c>
      <c r="I1393" t="s">
        <v>1727</v>
      </c>
      <c r="J1393">
        <v>823.56</v>
      </c>
      <c r="K1393">
        <v>823560</v>
      </c>
      <c r="L1393">
        <v>22587.39</v>
      </c>
      <c r="M1393">
        <v>3911.83</v>
      </c>
      <c r="N1393">
        <v>7333.22</v>
      </c>
      <c r="O1393">
        <v>857392.44</v>
      </c>
      <c r="P1393">
        <v>139604.76999999999</v>
      </c>
      <c r="Q1393">
        <v>105772.33</v>
      </c>
      <c r="R1393" t="s">
        <v>85</v>
      </c>
      <c r="S1393">
        <v>324532.05</v>
      </c>
      <c r="T1393">
        <v>638632.72</v>
      </c>
      <c r="U1393" t="s">
        <v>66</v>
      </c>
      <c r="V1393" t="s">
        <v>6</v>
      </c>
      <c r="W1393" t="s">
        <v>92</v>
      </c>
      <c r="X1393" t="s">
        <v>193</v>
      </c>
      <c r="Y1393" t="s">
        <v>30</v>
      </c>
      <c r="Z1393">
        <v>1.8</v>
      </c>
      <c r="AA1393">
        <f t="shared" si="63"/>
        <v>105772.33</v>
      </c>
      <c r="AB1393">
        <f t="shared" si="64"/>
        <v>0.10981748221542613</v>
      </c>
      <c r="AC1393">
        <f t="shared" si="65"/>
        <v>0</v>
      </c>
      <c r="AD1393">
        <v>2025</v>
      </c>
      <c r="AE1393">
        <v>1</v>
      </c>
      <c r="AF1393" t="s">
        <v>102</v>
      </c>
      <c r="AG1393" t="s">
        <v>118</v>
      </c>
    </row>
    <row r="1394" spans="1:33">
      <c r="A1394" t="s">
        <v>1545</v>
      </c>
      <c r="B1394">
        <v>45642</v>
      </c>
      <c r="C1394">
        <v>45652</v>
      </c>
      <c r="D1394" t="s">
        <v>23</v>
      </c>
      <c r="E1394">
        <v>50</v>
      </c>
      <c r="F1394">
        <v>1317.01</v>
      </c>
      <c r="G1394">
        <v>0.77</v>
      </c>
      <c r="H1394">
        <v>65343.45</v>
      </c>
      <c r="I1394" t="s">
        <v>1728</v>
      </c>
      <c r="J1394">
        <v>1010.81</v>
      </c>
      <c r="K1394">
        <v>50540.5</v>
      </c>
      <c r="L1394">
        <v>658.77</v>
      </c>
      <c r="M1394">
        <v>168.52</v>
      </c>
      <c r="N1394">
        <v>4815.9399999999996</v>
      </c>
      <c r="O1394">
        <v>56183.73</v>
      </c>
      <c r="P1394">
        <v>14802.95</v>
      </c>
      <c r="Q1394">
        <v>9159.7199999999993</v>
      </c>
      <c r="R1394" t="s">
        <v>65</v>
      </c>
      <c r="S1394">
        <v>65343.45</v>
      </c>
      <c r="T1394">
        <v>0</v>
      </c>
      <c r="U1394" t="s">
        <v>66</v>
      </c>
      <c r="V1394" t="s">
        <v>14</v>
      </c>
      <c r="W1394" t="s">
        <v>67</v>
      </c>
      <c r="X1394" t="s">
        <v>108</v>
      </c>
      <c r="Y1394" t="s">
        <v>22</v>
      </c>
      <c r="Z1394">
        <v>0.37</v>
      </c>
      <c r="AA1394">
        <f t="shared" si="63"/>
        <v>9159.7199999999993</v>
      </c>
      <c r="AB1394">
        <f t="shared" si="64"/>
        <v>0.14017808977028301</v>
      </c>
      <c r="AC1394">
        <f t="shared" si="65"/>
        <v>0</v>
      </c>
      <c r="AD1394">
        <v>2024</v>
      </c>
      <c r="AE1394">
        <v>12</v>
      </c>
      <c r="AF1394" t="s">
        <v>98</v>
      </c>
      <c r="AG1394" t="s">
        <v>99</v>
      </c>
    </row>
    <row r="1395" spans="1:33">
      <c r="A1395" t="s">
        <v>1546</v>
      </c>
      <c r="B1395">
        <v>45617</v>
      </c>
      <c r="C1395">
        <v>45631</v>
      </c>
      <c r="D1395" t="s">
        <v>25</v>
      </c>
      <c r="E1395">
        <v>750</v>
      </c>
      <c r="F1395">
        <v>1006.64</v>
      </c>
      <c r="G1395">
        <v>1.95</v>
      </c>
      <c r="H1395">
        <v>740257.89</v>
      </c>
      <c r="I1395" t="s">
        <v>1728</v>
      </c>
      <c r="J1395">
        <v>749.52</v>
      </c>
      <c r="K1395">
        <v>562140</v>
      </c>
      <c r="L1395">
        <v>12588.3</v>
      </c>
      <c r="M1395">
        <v>3498.95</v>
      </c>
      <c r="N1395">
        <v>9242.23</v>
      </c>
      <c r="O1395">
        <v>587469.48</v>
      </c>
      <c r="P1395">
        <v>178117.89</v>
      </c>
      <c r="Q1395">
        <v>152788.41</v>
      </c>
      <c r="R1395" t="s">
        <v>65</v>
      </c>
      <c r="S1395">
        <v>740257.89</v>
      </c>
      <c r="T1395">
        <v>0</v>
      </c>
      <c r="U1395" t="s">
        <v>66</v>
      </c>
      <c r="V1395" t="s">
        <v>14</v>
      </c>
      <c r="W1395" t="s">
        <v>141</v>
      </c>
      <c r="X1395" t="s">
        <v>205</v>
      </c>
      <c r="Y1395" t="s">
        <v>24</v>
      </c>
      <c r="Z1395">
        <v>2.17</v>
      </c>
      <c r="AA1395">
        <f t="shared" si="63"/>
        <v>152788.41</v>
      </c>
      <c r="AB1395">
        <f t="shared" si="64"/>
        <v>0.20639889430965741</v>
      </c>
      <c r="AC1395">
        <f t="shared" si="65"/>
        <v>0</v>
      </c>
      <c r="AD1395">
        <v>2024</v>
      </c>
      <c r="AE1395">
        <v>11</v>
      </c>
      <c r="AF1395" t="s">
        <v>128</v>
      </c>
      <c r="AG1395" t="s">
        <v>129</v>
      </c>
    </row>
    <row r="1396" spans="1:33">
      <c r="A1396" t="s">
        <v>1547</v>
      </c>
      <c r="B1396">
        <v>46003</v>
      </c>
      <c r="D1396" t="s">
        <v>25</v>
      </c>
      <c r="E1396">
        <v>200</v>
      </c>
      <c r="F1396">
        <v>1043.42</v>
      </c>
      <c r="G1396">
        <v>1.37</v>
      </c>
      <c r="H1396">
        <v>205825.03</v>
      </c>
      <c r="I1396" t="s">
        <v>1727</v>
      </c>
      <c r="J1396">
        <v>715.43</v>
      </c>
      <c r="K1396">
        <v>143086</v>
      </c>
      <c r="L1396">
        <v>1946.27</v>
      </c>
      <c r="M1396">
        <v>354.42</v>
      </c>
      <c r="N1396">
        <v>2421.59</v>
      </c>
      <c r="O1396">
        <v>147808.28</v>
      </c>
      <c r="P1396">
        <v>62739.03</v>
      </c>
      <c r="Q1396">
        <v>58016.75</v>
      </c>
      <c r="R1396" t="s">
        <v>65</v>
      </c>
      <c r="S1396">
        <v>205825.03</v>
      </c>
      <c r="T1396">
        <v>0</v>
      </c>
      <c r="U1396" t="s">
        <v>91</v>
      </c>
      <c r="V1396" t="s">
        <v>6</v>
      </c>
      <c r="W1396" t="s">
        <v>74</v>
      </c>
      <c r="X1396" t="s">
        <v>205</v>
      </c>
      <c r="Y1396" t="s">
        <v>24</v>
      </c>
      <c r="Z1396">
        <v>1.04</v>
      </c>
      <c r="AA1396">
        <f t="shared" si="63"/>
        <v>58016.75</v>
      </c>
      <c r="AB1396">
        <f t="shared" si="64"/>
        <v>0.28187412386141764</v>
      </c>
      <c r="AC1396">
        <f t="shared" si="65"/>
        <v>0</v>
      </c>
      <c r="AD1396">
        <v>2025</v>
      </c>
      <c r="AE1396">
        <v>12</v>
      </c>
      <c r="AF1396" t="s">
        <v>98</v>
      </c>
      <c r="AG1396" t="s">
        <v>168</v>
      </c>
    </row>
    <row r="1397" spans="1:33">
      <c r="A1397" t="s">
        <v>1548</v>
      </c>
      <c r="B1397">
        <v>45844</v>
      </c>
      <c r="C1397">
        <v>45846</v>
      </c>
      <c r="D1397" t="s">
        <v>21</v>
      </c>
      <c r="E1397">
        <v>500</v>
      </c>
      <c r="F1397">
        <v>832.6</v>
      </c>
      <c r="G1397">
        <v>4.18</v>
      </c>
      <c r="H1397">
        <v>398898.66</v>
      </c>
      <c r="I1397" t="s">
        <v>1727</v>
      </c>
      <c r="J1397">
        <v>741</v>
      </c>
      <c r="K1397">
        <v>370500</v>
      </c>
      <c r="L1397">
        <v>8665.5</v>
      </c>
      <c r="M1397">
        <v>1837.66</v>
      </c>
      <c r="N1397">
        <v>9966.76</v>
      </c>
      <c r="O1397">
        <v>390969.92</v>
      </c>
      <c r="P1397">
        <v>28398.66</v>
      </c>
      <c r="Q1397">
        <v>7928.74</v>
      </c>
      <c r="R1397" t="s">
        <v>65</v>
      </c>
      <c r="S1397">
        <v>398898.66</v>
      </c>
      <c r="T1397">
        <v>0</v>
      </c>
      <c r="U1397" t="s">
        <v>73</v>
      </c>
      <c r="V1397" t="s">
        <v>14</v>
      </c>
      <c r="W1397" t="s">
        <v>67</v>
      </c>
      <c r="X1397" t="s">
        <v>167</v>
      </c>
      <c r="Y1397" t="s">
        <v>31</v>
      </c>
      <c r="Z1397">
        <v>0.54</v>
      </c>
      <c r="AA1397">
        <f t="shared" si="63"/>
        <v>7928.74</v>
      </c>
      <c r="AB1397">
        <f t="shared" si="64"/>
        <v>1.9876577173761376E-2</v>
      </c>
      <c r="AC1397">
        <f t="shared" si="65"/>
        <v>0</v>
      </c>
      <c r="AD1397">
        <v>2025</v>
      </c>
      <c r="AE1397">
        <v>7</v>
      </c>
      <c r="AF1397" t="s">
        <v>69</v>
      </c>
      <c r="AG1397" t="s">
        <v>151</v>
      </c>
    </row>
    <row r="1398" spans="1:33">
      <c r="A1398" t="s">
        <v>1549</v>
      </c>
      <c r="B1398">
        <v>45477</v>
      </c>
      <c r="C1398">
        <v>45481</v>
      </c>
      <c r="D1398" t="s">
        <v>21</v>
      </c>
      <c r="E1398">
        <v>100</v>
      </c>
      <c r="F1398">
        <v>835.95</v>
      </c>
      <c r="G1398">
        <v>1.73</v>
      </c>
      <c r="H1398">
        <v>82148.81</v>
      </c>
      <c r="I1398" t="s">
        <v>1727</v>
      </c>
      <c r="J1398">
        <v>747.34</v>
      </c>
      <c r="K1398">
        <v>74734</v>
      </c>
      <c r="L1398">
        <v>1214.75</v>
      </c>
      <c r="M1398">
        <v>223.84</v>
      </c>
      <c r="N1398">
        <v>7507.69</v>
      </c>
      <c r="O1398">
        <v>83680.28</v>
      </c>
      <c r="P1398">
        <v>7414.81</v>
      </c>
      <c r="Q1398">
        <v>-1531.47</v>
      </c>
      <c r="R1398" t="s">
        <v>65</v>
      </c>
      <c r="S1398">
        <v>82148.81</v>
      </c>
      <c r="T1398">
        <v>0</v>
      </c>
      <c r="U1398" t="s">
        <v>73</v>
      </c>
      <c r="V1398" t="s">
        <v>8</v>
      </c>
      <c r="W1398" t="s">
        <v>80</v>
      </c>
      <c r="X1398" t="s">
        <v>75</v>
      </c>
      <c r="Y1398" t="s">
        <v>28</v>
      </c>
      <c r="Z1398">
        <v>1.32</v>
      </c>
      <c r="AA1398">
        <f t="shared" si="63"/>
        <v>-1531.47</v>
      </c>
      <c r="AB1398">
        <f t="shared" si="64"/>
        <v>-1.864263158529016E-2</v>
      </c>
      <c r="AC1398">
        <f t="shared" si="65"/>
        <v>0</v>
      </c>
      <c r="AD1398">
        <v>2024</v>
      </c>
      <c r="AE1398">
        <v>7</v>
      </c>
      <c r="AF1398" t="s">
        <v>69</v>
      </c>
      <c r="AG1398" t="s">
        <v>70</v>
      </c>
    </row>
    <row r="1399" spans="1:33">
      <c r="A1399" t="s">
        <v>1550</v>
      </c>
      <c r="B1399">
        <v>45959</v>
      </c>
      <c r="C1399">
        <v>45967</v>
      </c>
      <c r="D1399" t="s">
        <v>21</v>
      </c>
      <c r="E1399">
        <v>150</v>
      </c>
      <c r="F1399">
        <v>935.05</v>
      </c>
      <c r="G1399">
        <v>1.23</v>
      </c>
      <c r="H1399">
        <v>138532.32999999999</v>
      </c>
      <c r="I1399" t="s">
        <v>1727</v>
      </c>
      <c r="J1399">
        <v>701.55</v>
      </c>
      <c r="K1399">
        <v>105232.5</v>
      </c>
      <c r="L1399">
        <v>1618.85</v>
      </c>
      <c r="M1399">
        <v>284.55</v>
      </c>
      <c r="N1399">
        <v>974.86</v>
      </c>
      <c r="O1399">
        <v>108110.76</v>
      </c>
      <c r="P1399">
        <v>33299.83</v>
      </c>
      <c r="Q1399">
        <v>30421.57</v>
      </c>
      <c r="R1399" t="s">
        <v>134</v>
      </c>
      <c r="S1399">
        <v>0</v>
      </c>
      <c r="T1399">
        <v>138532.32999999999</v>
      </c>
      <c r="U1399" t="s">
        <v>73</v>
      </c>
      <c r="V1399" t="s">
        <v>10</v>
      </c>
      <c r="W1399" t="s">
        <v>80</v>
      </c>
      <c r="X1399" t="s">
        <v>193</v>
      </c>
      <c r="Y1399" t="s">
        <v>30</v>
      </c>
      <c r="Z1399">
        <v>2.34</v>
      </c>
      <c r="AA1399">
        <f t="shared" si="63"/>
        <v>30421.57</v>
      </c>
      <c r="AB1399">
        <f t="shared" si="64"/>
        <v>0.21959906398744614</v>
      </c>
      <c r="AC1399">
        <f t="shared" si="65"/>
        <v>0</v>
      </c>
      <c r="AD1399">
        <v>2025</v>
      </c>
      <c r="AE1399">
        <v>10</v>
      </c>
      <c r="AF1399" t="s">
        <v>138</v>
      </c>
      <c r="AG1399" t="s">
        <v>160</v>
      </c>
    </row>
    <row r="1400" spans="1:33">
      <c r="A1400" t="s">
        <v>1551</v>
      </c>
      <c r="B1400">
        <v>45733</v>
      </c>
      <c r="C1400">
        <v>45742</v>
      </c>
      <c r="D1400" t="s">
        <v>25</v>
      </c>
      <c r="E1400">
        <v>250</v>
      </c>
      <c r="F1400">
        <v>933.58</v>
      </c>
      <c r="G1400">
        <v>2.1</v>
      </c>
      <c r="H1400">
        <v>228493.7</v>
      </c>
      <c r="I1400" t="s">
        <v>1727</v>
      </c>
      <c r="J1400">
        <v>820.93</v>
      </c>
      <c r="K1400">
        <v>205232.5</v>
      </c>
      <c r="L1400">
        <v>2136.35</v>
      </c>
      <c r="M1400">
        <v>914.35</v>
      </c>
      <c r="N1400">
        <v>2002.04</v>
      </c>
      <c r="O1400">
        <v>210285.24</v>
      </c>
      <c r="P1400">
        <v>23261.200000000001</v>
      </c>
      <c r="Q1400">
        <v>18208.46</v>
      </c>
      <c r="R1400" t="s">
        <v>65</v>
      </c>
      <c r="S1400">
        <v>228493.7</v>
      </c>
      <c r="T1400">
        <v>0</v>
      </c>
      <c r="U1400" t="s">
        <v>66</v>
      </c>
      <c r="V1400" t="s">
        <v>14</v>
      </c>
      <c r="W1400" t="s">
        <v>80</v>
      </c>
      <c r="X1400" t="s">
        <v>176</v>
      </c>
      <c r="Y1400" t="s">
        <v>22</v>
      </c>
      <c r="Z1400">
        <v>0.84</v>
      </c>
      <c r="AA1400">
        <f t="shared" si="63"/>
        <v>18208.46</v>
      </c>
      <c r="AB1400">
        <f t="shared" si="64"/>
        <v>7.9689111778574198E-2</v>
      </c>
      <c r="AC1400">
        <f t="shared" si="65"/>
        <v>0</v>
      </c>
      <c r="AD1400">
        <v>2025</v>
      </c>
      <c r="AE1400">
        <v>3</v>
      </c>
      <c r="AF1400" t="s">
        <v>105</v>
      </c>
      <c r="AG1400" t="s">
        <v>106</v>
      </c>
    </row>
    <row r="1401" spans="1:33">
      <c r="A1401" t="s">
        <v>1552</v>
      </c>
      <c r="B1401">
        <v>45929</v>
      </c>
      <c r="C1401">
        <v>45938</v>
      </c>
      <c r="D1401" t="s">
        <v>21</v>
      </c>
      <c r="E1401">
        <v>150</v>
      </c>
      <c r="F1401">
        <v>874.81</v>
      </c>
      <c r="G1401">
        <v>2.19</v>
      </c>
      <c r="H1401">
        <v>128347.75</v>
      </c>
      <c r="I1401" t="s">
        <v>1726</v>
      </c>
      <c r="J1401">
        <v>702.94</v>
      </c>
      <c r="K1401">
        <v>105441</v>
      </c>
      <c r="L1401">
        <v>2914.19</v>
      </c>
      <c r="M1401">
        <v>347.23</v>
      </c>
      <c r="N1401">
        <v>2576.31</v>
      </c>
      <c r="O1401">
        <v>111278.73</v>
      </c>
      <c r="P1401">
        <v>22906.75</v>
      </c>
      <c r="Q1401">
        <v>17069.02</v>
      </c>
      <c r="R1401" t="s">
        <v>65</v>
      </c>
      <c r="S1401">
        <v>128347.75</v>
      </c>
      <c r="T1401">
        <v>0</v>
      </c>
      <c r="U1401" t="s">
        <v>66</v>
      </c>
      <c r="V1401" t="s">
        <v>12</v>
      </c>
      <c r="W1401" t="s">
        <v>74</v>
      </c>
      <c r="X1401" t="s">
        <v>205</v>
      </c>
      <c r="Y1401" t="s">
        <v>24</v>
      </c>
      <c r="Z1401">
        <v>1.08</v>
      </c>
      <c r="AA1401">
        <f t="shared" si="63"/>
        <v>17069.02</v>
      </c>
      <c r="AB1401">
        <f t="shared" si="64"/>
        <v>0.13299041081748608</v>
      </c>
      <c r="AC1401">
        <f t="shared" si="65"/>
        <v>0</v>
      </c>
      <c r="AD1401">
        <v>2025</v>
      </c>
      <c r="AE1401">
        <v>9</v>
      </c>
      <c r="AF1401" t="s">
        <v>131</v>
      </c>
      <c r="AG1401" t="s">
        <v>132</v>
      </c>
    </row>
    <row r="1402" spans="1:33">
      <c r="A1402" t="s">
        <v>1553</v>
      </c>
      <c r="B1402">
        <v>45803</v>
      </c>
      <c r="C1402">
        <v>45810</v>
      </c>
      <c r="D1402" t="s">
        <v>21</v>
      </c>
      <c r="E1402">
        <v>50</v>
      </c>
      <c r="F1402">
        <v>881.21</v>
      </c>
      <c r="G1402">
        <v>1.49</v>
      </c>
      <c r="H1402">
        <v>43404</v>
      </c>
      <c r="I1402" t="s">
        <v>1727</v>
      </c>
      <c r="J1402">
        <v>694.03</v>
      </c>
      <c r="K1402">
        <v>34701.5</v>
      </c>
      <c r="L1402">
        <v>736.24</v>
      </c>
      <c r="M1402">
        <v>94.79</v>
      </c>
      <c r="N1402">
        <v>510.49</v>
      </c>
      <c r="O1402">
        <v>36043.019999999997</v>
      </c>
      <c r="P1402">
        <v>8702.5</v>
      </c>
      <c r="Q1402">
        <v>7360.98</v>
      </c>
      <c r="R1402" t="s">
        <v>65</v>
      </c>
      <c r="S1402">
        <v>43404</v>
      </c>
      <c r="T1402">
        <v>0</v>
      </c>
      <c r="U1402" t="s">
        <v>73</v>
      </c>
      <c r="V1402" t="s">
        <v>12</v>
      </c>
      <c r="W1402" t="s">
        <v>74</v>
      </c>
      <c r="X1402" t="s">
        <v>239</v>
      </c>
      <c r="Y1402" t="s">
        <v>28</v>
      </c>
      <c r="Z1402">
        <v>1.9</v>
      </c>
      <c r="AA1402">
        <f t="shared" si="63"/>
        <v>7360.98</v>
      </c>
      <c r="AB1402">
        <f t="shared" si="64"/>
        <v>0.16959220348354989</v>
      </c>
      <c r="AC1402">
        <f t="shared" si="65"/>
        <v>0</v>
      </c>
      <c r="AD1402">
        <v>2025</v>
      </c>
      <c r="AE1402">
        <v>5</v>
      </c>
      <c r="AF1402" t="s">
        <v>76</v>
      </c>
      <c r="AG1402" t="s">
        <v>94</v>
      </c>
    </row>
    <row r="1403" spans="1:33">
      <c r="A1403" t="s">
        <v>1554</v>
      </c>
      <c r="B1403">
        <v>45746</v>
      </c>
      <c r="C1403">
        <v>45751</v>
      </c>
      <c r="D1403" t="s">
        <v>25</v>
      </c>
      <c r="E1403">
        <v>200</v>
      </c>
      <c r="F1403">
        <v>993.36</v>
      </c>
      <c r="G1403">
        <v>0.01</v>
      </c>
      <c r="H1403">
        <v>198652.13</v>
      </c>
      <c r="I1403" t="s">
        <v>1727</v>
      </c>
      <c r="J1403">
        <v>824.83</v>
      </c>
      <c r="K1403">
        <v>164966</v>
      </c>
      <c r="L1403">
        <v>1282.28</v>
      </c>
      <c r="M1403">
        <v>402.42</v>
      </c>
      <c r="N1403">
        <v>980.81</v>
      </c>
      <c r="O1403">
        <v>167631.51</v>
      </c>
      <c r="P1403">
        <v>33686.129999999997</v>
      </c>
      <c r="Q1403">
        <v>31020.62</v>
      </c>
      <c r="R1403" t="s">
        <v>85</v>
      </c>
      <c r="S1403">
        <v>110373.86</v>
      </c>
      <c r="T1403">
        <v>88278.27</v>
      </c>
      <c r="U1403" t="s">
        <v>66</v>
      </c>
      <c r="V1403" t="s">
        <v>12</v>
      </c>
      <c r="W1403" t="s">
        <v>74</v>
      </c>
      <c r="X1403" t="s">
        <v>205</v>
      </c>
      <c r="Y1403" t="s">
        <v>24</v>
      </c>
      <c r="Z1403">
        <v>1.03</v>
      </c>
      <c r="AA1403">
        <f t="shared" si="63"/>
        <v>31020.62</v>
      </c>
      <c r="AB1403">
        <f t="shared" si="64"/>
        <v>0.15615548647779412</v>
      </c>
      <c r="AC1403">
        <f t="shared" si="65"/>
        <v>0</v>
      </c>
      <c r="AD1403">
        <v>2025</v>
      </c>
      <c r="AE1403">
        <v>3</v>
      </c>
      <c r="AF1403" t="s">
        <v>105</v>
      </c>
      <c r="AG1403" t="s">
        <v>106</v>
      </c>
    </row>
    <row r="1404" spans="1:33">
      <c r="A1404" t="s">
        <v>1555</v>
      </c>
      <c r="B1404">
        <v>45894</v>
      </c>
      <c r="C1404">
        <v>45905</v>
      </c>
      <c r="D1404" t="s">
        <v>21</v>
      </c>
      <c r="E1404">
        <v>200</v>
      </c>
      <c r="F1404">
        <v>921.52</v>
      </c>
      <c r="G1404">
        <v>0.05</v>
      </c>
      <c r="H1404">
        <v>184211.85</v>
      </c>
      <c r="I1404" t="s">
        <v>1728</v>
      </c>
      <c r="J1404">
        <v>735.15</v>
      </c>
      <c r="K1404">
        <v>147030</v>
      </c>
      <c r="L1404">
        <v>2725.27</v>
      </c>
      <c r="M1404">
        <v>1194.1600000000001</v>
      </c>
      <c r="N1404">
        <v>8034.68</v>
      </c>
      <c r="O1404">
        <v>158984.10999999999</v>
      </c>
      <c r="P1404">
        <v>37181.85</v>
      </c>
      <c r="Q1404">
        <v>25227.74</v>
      </c>
      <c r="R1404" t="s">
        <v>65</v>
      </c>
      <c r="S1404">
        <v>184211.85</v>
      </c>
      <c r="T1404">
        <v>0</v>
      </c>
      <c r="U1404" t="s">
        <v>66</v>
      </c>
      <c r="V1404" t="s">
        <v>6</v>
      </c>
      <c r="W1404" t="s">
        <v>74</v>
      </c>
      <c r="X1404" t="s">
        <v>185</v>
      </c>
      <c r="Y1404" t="s">
        <v>31</v>
      </c>
      <c r="Z1404">
        <v>2.0699999999999998</v>
      </c>
      <c r="AA1404">
        <f t="shared" si="63"/>
        <v>25227.74</v>
      </c>
      <c r="AB1404">
        <f t="shared" si="64"/>
        <v>0.13694960449069915</v>
      </c>
      <c r="AC1404">
        <f t="shared" si="65"/>
        <v>0</v>
      </c>
      <c r="AD1404">
        <v>2025</v>
      </c>
      <c r="AE1404">
        <v>8</v>
      </c>
      <c r="AF1404" t="s">
        <v>82</v>
      </c>
      <c r="AG1404" t="s">
        <v>87</v>
      </c>
    </row>
    <row r="1405" spans="1:33">
      <c r="A1405" t="s">
        <v>1556</v>
      </c>
      <c r="B1405">
        <v>45334</v>
      </c>
      <c r="C1405">
        <v>45338</v>
      </c>
      <c r="D1405" t="s">
        <v>23</v>
      </c>
      <c r="E1405">
        <v>200</v>
      </c>
      <c r="F1405">
        <v>1183.57</v>
      </c>
      <c r="G1405">
        <v>1.49</v>
      </c>
      <c r="H1405">
        <v>233186.96</v>
      </c>
      <c r="I1405" t="s">
        <v>1726</v>
      </c>
      <c r="J1405">
        <v>1000.31</v>
      </c>
      <c r="K1405">
        <v>200062</v>
      </c>
      <c r="L1405">
        <v>1933.7</v>
      </c>
      <c r="M1405">
        <v>713.04</v>
      </c>
      <c r="N1405">
        <v>10510.03</v>
      </c>
      <c r="O1405">
        <v>213218.77</v>
      </c>
      <c r="P1405">
        <v>33124.959999999999</v>
      </c>
      <c r="Q1405">
        <v>19968.189999999999</v>
      </c>
      <c r="R1405" t="s">
        <v>65</v>
      </c>
      <c r="S1405">
        <v>233186.96</v>
      </c>
      <c r="T1405">
        <v>0</v>
      </c>
      <c r="U1405" t="s">
        <v>66</v>
      </c>
      <c r="V1405" t="s">
        <v>10</v>
      </c>
      <c r="W1405" t="s">
        <v>67</v>
      </c>
      <c r="X1405" t="s">
        <v>127</v>
      </c>
      <c r="Y1405" t="s">
        <v>22</v>
      </c>
      <c r="Z1405">
        <v>1.52</v>
      </c>
      <c r="AA1405">
        <f t="shared" si="63"/>
        <v>19968.189999999999</v>
      </c>
      <c r="AB1405">
        <f t="shared" si="64"/>
        <v>8.5631675115967032E-2</v>
      </c>
      <c r="AC1405">
        <f t="shared" si="65"/>
        <v>0</v>
      </c>
      <c r="AD1405">
        <v>2024</v>
      </c>
      <c r="AE1405">
        <v>2</v>
      </c>
      <c r="AF1405" t="s">
        <v>172</v>
      </c>
      <c r="AG1405" t="s">
        <v>173</v>
      </c>
    </row>
    <row r="1406" spans="1:33">
      <c r="A1406" t="s">
        <v>1557</v>
      </c>
      <c r="B1406">
        <v>45750</v>
      </c>
      <c r="C1406">
        <v>45759</v>
      </c>
      <c r="D1406" t="s">
        <v>21</v>
      </c>
      <c r="E1406">
        <v>1000</v>
      </c>
      <c r="F1406">
        <v>937.37</v>
      </c>
      <c r="G1406">
        <v>1.39</v>
      </c>
      <c r="H1406">
        <v>924340.56</v>
      </c>
      <c r="I1406" t="s">
        <v>1728</v>
      </c>
      <c r="J1406">
        <v>716.66</v>
      </c>
      <c r="K1406">
        <v>716660</v>
      </c>
      <c r="L1406">
        <v>13423.8</v>
      </c>
      <c r="M1406">
        <v>5690.12</v>
      </c>
      <c r="N1406">
        <v>7987.38</v>
      </c>
      <c r="O1406">
        <v>743761.3</v>
      </c>
      <c r="P1406">
        <v>207680.56</v>
      </c>
      <c r="Q1406">
        <v>180579.26</v>
      </c>
      <c r="R1406" t="s">
        <v>65</v>
      </c>
      <c r="S1406">
        <v>924340.56</v>
      </c>
      <c r="T1406">
        <v>0</v>
      </c>
      <c r="U1406" t="s">
        <v>66</v>
      </c>
      <c r="V1406" t="s">
        <v>16</v>
      </c>
      <c r="W1406" t="s">
        <v>92</v>
      </c>
      <c r="X1406" t="s">
        <v>89</v>
      </c>
      <c r="Y1406" t="s">
        <v>28</v>
      </c>
      <c r="Z1406">
        <v>0.38</v>
      </c>
      <c r="AA1406">
        <f t="shared" si="63"/>
        <v>180579.26</v>
      </c>
      <c r="AB1406">
        <f t="shared" si="64"/>
        <v>0.19536009541764562</v>
      </c>
      <c r="AC1406">
        <f t="shared" si="65"/>
        <v>0</v>
      </c>
      <c r="AD1406">
        <v>2025</v>
      </c>
      <c r="AE1406">
        <v>4</v>
      </c>
      <c r="AF1406" t="s">
        <v>154</v>
      </c>
      <c r="AG1406" t="s">
        <v>155</v>
      </c>
    </row>
    <row r="1407" spans="1:33">
      <c r="A1407" t="s">
        <v>1558</v>
      </c>
      <c r="B1407">
        <v>45957</v>
      </c>
      <c r="D1407" t="s">
        <v>29</v>
      </c>
      <c r="E1407">
        <v>250</v>
      </c>
      <c r="F1407">
        <v>2997.03</v>
      </c>
      <c r="G1407">
        <v>0.63</v>
      </c>
      <c r="H1407">
        <v>744537.18</v>
      </c>
      <c r="I1407" t="s">
        <v>1727</v>
      </c>
      <c r="J1407">
        <v>2344.64</v>
      </c>
      <c r="K1407">
        <v>586160</v>
      </c>
      <c r="L1407">
        <v>5365.98</v>
      </c>
      <c r="M1407">
        <v>565.46</v>
      </c>
      <c r="N1407">
        <v>4442.1099999999997</v>
      </c>
      <c r="O1407">
        <v>596533.55000000005</v>
      </c>
      <c r="P1407">
        <v>158377.18</v>
      </c>
      <c r="Q1407">
        <v>148003.63</v>
      </c>
      <c r="R1407" t="s">
        <v>65</v>
      </c>
      <c r="S1407">
        <v>744537.18</v>
      </c>
      <c r="T1407">
        <v>0</v>
      </c>
      <c r="U1407" t="s">
        <v>91</v>
      </c>
      <c r="V1407" t="s">
        <v>12</v>
      </c>
      <c r="W1407" t="s">
        <v>74</v>
      </c>
      <c r="X1407" t="s">
        <v>89</v>
      </c>
      <c r="Y1407" t="s">
        <v>28</v>
      </c>
      <c r="Z1407">
        <v>1.1200000000000001</v>
      </c>
      <c r="AA1407">
        <f t="shared" si="63"/>
        <v>148003.63</v>
      </c>
      <c r="AB1407">
        <f t="shared" si="64"/>
        <v>0.19878608345657095</v>
      </c>
      <c r="AC1407">
        <f t="shared" si="65"/>
        <v>0</v>
      </c>
      <c r="AD1407">
        <v>2025</v>
      </c>
      <c r="AE1407">
        <v>10</v>
      </c>
      <c r="AF1407" t="s">
        <v>138</v>
      </c>
      <c r="AG1407" t="s">
        <v>160</v>
      </c>
    </row>
    <row r="1408" spans="1:33">
      <c r="A1408" t="s">
        <v>1559</v>
      </c>
      <c r="B1408">
        <v>45833</v>
      </c>
      <c r="C1408">
        <v>45846</v>
      </c>
      <c r="D1408" t="s">
        <v>21</v>
      </c>
      <c r="E1408">
        <v>500</v>
      </c>
      <c r="F1408">
        <v>798.37</v>
      </c>
      <c r="G1408">
        <v>1.53</v>
      </c>
      <c r="H1408">
        <v>393077.47</v>
      </c>
      <c r="I1408" t="s">
        <v>1726</v>
      </c>
      <c r="J1408">
        <v>750.47</v>
      </c>
      <c r="K1408">
        <v>375235</v>
      </c>
      <c r="L1408">
        <v>9767.1200000000008</v>
      </c>
      <c r="M1408">
        <v>2314.64</v>
      </c>
      <c r="N1408">
        <v>11179.69</v>
      </c>
      <c r="O1408">
        <v>398496.45</v>
      </c>
      <c r="P1408">
        <v>17842.47</v>
      </c>
      <c r="Q1408">
        <v>-5418.98</v>
      </c>
      <c r="R1408" t="s">
        <v>65</v>
      </c>
      <c r="S1408">
        <v>393077.47</v>
      </c>
      <c r="T1408">
        <v>0</v>
      </c>
      <c r="U1408" t="s">
        <v>66</v>
      </c>
      <c r="V1408" t="s">
        <v>10</v>
      </c>
      <c r="W1408" t="s">
        <v>74</v>
      </c>
      <c r="X1408" t="s">
        <v>123</v>
      </c>
      <c r="Y1408" t="s">
        <v>22</v>
      </c>
      <c r="Z1408">
        <v>0.9</v>
      </c>
      <c r="AA1408">
        <f t="shared" si="63"/>
        <v>-5418.98</v>
      </c>
      <c r="AB1408">
        <f t="shared" si="64"/>
        <v>-1.378603561277628E-2</v>
      </c>
      <c r="AC1408">
        <f t="shared" si="65"/>
        <v>0</v>
      </c>
      <c r="AD1408">
        <v>2025</v>
      </c>
      <c r="AE1408">
        <v>6</v>
      </c>
      <c r="AF1408" t="s">
        <v>111</v>
      </c>
      <c r="AG1408" t="s">
        <v>112</v>
      </c>
    </row>
    <row r="1409" spans="1:33">
      <c r="A1409" t="s">
        <v>1560</v>
      </c>
      <c r="B1409">
        <v>45715</v>
      </c>
      <c r="C1409">
        <v>45722</v>
      </c>
      <c r="D1409" t="s">
        <v>23</v>
      </c>
      <c r="E1409">
        <v>150</v>
      </c>
      <c r="F1409">
        <v>1344.63</v>
      </c>
      <c r="G1409">
        <v>0.57999999999999996</v>
      </c>
      <c r="H1409">
        <v>200524.67</v>
      </c>
      <c r="I1409" t="s">
        <v>1726</v>
      </c>
      <c r="J1409">
        <v>1018.1</v>
      </c>
      <c r="K1409">
        <v>152715</v>
      </c>
      <c r="L1409">
        <v>950.41</v>
      </c>
      <c r="M1409">
        <v>409.37</v>
      </c>
      <c r="N1409">
        <v>2935.14</v>
      </c>
      <c r="O1409">
        <v>157009.92000000001</v>
      </c>
      <c r="P1409">
        <v>47809.67</v>
      </c>
      <c r="Q1409">
        <v>43514.75</v>
      </c>
      <c r="R1409" t="s">
        <v>65</v>
      </c>
      <c r="S1409">
        <v>200524.67</v>
      </c>
      <c r="T1409">
        <v>0</v>
      </c>
      <c r="U1409" t="s">
        <v>73</v>
      </c>
      <c r="V1409" t="s">
        <v>8</v>
      </c>
      <c r="W1409" t="s">
        <v>74</v>
      </c>
      <c r="X1409" t="s">
        <v>176</v>
      </c>
      <c r="Y1409" t="s">
        <v>22</v>
      </c>
      <c r="Z1409">
        <v>1.63</v>
      </c>
      <c r="AA1409">
        <f t="shared" si="63"/>
        <v>43514.75</v>
      </c>
      <c r="AB1409">
        <f t="shared" si="64"/>
        <v>0.21700447132016223</v>
      </c>
      <c r="AC1409">
        <f t="shared" si="65"/>
        <v>0</v>
      </c>
      <c r="AD1409">
        <v>2025</v>
      </c>
      <c r="AE1409">
        <v>2</v>
      </c>
      <c r="AF1409" t="s">
        <v>172</v>
      </c>
      <c r="AG1409" t="s">
        <v>244</v>
      </c>
    </row>
    <row r="1410" spans="1:33">
      <c r="A1410" t="s">
        <v>1561</v>
      </c>
      <c r="B1410">
        <v>45462</v>
      </c>
      <c r="C1410">
        <v>45469</v>
      </c>
      <c r="D1410" t="s">
        <v>23</v>
      </c>
      <c r="E1410">
        <v>150</v>
      </c>
      <c r="F1410">
        <v>1176.3599999999999</v>
      </c>
      <c r="G1410">
        <v>1.73</v>
      </c>
      <c r="H1410">
        <v>173401.35</v>
      </c>
      <c r="I1410" t="s">
        <v>1726</v>
      </c>
      <c r="J1410">
        <v>1061.8499999999999</v>
      </c>
      <c r="K1410">
        <v>159277.5</v>
      </c>
      <c r="L1410">
        <v>2904.92</v>
      </c>
      <c r="M1410">
        <v>374.3</v>
      </c>
      <c r="N1410">
        <v>1663.97</v>
      </c>
      <c r="O1410">
        <v>164220.69</v>
      </c>
      <c r="P1410">
        <v>14123.85</v>
      </c>
      <c r="Q1410">
        <v>9180.66</v>
      </c>
      <c r="R1410" t="s">
        <v>65</v>
      </c>
      <c r="S1410">
        <v>173401.35</v>
      </c>
      <c r="T1410">
        <v>0</v>
      </c>
      <c r="U1410" t="s">
        <v>66</v>
      </c>
      <c r="V1410" t="s">
        <v>8</v>
      </c>
      <c r="W1410" t="s">
        <v>74</v>
      </c>
      <c r="X1410" t="s">
        <v>195</v>
      </c>
      <c r="Y1410" t="s">
        <v>26</v>
      </c>
      <c r="Z1410">
        <v>1.42</v>
      </c>
      <c r="AA1410">
        <f t="shared" ref="AA1410:AA1473" si="66">ROUND(H1410-O1410,2)</f>
        <v>9180.66</v>
      </c>
      <c r="AB1410">
        <f t="shared" ref="AB1410:AB1473" si="67">AA1410/H1410</f>
        <v>5.2944570500748696E-2</v>
      </c>
      <c r="AC1410">
        <f t="shared" ref="AC1410:AC1473" si="68">ROUND(AA1410-Q1410,2)</f>
        <v>0</v>
      </c>
      <c r="AD1410">
        <v>2024</v>
      </c>
      <c r="AE1410">
        <v>6</v>
      </c>
      <c r="AF1410" t="s">
        <v>111</v>
      </c>
      <c r="AG1410" t="s">
        <v>148</v>
      </c>
    </row>
    <row r="1411" spans="1:33">
      <c r="A1411" t="s">
        <v>1562</v>
      </c>
      <c r="B1411">
        <v>45962</v>
      </c>
      <c r="C1411">
        <v>45973</v>
      </c>
      <c r="D1411" t="s">
        <v>21</v>
      </c>
      <c r="E1411">
        <v>200</v>
      </c>
      <c r="F1411">
        <v>847.28</v>
      </c>
      <c r="G1411">
        <v>0.64</v>
      </c>
      <c r="H1411">
        <v>168371.48</v>
      </c>
      <c r="I1411" t="s">
        <v>1727</v>
      </c>
      <c r="J1411">
        <v>716.83</v>
      </c>
      <c r="K1411">
        <v>143366</v>
      </c>
      <c r="L1411">
        <v>2219.71</v>
      </c>
      <c r="M1411">
        <v>677.4</v>
      </c>
      <c r="N1411">
        <v>7413.77</v>
      </c>
      <c r="O1411">
        <v>153676.88</v>
      </c>
      <c r="P1411">
        <v>25005.48</v>
      </c>
      <c r="Q1411">
        <v>14694.6</v>
      </c>
      <c r="R1411" t="s">
        <v>65</v>
      </c>
      <c r="S1411">
        <v>168371.48</v>
      </c>
      <c r="T1411">
        <v>0</v>
      </c>
      <c r="U1411" t="s">
        <v>66</v>
      </c>
      <c r="V1411" t="s">
        <v>14</v>
      </c>
      <c r="W1411" t="s">
        <v>67</v>
      </c>
      <c r="X1411" t="s">
        <v>97</v>
      </c>
      <c r="Y1411" t="s">
        <v>24</v>
      </c>
      <c r="Z1411">
        <v>1.79</v>
      </c>
      <c r="AA1411">
        <f t="shared" si="66"/>
        <v>14694.6</v>
      </c>
      <c r="AB1411">
        <f t="shared" si="67"/>
        <v>8.7274875768746582E-2</v>
      </c>
      <c r="AC1411">
        <f t="shared" si="68"/>
        <v>0</v>
      </c>
      <c r="AD1411">
        <v>2025</v>
      </c>
      <c r="AE1411">
        <v>11</v>
      </c>
      <c r="AF1411" t="s">
        <v>128</v>
      </c>
      <c r="AG1411" t="s">
        <v>135</v>
      </c>
    </row>
    <row r="1412" spans="1:33">
      <c r="A1412" t="s">
        <v>1563</v>
      </c>
      <c r="B1412">
        <v>45768</v>
      </c>
      <c r="C1412">
        <v>45777</v>
      </c>
      <c r="D1412" t="s">
        <v>23</v>
      </c>
      <c r="E1412">
        <v>500</v>
      </c>
      <c r="F1412">
        <v>1234.57</v>
      </c>
      <c r="G1412">
        <v>3.52</v>
      </c>
      <c r="H1412">
        <v>595556.56999999995</v>
      </c>
      <c r="I1412" t="s">
        <v>1726</v>
      </c>
      <c r="J1412">
        <v>1018.2</v>
      </c>
      <c r="K1412">
        <v>509100</v>
      </c>
      <c r="L1412">
        <v>3428.14</v>
      </c>
      <c r="M1412">
        <v>2262.2600000000002</v>
      </c>
      <c r="N1412">
        <v>1642.4</v>
      </c>
      <c r="O1412">
        <v>516432.8</v>
      </c>
      <c r="P1412">
        <v>86456.57</v>
      </c>
      <c r="Q1412">
        <v>79123.77</v>
      </c>
      <c r="R1412" t="s">
        <v>134</v>
      </c>
      <c r="S1412">
        <v>0</v>
      </c>
      <c r="T1412">
        <v>595556.56999999995</v>
      </c>
      <c r="U1412" t="s">
        <v>66</v>
      </c>
      <c r="V1412" t="s">
        <v>8</v>
      </c>
      <c r="W1412" t="s">
        <v>74</v>
      </c>
      <c r="X1412" t="s">
        <v>285</v>
      </c>
      <c r="Y1412" t="s">
        <v>28</v>
      </c>
      <c r="Z1412">
        <v>0.14000000000000001</v>
      </c>
      <c r="AA1412">
        <f t="shared" si="66"/>
        <v>79123.77</v>
      </c>
      <c r="AB1412">
        <f t="shared" si="67"/>
        <v>0.13285685018973095</v>
      </c>
      <c r="AC1412">
        <f t="shared" si="68"/>
        <v>0</v>
      </c>
      <c r="AD1412">
        <v>2025</v>
      </c>
      <c r="AE1412">
        <v>4</v>
      </c>
      <c r="AF1412" t="s">
        <v>154</v>
      </c>
      <c r="AG1412" t="s">
        <v>155</v>
      </c>
    </row>
    <row r="1413" spans="1:33">
      <c r="A1413" t="s">
        <v>1564</v>
      </c>
      <c r="B1413">
        <v>45962</v>
      </c>
      <c r="D1413" t="s">
        <v>21</v>
      </c>
      <c r="E1413">
        <v>500</v>
      </c>
      <c r="F1413">
        <v>969.2</v>
      </c>
      <c r="G1413">
        <v>1.66</v>
      </c>
      <c r="H1413">
        <v>0</v>
      </c>
      <c r="I1413" t="s">
        <v>1727</v>
      </c>
      <c r="J1413">
        <v>738.94</v>
      </c>
      <c r="K1413">
        <v>0</v>
      </c>
      <c r="L1413">
        <v>0</v>
      </c>
      <c r="M1413">
        <v>0</v>
      </c>
      <c r="N1413">
        <v>0</v>
      </c>
      <c r="O1413">
        <v>0</v>
      </c>
      <c r="P1413">
        <v>0</v>
      </c>
      <c r="Q1413">
        <v>0</v>
      </c>
      <c r="R1413" t="s">
        <v>85</v>
      </c>
      <c r="S1413">
        <v>0</v>
      </c>
      <c r="T1413">
        <v>0</v>
      </c>
      <c r="U1413" t="s">
        <v>117</v>
      </c>
      <c r="V1413" t="s">
        <v>6</v>
      </c>
      <c r="W1413" t="s">
        <v>80</v>
      </c>
      <c r="X1413" t="s">
        <v>108</v>
      </c>
      <c r="Y1413" t="s">
        <v>22</v>
      </c>
      <c r="Z1413">
        <v>1.55</v>
      </c>
      <c r="AA1413">
        <f t="shared" si="66"/>
        <v>0</v>
      </c>
      <c r="AB1413" t="e">
        <f t="shared" si="67"/>
        <v>#DIV/0!</v>
      </c>
      <c r="AC1413">
        <f t="shared" si="68"/>
        <v>0</v>
      </c>
      <c r="AD1413">
        <v>2025</v>
      </c>
      <c r="AE1413">
        <v>11</v>
      </c>
      <c r="AF1413" t="s">
        <v>128</v>
      </c>
      <c r="AG1413" t="s">
        <v>135</v>
      </c>
    </row>
    <row r="1414" spans="1:33">
      <c r="A1414" t="s">
        <v>1565</v>
      </c>
      <c r="B1414">
        <v>45855</v>
      </c>
      <c r="C1414">
        <v>45856</v>
      </c>
      <c r="D1414" t="s">
        <v>21</v>
      </c>
      <c r="E1414">
        <v>300</v>
      </c>
      <c r="F1414">
        <v>826.15</v>
      </c>
      <c r="G1414">
        <v>1</v>
      </c>
      <c r="H1414">
        <v>245366.55</v>
      </c>
      <c r="I1414" t="s">
        <v>1726</v>
      </c>
      <c r="J1414">
        <v>691.11</v>
      </c>
      <c r="K1414">
        <v>207333</v>
      </c>
      <c r="L1414">
        <v>1957.32</v>
      </c>
      <c r="M1414">
        <v>1161.8800000000001</v>
      </c>
      <c r="N1414">
        <v>7480.16</v>
      </c>
      <c r="O1414">
        <v>217932.36</v>
      </c>
      <c r="P1414">
        <v>38033.550000000003</v>
      </c>
      <c r="Q1414">
        <v>27434.19</v>
      </c>
      <c r="R1414" t="s">
        <v>134</v>
      </c>
      <c r="S1414">
        <v>0</v>
      </c>
      <c r="T1414">
        <v>245366.55</v>
      </c>
      <c r="U1414" t="s">
        <v>66</v>
      </c>
      <c r="V1414" t="s">
        <v>16</v>
      </c>
      <c r="W1414" t="s">
        <v>80</v>
      </c>
      <c r="X1414" t="s">
        <v>205</v>
      </c>
      <c r="Y1414" t="s">
        <v>24</v>
      </c>
      <c r="Z1414">
        <v>0.64</v>
      </c>
      <c r="AA1414">
        <f t="shared" si="66"/>
        <v>27434.19</v>
      </c>
      <c r="AB1414">
        <f t="shared" si="67"/>
        <v>0.11180900575078388</v>
      </c>
      <c r="AC1414">
        <f t="shared" si="68"/>
        <v>0</v>
      </c>
      <c r="AD1414">
        <v>2025</v>
      </c>
      <c r="AE1414">
        <v>7</v>
      </c>
      <c r="AF1414" t="s">
        <v>69</v>
      </c>
      <c r="AG1414" t="s">
        <v>151</v>
      </c>
    </row>
    <row r="1415" spans="1:33">
      <c r="A1415" t="s">
        <v>1566</v>
      </c>
      <c r="B1415">
        <v>45821</v>
      </c>
      <c r="C1415">
        <v>45829</v>
      </c>
      <c r="D1415" t="s">
        <v>29</v>
      </c>
      <c r="E1415">
        <v>500</v>
      </c>
      <c r="F1415">
        <v>2926.13</v>
      </c>
      <c r="G1415">
        <v>3.48</v>
      </c>
      <c r="H1415">
        <v>1412150.34</v>
      </c>
      <c r="I1415" t="s">
        <v>1726</v>
      </c>
      <c r="J1415">
        <v>2380.56</v>
      </c>
      <c r="K1415">
        <v>1190280</v>
      </c>
      <c r="L1415">
        <v>11032.91</v>
      </c>
      <c r="M1415">
        <v>2231.8200000000002</v>
      </c>
      <c r="N1415">
        <v>5811.87</v>
      </c>
      <c r="O1415">
        <v>1209356.6000000001</v>
      </c>
      <c r="P1415">
        <v>221870.34</v>
      </c>
      <c r="Q1415">
        <v>202793.74</v>
      </c>
      <c r="R1415" t="s">
        <v>65</v>
      </c>
      <c r="S1415">
        <v>1412150.34</v>
      </c>
      <c r="T1415">
        <v>0</v>
      </c>
      <c r="U1415" t="s">
        <v>66</v>
      </c>
      <c r="V1415" t="s">
        <v>6</v>
      </c>
      <c r="W1415" t="s">
        <v>92</v>
      </c>
      <c r="X1415" t="s">
        <v>205</v>
      </c>
      <c r="Y1415" t="s">
        <v>24</v>
      </c>
      <c r="Z1415">
        <v>0.48</v>
      </c>
      <c r="AA1415">
        <f t="shared" si="66"/>
        <v>202793.74</v>
      </c>
      <c r="AB1415">
        <f t="shared" si="67"/>
        <v>0.14360633868487399</v>
      </c>
      <c r="AC1415">
        <f t="shared" si="68"/>
        <v>0</v>
      </c>
      <c r="AD1415">
        <v>2025</v>
      </c>
      <c r="AE1415">
        <v>6</v>
      </c>
      <c r="AF1415" t="s">
        <v>111</v>
      </c>
      <c r="AG1415" t="s">
        <v>112</v>
      </c>
    </row>
    <row r="1416" spans="1:33">
      <c r="A1416" t="s">
        <v>1567</v>
      </c>
      <c r="B1416">
        <v>45691</v>
      </c>
      <c r="D1416" t="s">
        <v>21</v>
      </c>
      <c r="E1416">
        <v>500</v>
      </c>
      <c r="F1416">
        <v>879.04</v>
      </c>
      <c r="G1416">
        <v>4.05</v>
      </c>
      <c r="H1416">
        <v>421719.44</v>
      </c>
      <c r="I1416" t="s">
        <v>1727</v>
      </c>
      <c r="J1416">
        <v>713.69</v>
      </c>
      <c r="K1416">
        <v>356845</v>
      </c>
      <c r="L1416">
        <v>2530.62</v>
      </c>
      <c r="M1416">
        <v>2244.7800000000002</v>
      </c>
      <c r="N1416">
        <v>11887.69</v>
      </c>
      <c r="O1416">
        <v>373508.09</v>
      </c>
      <c r="P1416">
        <v>64874.44</v>
      </c>
      <c r="Q1416">
        <v>48211.35</v>
      </c>
      <c r="R1416" t="s">
        <v>85</v>
      </c>
      <c r="S1416">
        <v>196006.06</v>
      </c>
      <c r="T1416">
        <v>225713.38</v>
      </c>
      <c r="U1416" t="s">
        <v>91</v>
      </c>
      <c r="V1416" t="s">
        <v>6</v>
      </c>
      <c r="W1416" t="s">
        <v>74</v>
      </c>
      <c r="X1416" t="s">
        <v>123</v>
      </c>
      <c r="Y1416" t="s">
        <v>22</v>
      </c>
      <c r="Z1416">
        <v>2.4300000000000002</v>
      </c>
      <c r="AA1416">
        <f t="shared" si="66"/>
        <v>48211.35</v>
      </c>
      <c r="AB1416">
        <f t="shared" si="67"/>
        <v>0.11432090965500666</v>
      </c>
      <c r="AC1416">
        <f t="shared" si="68"/>
        <v>0</v>
      </c>
      <c r="AD1416">
        <v>2025</v>
      </c>
      <c r="AE1416">
        <v>2</v>
      </c>
      <c r="AF1416" t="s">
        <v>172</v>
      </c>
      <c r="AG1416" t="s">
        <v>244</v>
      </c>
    </row>
    <row r="1417" spans="1:33">
      <c r="A1417" t="s">
        <v>1568</v>
      </c>
      <c r="B1417">
        <v>45536</v>
      </c>
      <c r="C1417">
        <v>45546</v>
      </c>
      <c r="D1417" t="s">
        <v>25</v>
      </c>
      <c r="E1417">
        <v>750</v>
      </c>
      <c r="F1417">
        <v>964.95</v>
      </c>
      <c r="G1417">
        <v>3.97</v>
      </c>
      <c r="H1417">
        <v>694981.11</v>
      </c>
      <c r="I1417" t="s">
        <v>1728</v>
      </c>
      <c r="J1417">
        <v>768.53</v>
      </c>
      <c r="K1417">
        <v>576397.5</v>
      </c>
      <c r="L1417">
        <v>14568.52</v>
      </c>
      <c r="M1417">
        <v>4467.18</v>
      </c>
      <c r="N1417">
        <v>11950.85</v>
      </c>
      <c r="O1417">
        <v>607384.05000000005</v>
      </c>
      <c r="P1417">
        <v>118583.61</v>
      </c>
      <c r="Q1417">
        <v>87597.06</v>
      </c>
      <c r="R1417" t="s">
        <v>134</v>
      </c>
      <c r="S1417">
        <v>0</v>
      </c>
      <c r="T1417">
        <v>694981.11</v>
      </c>
      <c r="U1417" t="s">
        <v>66</v>
      </c>
      <c r="V1417" t="s">
        <v>6</v>
      </c>
      <c r="W1417" t="s">
        <v>67</v>
      </c>
      <c r="X1417" t="s">
        <v>167</v>
      </c>
      <c r="Y1417" t="s">
        <v>31</v>
      </c>
      <c r="Z1417">
        <v>0.01</v>
      </c>
      <c r="AA1417">
        <f t="shared" si="66"/>
        <v>87597.06</v>
      </c>
      <c r="AB1417">
        <f t="shared" si="67"/>
        <v>0.12604236106503672</v>
      </c>
      <c r="AC1417">
        <f t="shared" si="68"/>
        <v>0</v>
      </c>
      <c r="AD1417">
        <v>2024</v>
      </c>
      <c r="AE1417">
        <v>9</v>
      </c>
      <c r="AF1417" t="s">
        <v>131</v>
      </c>
      <c r="AG1417" t="s">
        <v>188</v>
      </c>
    </row>
    <row r="1418" spans="1:33">
      <c r="A1418" t="s">
        <v>1569</v>
      </c>
      <c r="B1418">
        <v>45787</v>
      </c>
      <c r="C1418">
        <v>45792</v>
      </c>
      <c r="D1418" t="s">
        <v>25</v>
      </c>
      <c r="E1418">
        <v>250</v>
      </c>
      <c r="F1418">
        <v>997.65</v>
      </c>
      <c r="G1418">
        <v>2.31</v>
      </c>
      <c r="H1418">
        <v>243651.07</v>
      </c>
      <c r="I1418" t="s">
        <v>1728</v>
      </c>
      <c r="J1418">
        <v>797.39</v>
      </c>
      <c r="K1418">
        <v>199347.5</v>
      </c>
      <c r="L1418">
        <v>2701.38</v>
      </c>
      <c r="M1418">
        <v>1405.86</v>
      </c>
      <c r="N1418">
        <v>11858.19</v>
      </c>
      <c r="O1418">
        <v>215312.93</v>
      </c>
      <c r="P1418">
        <v>44303.57</v>
      </c>
      <c r="Q1418">
        <v>28338.14</v>
      </c>
      <c r="R1418" t="s">
        <v>65</v>
      </c>
      <c r="S1418">
        <v>243651.07</v>
      </c>
      <c r="T1418">
        <v>0</v>
      </c>
      <c r="U1418" t="s">
        <v>66</v>
      </c>
      <c r="V1418" t="s">
        <v>12</v>
      </c>
      <c r="W1418" t="s">
        <v>92</v>
      </c>
      <c r="X1418" t="s">
        <v>285</v>
      </c>
      <c r="Y1418" t="s">
        <v>28</v>
      </c>
      <c r="Z1418">
        <v>1.2</v>
      </c>
      <c r="AA1418">
        <f t="shared" si="66"/>
        <v>28338.14</v>
      </c>
      <c r="AB1418">
        <f t="shared" si="67"/>
        <v>0.11630624072367093</v>
      </c>
      <c r="AC1418">
        <f t="shared" si="68"/>
        <v>0</v>
      </c>
      <c r="AD1418">
        <v>2025</v>
      </c>
      <c r="AE1418">
        <v>5</v>
      </c>
      <c r="AF1418" t="s">
        <v>76</v>
      </c>
      <c r="AG1418" t="s">
        <v>94</v>
      </c>
    </row>
    <row r="1419" spans="1:33">
      <c r="A1419" t="s">
        <v>1570</v>
      </c>
      <c r="B1419">
        <v>45723</v>
      </c>
      <c r="C1419">
        <v>45731</v>
      </c>
      <c r="D1419" t="s">
        <v>21</v>
      </c>
      <c r="E1419">
        <v>250</v>
      </c>
      <c r="F1419">
        <v>914.42</v>
      </c>
      <c r="G1419">
        <v>1.71</v>
      </c>
      <c r="H1419">
        <v>224695.85</v>
      </c>
      <c r="I1419" t="s">
        <v>1727</v>
      </c>
      <c r="J1419">
        <v>682.28</v>
      </c>
      <c r="K1419">
        <v>170570</v>
      </c>
      <c r="L1419">
        <v>4429.93</v>
      </c>
      <c r="M1419">
        <v>1276.6300000000001</v>
      </c>
      <c r="N1419">
        <v>9278.94</v>
      </c>
      <c r="O1419">
        <v>185555.5</v>
      </c>
      <c r="P1419">
        <v>54125.85</v>
      </c>
      <c r="Q1419">
        <v>39140.35</v>
      </c>
      <c r="R1419" t="s">
        <v>65</v>
      </c>
      <c r="S1419">
        <v>224695.85</v>
      </c>
      <c r="T1419">
        <v>0</v>
      </c>
      <c r="U1419" t="s">
        <v>66</v>
      </c>
      <c r="V1419" t="s">
        <v>12</v>
      </c>
      <c r="W1419" t="s">
        <v>74</v>
      </c>
      <c r="X1419" t="s">
        <v>327</v>
      </c>
      <c r="Y1419" t="s">
        <v>26</v>
      </c>
      <c r="Z1419">
        <v>1.19</v>
      </c>
      <c r="AA1419">
        <f t="shared" si="66"/>
        <v>39140.35</v>
      </c>
      <c r="AB1419">
        <f t="shared" si="67"/>
        <v>0.1741925807708509</v>
      </c>
      <c r="AC1419">
        <f t="shared" si="68"/>
        <v>0</v>
      </c>
      <c r="AD1419">
        <v>2025</v>
      </c>
      <c r="AE1419">
        <v>3</v>
      </c>
      <c r="AF1419" t="s">
        <v>105</v>
      </c>
      <c r="AG1419" t="s">
        <v>106</v>
      </c>
    </row>
    <row r="1420" spans="1:33">
      <c r="A1420" t="s">
        <v>1571</v>
      </c>
      <c r="B1420">
        <v>45360</v>
      </c>
      <c r="C1420">
        <v>45360</v>
      </c>
      <c r="D1420" t="s">
        <v>23</v>
      </c>
      <c r="E1420">
        <v>750</v>
      </c>
      <c r="F1420">
        <v>1374.28</v>
      </c>
      <c r="G1420">
        <v>1.5</v>
      </c>
      <c r="H1420">
        <v>1015249.35</v>
      </c>
      <c r="I1420" t="s">
        <v>1726</v>
      </c>
      <c r="J1420">
        <v>999.4</v>
      </c>
      <c r="K1420">
        <v>749550</v>
      </c>
      <c r="L1420">
        <v>17592.61</v>
      </c>
      <c r="M1420">
        <v>3105.5</v>
      </c>
      <c r="N1420">
        <v>5280.26</v>
      </c>
      <c r="O1420">
        <v>775528.37</v>
      </c>
      <c r="P1420">
        <v>265699.34999999998</v>
      </c>
      <c r="Q1420">
        <v>239720.98</v>
      </c>
      <c r="R1420" t="s">
        <v>65</v>
      </c>
      <c r="S1420">
        <v>1015249.35</v>
      </c>
      <c r="T1420">
        <v>0</v>
      </c>
      <c r="U1420" t="s">
        <v>66</v>
      </c>
      <c r="V1420" t="s">
        <v>10</v>
      </c>
      <c r="W1420" t="s">
        <v>141</v>
      </c>
      <c r="X1420" t="s">
        <v>275</v>
      </c>
      <c r="Y1420" t="s">
        <v>31</v>
      </c>
      <c r="Z1420">
        <v>2.25</v>
      </c>
      <c r="AA1420">
        <f t="shared" si="66"/>
        <v>239720.98</v>
      </c>
      <c r="AB1420">
        <f t="shared" si="67"/>
        <v>0.23612029891966935</v>
      </c>
      <c r="AC1420">
        <f t="shared" si="68"/>
        <v>0</v>
      </c>
      <c r="AD1420">
        <v>2024</v>
      </c>
      <c r="AE1420">
        <v>3</v>
      </c>
      <c r="AF1420" t="s">
        <v>105</v>
      </c>
      <c r="AG1420" t="s">
        <v>120</v>
      </c>
    </row>
    <row r="1421" spans="1:33">
      <c r="A1421" t="s">
        <v>1572</v>
      </c>
      <c r="B1421">
        <v>45922</v>
      </c>
      <c r="D1421" t="s">
        <v>21</v>
      </c>
      <c r="E1421">
        <v>750</v>
      </c>
      <c r="F1421">
        <v>959.88</v>
      </c>
      <c r="G1421">
        <v>4.08</v>
      </c>
      <c r="H1421">
        <v>690537.67</v>
      </c>
      <c r="I1421" t="s">
        <v>1727</v>
      </c>
      <c r="J1421">
        <v>676.85</v>
      </c>
      <c r="K1421">
        <v>507637.5</v>
      </c>
      <c r="L1421">
        <v>14216.49</v>
      </c>
      <c r="M1421">
        <v>1419.42</v>
      </c>
      <c r="N1421">
        <v>5656.87</v>
      </c>
      <c r="O1421">
        <v>528930.28</v>
      </c>
      <c r="P1421">
        <v>182900.17</v>
      </c>
      <c r="Q1421">
        <v>161607.39000000001</v>
      </c>
      <c r="R1421" t="s">
        <v>65</v>
      </c>
      <c r="S1421">
        <v>690537.67</v>
      </c>
      <c r="T1421">
        <v>0</v>
      </c>
      <c r="U1421" t="s">
        <v>91</v>
      </c>
      <c r="V1421" t="s">
        <v>12</v>
      </c>
      <c r="W1421" t="s">
        <v>67</v>
      </c>
      <c r="X1421" t="s">
        <v>81</v>
      </c>
      <c r="Y1421" t="s">
        <v>24</v>
      </c>
      <c r="Z1421">
        <v>0.4</v>
      </c>
      <c r="AA1421">
        <f t="shared" si="66"/>
        <v>161607.39000000001</v>
      </c>
      <c r="AB1421">
        <f t="shared" si="67"/>
        <v>0.23403124408839274</v>
      </c>
      <c r="AC1421">
        <f t="shared" si="68"/>
        <v>0</v>
      </c>
      <c r="AD1421">
        <v>2025</v>
      </c>
      <c r="AE1421">
        <v>9</v>
      </c>
      <c r="AF1421" t="s">
        <v>131</v>
      </c>
      <c r="AG1421" t="s">
        <v>132</v>
      </c>
    </row>
    <row r="1422" spans="1:33">
      <c r="A1422" t="s">
        <v>1573</v>
      </c>
      <c r="B1422">
        <v>45981</v>
      </c>
      <c r="C1422">
        <v>45981</v>
      </c>
      <c r="D1422" t="s">
        <v>23</v>
      </c>
      <c r="E1422">
        <v>50</v>
      </c>
      <c r="F1422">
        <v>1267.98</v>
      </c>
      <c r="G1422">
        <v>1.45</v>
      </c>
      <c r="H1422">
        <v>62479.71</v>
      </c>
      <c r="I1422" t="s">
        <v>1727</v>
      </c>
      <c r="J1422">
        <v>1113.8599999999999</v>
      </c>
      <c r="K1422">
        <v>55693</v>
      </c>
      <c r="L1422">
        <v>1002.95</v>
      </c>
      <c r="M1422">
        <v>274.07</v>
      </c>
      <c r="N1422">
        <v>2664.8</v>
      </c>
      <c r="O1422">
        <v>59634.82</v>
      </c>
      <c r="P1422">
        <v>6786.71</v>
      </c>
      <c r="Q1422">
        <v>2844.89</v>
      </c>
      <c r="R1422" t="s">
        <v>65</v>
      </c>
      <c r="S1422">
        <v>62479.71</v>
      </c>
      <c r="T1422">
        <v>0</v>
      </c>
      <c r="U1422" t="s">
        <v>66</v>
      </c>
      <c r="V1422" t="s">
        <v>6</v>
      </c>
      <c r="W1422" t="s">
        <v>141</v>
      </c>
      <c r="X1422" t="s">
        <v>193</v>
      </c>
      <c r="Y1422" t="s">
        <v>30</v>
      </c>
      <c r="Z1422">
        <v>2.33</v>
      </c>
      <c r="AA1422">
        <f t="shared" si="66"/>
        <v>2844.89</v>
      </c>
      <c r="AB1422">
        <f t="shared" si="67"/>
        <v>4.5533021840210207E-2</v>
      </c>
      <c r="AC1422">
        <f t="shared" si="68"/>
        <v>0</v>
      </c>
      <c r="AD1422">
        <v>2025</v>
      </c>
      <c r="AE1422">
        <v>11</v>
      </c>
      <c r="AF1422" t="s">
        <v>128</v>
      </c>
      <c r="AG1422" t="s">
        <v>135</v>
      </c>
    </row>
    <row r="1423" spans="1:33">
      <c r="A1423" t="s">
        <v>1574</v>
      </c>
      <c r="B1423">
        <v>45503</v>
      </c>
      <c r="C1423">
        <v>45510</v>
      </c>
      <c r="D1423" t="s">
        <v>25</v>
      </c>
      <c r="E1423">
        <v>100</v>
      </c>
      <c r="F1423">
        <v>925.91</v>
      </c>
      <c r="G1423">
        <v>0.7</v>
      </c>
      <c r="H1423">
        <v>91942.86</v>
      </c>
      <c r="I1423" t="s">
        <v>1726</v>
      </c>
      <c r="J1423">
        <v>777.4</v>
      </c>
      <c r="K1423">
        <v>77740</v>
      </c>
      <c r="L1423">
        <v>1608.57</v>
      </c>
      <c r="M1423">
        <v>487.64</v>
      </c>
      <c r="N1423">
        <v>6304.84</v>
      </c>
      <c r="O1423">
        <v>86141.05</v>
      </c>
      <c r="P1423">
        <v>14202.86</v>
      </c>
      <c r="Q1423">
        <v>5801.81</v>
      </c>
      <c r="R1423" t="s">
        <v>65</v>
      </c>
      <c r="S1423">
        <v>91942.86</v>
      </c>
      <c r="T1423">
        <v>0</v>
      </c>
      <c r="U1423" t="s">
        <v>66</v>
      </c>
      <c r="V1423" t="s">
        <v>6</v>
      </c>
      <c r="W1423" t="s">
        <v>92</v>
      </c>
      <c r="X1423" t="s">
        <v>193</v>
      </c>
      <c r="Y1423" t="s">
        <v>30</v>
      </c>
      <c r="Z1423">
        <v>2.08</v>
      </c>
      <c r="AA1423">
        <f t="shared" si="66"/>
        <v>5801.81</v>
      </c>
      <c r="AB1423">
        <f t="shared" si="67"/>
        <v>6.3102344216832071E-2</v>
      </c>
      <c r="AC1423">
        <f t="shared" si="68"/>
        <v>0</v>
      </c>
      <c r="AD1423">
        <v>2024</v>
      </c>
      <c r="AE1423">
        <v>7</v>
      </c>
      <c r="AF1423" t="s">
        <v>69</v>
      </c>
      <c r="AG1423" t="s">
        <v>70</v>
      </c>
    </row>
    <row r="1424" spans="1:33">
      <c r="A1424" t="s">
        <v>1575</v>
      </c>
      <c r="B1424">
        <v>45612</v>
      </c>
      <c r="C1424">
        <v>45626</v>
      </c>
      <c r="D1424" t="s">
        <v>21</v>
      </c>
      <c r="E1424">
        <v>1000</v>
      </c>
      <c r="F1424">
        <v>866.07</v>
      </c>
      <c r="G1424">
        <v>3.98</v>
      </c>
      <c r="H1424">
        <v>831600.41</v>
      </c>
      <c r="I1424" t="s">
        <v>1727</v>
      </c>
      <c r="J1424">
        <v>676.14</v>
      </c>
      <c r="K1424">
        <v>676140</v>
      </c>
      <c r="L1424">
        <v>19859.47</v>
      </c>
      <c r="M1424">
        <v>1791.37</v>
      </c>
      <c r="N1424">
        <v>4171.42</v>
      </c>
      <c r="O1424">
        <v>701962.26</v>
      </c>
      <c r="P1424">
        <v>155460.41</v>
      </c>
      <c r="Q1424">
        <v>129638.15</v>
      </c>
      <c r="R1424" t="s">
        <v>134</v>
      </c>
      <c r="S1424">
        <v>0</v>
      </c>
      <c r="T1424">
        <v>831600.41</v>
      </c>
      <c r="U1424" t="s">
        <v>73</v>
      </c>
      <c r="V1424" t="s">
        <v>10</v>
      </c>
      <c r="W1424" t="s">
        <v>80</v>
      </c>
      <c r="X1424" t="s">
        <v>108</v>
      </c>
      <c r="Y1424" t="s">
        <v>22</v>
      </c>
      <c r="Z1424">
        <v>0.76</v>
      </c>
      <c r="AA1424">
        <f t="shared" si="66"/>
        <v>129638.15</v>
      </c>
      <c r="AB1424">
        <f t="shared" si="67"/>
        <v>0.15588995440730963</v>
      </c>
      <c r="AC1424">
        <f t="shared" si="68"/>
        <v>0</v>
      </c>
      <c r="AD1424">
        <v>2024</v>
      </c>
      <c r="AE1424">
        <v>11</v>
      </c>
      <c r="AF1424" t="s">
        <v>128</v>
      </c>
      <c r="AG1424" t="s">
        <v>129</v>
      </c>
    </row>
    <row r="1425" spans="1:33">
      <c r="A1425" t="s">
        <v>1576</v>
      </c>
      <c r="B1425">
        <v>45726</v>
      </c>
      <c r="C1425">
        <v>45727</v>
      </c>
      <c r="D1425" t="s">
        <v>21</v>
      </c>
      <c r="E1425">
        <v>1000</v>
      </c>
      <c r="F1425">
        <v>907.69</v>
      </c>
      <c r="G1425">
        <v>4.3899999999999997</v>
      </c>
      <c r="H1425">
        <v>867842.41</v>
      </c>
      <c r="I1425" t="s">
        <v>1726</v>
      </c>
      <c r="J1425">
        <v>723.7</v>
      </c>
      <c r="K1425">
        <v>723700</v>
      </c>
      <c r="L1425">
        <v>10337.76</v>
      </c>
      <c r="M1425">
        <v>5512.39</v>
      </c>
      <c r="N1425">
        <v>10311.84</v>
      </c>
      <c r="O1425">
        <v>749861.99</v>
      </c>
      <c r="P1425">
        <v>144142.41</v>
      </c>
      <c r="Q1425">
        <v>117980.42</v>
      </c>
      <c r="R1425" t="s">
        <v>65</v>
      </c>
      <c r="S1425">
        <v>867842.41</v>
      </c>
      <c r="T1425">
        <v>0</v>
      </c>
      <c r="U1425" t="s">
        <v>73</v>
      </c>
      <c r="V1425" t="s">
        <v>8</v>
      </c>
      <c r="W1425" t="s">
        <v>74</v>
      </c>
      <c r="X1425" t="s">
        <v>81</v>
      </c>
      <c r="Y1425" t="s">
        <v>24</v>
      </c>
      <c r="Z1425">
        <v>2.29</v>
      </c>
      <c r="AA1425">
        <f t="shared" si="66"/>
        <v>117980.42</v>
      </c>
      <c r="AB1425">
        <f t="shared" si="67"/>
        <v>0.13594682472362696</v>
      </c>
      <c r="AC1425">
        <f t="shared" si="68"/>
        <v>0</v>
      </c>
      <c r="AD1425">
        <v>2025</v>
      </c>
      <c r="AE1425">
        <v>3</v>
      </c>
      <c r="AF1425" t="s">
        <v>105</v>
      </c>
      <c r="AG1425" t="s">
        <v>106</v>
      </c>
    </row>
    <row r="1426" spans="1:33">
      <c r="A1426" t="s">
        <v>1577</v>
      </c>
      <c r="B1426">
        <v>45425</v>
      </c>
      <c r="D1426" t="s">
        <v>21</v>
      </c>
      <c r="E1426">
        <v>100</v>
      </c>
      <c r="F1426">
        <v>914.8</v>
      </c>
      <c r="G1426">
        <v>1.41</v>
      </c>
      <c r="H1426">
        <v>0</v>
      </c>
      <c r="I1426" t="s">
        <v>1727</v>
      </c>
      <c r="J1426">
        <v>676.37</v>
      </c>
      <c r="K1426">
        <v>0</v>
      </c>
      <c r="L1426">
        <v>0</v>
      </c>
      <c r="M1426">
        <v>0</v>
      </c>
      <c r="N1426">
        <v>0</v>
      </c>
      <c r="O1426">
        <v>0</v>
      </c>
      <c r="P1426">
        <v>0</v>
      </c>
      <c r="Q1426">
        <v>0</v>
      </c>
      <c r="R1426" t="s">
        <v>65</v>
      </c>
      <c r="S1426">
        <v>0</v>
      </c>
      <c r="T1426">
        <v>0</v>
      </c>
      <c r="U1426" t="s">
        <v>117</v>
      </c>
      <c r="V1426" t="s">
        <v>6</v>
      </c>
      <c r="W1426" t="s">
        <v>92</v>
      </c>
      <c r="X1426" t="s">
        <v>108</v>
      </c>
      <c r="Y1426" t="s">
        <v>22</v>
      </c>
      <c r="Z1426">
        <v>0.26</v>
      </c>
      <c r="AA1426">
        <f t="shared" si="66"/>
        <v>0</v>
      </c>
      <c r="AB1426" t="e">
        <f t="shared" si="67"/>
        <v>#DIV/0!</v>
      </c>
      <c r="AC1426">
        <f t="shared" si="68"/>
        <v>0</v>
      </c>
      <c r="AD1426">
        <v>2024</v>
      </c>
      <c r="AE1426">
        <v>5</v>
      </c>
      <c r="AF1426" t="s">
        <v>76</v>
      </c>
      <c r="AG1426" t="s">
        <v>77</v>
      </c>
    </row>
    <row r="1427" spans="1:33">
      <c r="A1427" t="s">
        <v>1578</v>
      </c>
      <c r="B1427">
        <v>45385</v>
      </c>
      <c r="C1427">
        <v>45393</v>
      </c>
      <c r="D1427" t="s">
        <v>21</v>
      </c>
      <c r="E1427">
        <v>100</v>
      </c>
      <c r="F1427">
        <v>909.39</v>
      </c>
      <c r="G1427">
        <v>1.34</v>
      </c>
      <c r="H1427">
        <v>89720.42</v>
      </c>
      <c r="I1427" t="s">
        <v>1726</v>
      </c>
      <c r="J1427">
        <v>689.77</v>
      </c>
      <c r="K1427">
        <v>68977</v>
      </c>
      <c r="L1427">
        <v>1801.91</v>
      </c>
      <c r="M1427">
        <v>305.85000000000002</v>
      </c>
      <c r="N1427">
        <v>69.900000000000006</v>
      </c>
      <c r="O1427">
        <v>71154.66</v>
      </c>
      <c r="P1427">
        <v>20743.419999999998</v>
      </c>
      <c r="Q1427">
        <v>18565.759999999998</v>
      </c>
      <c r="R1427" t="s">
        <v>65</v>
      </c>
      <c r="S1427">
        <v>89720.42</v>
      </c>
      <c r="T1427">
        <v>0</v>
      </c>
      <c r="U1427" t="s">
        <v>66</v>
      </c>
      <c r="V1427" t="s">
        <v>6</v>
      </c>
      <c r="W1427" t="s">
        <v>92</v>
      </c>
      <c r="X1427" t="s">
        <v>81</v>
      </c>
      <c r="Y1427" t="s">
        <v>24</v>
      </c>
      <c r="Z1427">
        <v>1.99</v>
      </c>
      <c r="AA1427">
        <f t="shared" si="66"/>
        <v>18565.759999999998</v>
      </c>
      <c r="AB1427">
        <f t="shared" si="67"/>
        <v>0.20692903577580218</v>
      </c>
      <c r="AC1427">
        <f t="shared" si="68"/>
        <v>0</v>
      </c>
      <c r="AD1427">
        <v>2024</v>
      </c>
      <c r="AE1427">
        <v>4</v>
      </c>
      <c r="AF1427" t="s">
        <v>154</v>
      </c>
      <c r="AG1427" t="s">
        <v>157</v>
      </c>
    </row>
    <row r="1428" spans="1:33">
      <c r="A1428" t="s">
        <v>1579</v>
      </c>
      <c r="B1428">
        <v>45793</v>
      </c>
      <c r="C1428">
        <v>45798</v>
      </c>
      <c r="D1428" t="s">
        <v>21</v>
      </c>
      <c r="E1428">
        <v>500</v>
      </c>
      <c r="F1428">
        <v>826.75</v>
      </c>
      <c r="G1428">
        <v>3.66</v>
      </c>
      <c r="H1428">
        <v>398245.48</v>
      </c>
      <c r="I1428" t="s">
        <v>1729</v>
      </c>
      <c r="J1428">
        <v>735.86</v>
      </c>
      <c r="K1428">
        <v>367930</v>
      </c>
      <c r="L1428">
        <v>9770.07</v>
      </c>
      <c r="M1428">
        <v>2982.38</v>
      </c>
      <c r="N1428">
        <v>2572.41</v>
      </c>
      <c r="O1428">
        <v>383254.86</v>
      </c>
      <c r="P1428">
        <v>30315.48</v>
      </c>
      <c r="Q1428">
        <v>14990.62</v>
      </c>
      <c r="R1428" t="s">
        <v>85</v>
      </c>
      <c r="S1428">
        <v>252748.62</v>
      </c>
      <c r="T1428">
        <v>145496.85999999999</v>
      </c>
      <c r="U1428" t="s">
        <v>66</v>
      </c>
      <c r="V1428" t="s">
        <v>14</v>
      </c>
      <c r="W1428" t="s">
        <v>67</v>
      </c>
      <c r="X1428" t="s">
        <v>97</v>
      </c>
      <c r="Y1428" t="s">
        <v>24</v>
      </c>
      <c r="Z1428">
        <v>2.37</v>
      </c>
      <c r="AA1428">
        <f t="shared" si="66"/>
        <v>14990.62</v>
      </c>
      <c r="AB1428">
        <f t="shared" si="67"/>
        <v>3.7641657602742913E-2</v>
      </c>
      <c r="AC1428">
        <f t="shared" si="68"/>
        <v>0</v>
      </c>
      <c r="AD1428">
        <v>2025</v>
      </c>
      <c r="AE1428">
        <v>5</v>
      </c>
      <c r="AF1428" t="s">
        <v>76</v>
      </c>
      <c r="AG1428" t="s">
        <v>94</v>
      </c>
    </row>
    <row r="1429" spans="1:33">
      <c r="A1429" t="s">
        <v>1580</v>
      </c>
      <c r="B1429">
        <v>45985</v>
      </c>
      <c r="C1429">
        <v>45985</v>
      </c>
      <c r="D1429" t="s">
        <v>21</v>
      </c>
      <c r="E1429">
        <v>500</v>
      </c>
      <c r="F1429">
        <v>918.51</v>
      </c>
      <c r="G1429">
        <v>2.81</v>
      </c>
      <c r="H1429">
        <v>446349.93</v>
      </c>
      <c r="I1429" t="s">
        <v>1727</v>
      </c>
      <c r="J1429">
        <v>737.62</v>
      </c>
      <c r="K1429">
        <v>368810</v>
      </c>
      <c r="L1429">
        <v>8398.58</v>
      </c>
      <c r="M1429">
        <v>2947.81</v>
      </c>
      <c r="N1429">
        <v>592.14</v>
      </c>
      <c r="O1429">
        <v>380748.53</v>
      </c>
      <c r="P1429">
        <v>77539.929999999993</v>
      </c>
      <c r="Q1429">
        <v>65601.399999999994</v>
      </c>
      <c r="R1429" t="s">
        <v>65</v>
      </c>
      <c r="S1429">
        <v>446349.93</v>
      </c>
      <c r="T1429">
        <v>0</v>
      </c>
      <c r="U1429" t="s">
        <v>66</v>
      </c>
      <c r="V1429" t="s">
        <v>8</v>
      </c>
      <c r="W1429" t="s">
        <v>141</v>
      </c>
      <c r="X1429" t="s">
        <v>182</v>
      </c>
      <c r="Y1429" t="s">
        <v>26</v>
      </c>
      <c r="Z1429">
        <v>1.82</v>
      </c>
      <c r="AA1429">
        <f t="shared" si="66"/>
        <v>65601.399999999994</v>
      </c>
      <c r="AB1429">
        <f t="shared" si="67"/>
        <v>0.14697302629799897</v>
      </c>
      <c r="AC1429">
        <f t="shared" si="68"/>
        <v>0</v>
      </c>
      <c r="AD1429">
        <v>2025</v>
      </c>
      <c r="AE1429">
        <v>11</v>
      </c>
      <c r="AF1429" t="s">
        <v>128</v>
      </c>
      <c r="AG1429" t="s">
        <v>135</v>
      </c>
    </row>
    <row r="1430" spans="1:33">
      <c r="A1430" t="s">
        <v>1581</v>
      </c>
      <c r="B1430">
        <v>45881</v>
      </c>
      <c r="C1430">
        <v>45888</v>
      </c>
      <c r="D1430" t="s">
        <v>23</v>
      </c>
      <c r="E1430">
        <v>1000</v>
      </c>
      <c r="F1430">
        <v>1337.7</v>
      </c>
      <c r="G1430">
        <v>4.33</v>
      </c>
      <c r="H1430">
        <v>1279777.5900000001</v>
      </c>
      <c r="I1430" t="s">
        <v>1726</v>
      </c>
      <c r="J1430">
        <v>981.62</v>
      </c>
      <c r="K1430">
        <v>981620</v>
      </c>
      <c r="L1430">
        <v>10462.89</v>
      </c>
      <c r="M1430">
        <v>4108.1499999999996</v>
      </c>
      <c r="N1430">
        <v>11135.09</v>
      </c>
      <c r="O1430">
        <v>1007326.13</v>
      </c>
      <c r="P1430">
        <v>298157.59000000003</v>
      </c>
      <c r="Q1430">
        <v>272451.46000000002</v>
      </c>
      <c r="R1430" t="s">
        <v>65</v>
      </c>
      <c r="S1430">
        <v>1279777.5900000001</v>
      </c>
      <c r="T1430">
        <v>0</v>
      </c>
      <c r="U1430" t="s">
        <v>66</v>
      </c>
      <c r="V1430" t="s">
        <v>14</v>
      </c>
      <c r="W1430" t="s">
        <v>67</v>
      </c>
      <c r="X1430" t="s">
        <v>285</v>
      </c>
      <c r="Y1430" t="s">
        <v>28</v>
      </c>
      <c r="Z1430">
        <v>2.2400000000000002</v>
      </c>
      <c r="AA1430">
        <f t="shared" si="66"/>
        <v>272451.46000000002</v>
      </c>
      <c r="AB1430">
        <f t="shared" si="67"/>
        <v>0.21288969437259797</v>
      </c>
      <c r="AC1430">
        <f t="shared" si="68"/>
        <v>0</v>
      </c>
      <c r="AD1430">
        <v>2025</v>
      </c>
      <c r="AE1430">
        <v>8</v>
      </c>
      <c r="AF1430" t="s">
        <v>82</v>
      </c>
      <c r="AG1430" t="s">
        <v>87</v>
      </c>
    </row>
    <row r="1431" spans="1:33">
      <c r="A1431" t="s">
        <v>1582</v>
      </c>
      <c r="B1431">
        <v>45375</v>
      </c>
      <c r="C1431">
        <v>45381</v>
      </c>
      <c r="D1431" t="s">
        <v>23</v>
      </c>
      <c r="E1431">
        <v>500</v>
      </c>
      <c r="F1431">
        <v>1376.38</v>
      </c>
      <c r="G1431">
        <v>3.77</v>
      </c>
      <c r="H1431">
        <v>662245.24</v>
      </c>
      <c r="I1431" t="s">
        <v>1727</v>
      </c>
      <c r="J1431">
        <v>1113.83</v>
      </c>
      <c r="K1431">
        <v>556915</v>
      </c>
      <c r="L1431">
        <v>3772.35</v>
      </c>
      <c r="M1431">
        <v>2593.27</v>
      </c>
      <c r="N1431">
        <v>11781.84</v>
      </c>
      <c r="O1431">
        <v>575062.46</v>
      </c>
      <c r="P1431">
        <v>105330.24000000001</v>
      </c>
      <c r="Q1431">
        <v>87182.78</v>
      </c>
      <c r="R1431" t="s">
        <v>65</v>
      </c>
      <c r="S1431">
        <v>662245.24</v>
      </c>
      <c r="T1431">
        <v>0</v>
      </c>
      <c r="U1431" t="s">
        <v>73</v>
      </c>
      <c r="V1431" t="s">
        <v>6</v>
      </c>
      <c r="W1431" t="s">
        <v>74</v>
      </c>
      <c r="X1431" t="s">
        <v>145</v>
      </c>
      <c r="Y1431" t="s">
        <v>30</v>
      </c>
      <c r="Z1431">
        <v>1.1100000000000001</v>
      </c>
      <c r="AA1431">
        <f t="shared" si="66"/>
        <v>87182.78</v>
      </c>
      <c r="AB1431">
        <f t="shared" si="67"/>
        <v>0.13164727314612332</v>
      </c>
      <c r="AC1431">
        <f t="shared" si="68"/>
        <v>0</v>
      </c>
      <c r="AD1431">
        <v>2024</v>
      </c>
      <c r="AE1431">
        <v>3</v>
      </c>
      <c r="AF1431" t="s">
        <v>105</v>
      </c>
      <c r="AG1431" t="s">
        <v>120</v>
      </c>
    </row>
    <row r="1432" spans="1:33">
      <c r="A1432" t="s">
        <v>1583</v>
      </c>
      <c r="B1432">
        <v>45763</v>
      </c>
      <c r="C1432">
        <v>45772</v>
      </c>
      <c r="D1432" t="s">
        <v>23</v>
      </c>
      <c r="E1432">
        <v>500</v>
      </c>
      <c r="F1432">
        <v>1311.04</v>
      </c>
      <c r="G1432">
        <v>1.94</v>
      </c>
      <c r="H1432">
        <v>642802.91</v>
      </c>
      <c r="I1432" t="s">
        <v>1728</v>
      </c>
      <c r="J1432">
        <v>1090.4100000000001</v>
      </c>
      <c r="K1432">
        <v>545205</v>
      </c>
      <c r="L1432">
        <v>5346.14</v>
      </c>
      <c r="M1432">
        <v>1490.91</v>
      </c>
      <c r="N1432">
        <v>635.21</v>
      </c>
      <c r="O1432">
        <v>552677.26</v>
      </c>
      <c r="P1432">
        <v>97597.91</v>
      </c>
      <c r="Q1432">
        <v>90125.65</v>
      </c>
      <c r="R1432" t="s">
        <v>65</v>
      </c>
      <c r="S1432">
        <v>642802.91</v>
      </c>
      <c r="T1432">
        <v>0</v>
      </c>
      <c r="U1432" t="s">
        <v>73</v>
      </c>
      <c r="V1432" t="s">
        <v>10</v>
      </c>
      <c r="W1432" t="s">
        <v>67</v>
      </c>
      <c r="X1432" t="s">
        <v>176</v>
      </c>
      <c r="Y1432" t="s">
        <v>22</v>
      </c>
      <c r="Z1432">
        <v>1.1200000000000001</v>
      </c>
      <c r="AA1432">
        <f t="shared" si="66"/>
        <v>90125.65</v>
      </c>
      <c r="AB1432">
        <f t="shared" si="67"/>
        <v>0.14020728375358474</v>
      </c>
      <c r="AC1432">
        <f t="shared" si="68"/>
        <v>0</v>
      </c>
      <c r="AD1432">
        <v>2025</v>
      </c>
      <c r="AE1432">
        <v>4</v>
      </c>
      <c r="AF1432" t="s">
        <v>154</v>
      </c>
      <c r="AG1432" t="s">
        <v>155</v>
      </c>
    </row>
    <row r="1433" spans="1:33">
      <c r="A1433" t="s">
        <v>1584</v>
      </c>
      <c r="B1433">
        <v>45400</v>
      </c>
      <c r="C1433">
        <v>45406</v>
      </c>
      <c r="D1433" t="s">
        <v>21</v>
      </c>
      <c r="E1433">
        <v>200</v>
      </c>
      <c r="F1433">
        <v>906.89</v>
      </c>
      <c r="G1433">
        <v>0.97</v>
      </c>
      <c r="H1433">
        <v>179618.63</v>
      </c>
      <c r="I1433" t="s">
        <v>1729</v>
      </c>
      <c r="J1433">
        <v>693.3</v>
      </c>
      <c r="K1433">
        <v>138660</v>
      </c>
      <c r="L1433">
        <v>2928.93</v>
      </c>
      <c r="M1433">
        <v>447.46</v>
      </c>
      <c r="N1433">
        <v>9436.23</v>
      </c>
      <c r="O1433">
        <v>151472.62</v>
      </c>
      <c r="P1433">
        <v>40958.629999999997</v>
      </c>
      <c r="Q1433">
        <v>28146.01</v>
      </c>
      <c r="R1433" t="s">
        <v>65</v>
      </c>
      <c r="S1433">
        <v>179618.63</v>
      </c>
      <c r="T1433">
        <v>0</v>
      </c>
      <c r="U1433" t="s">
        <v>73</v>
      </c>
      <c r="V1433" t="s">
        <v>8</v>
      </c>
      <c r="W1433" t="s">
        <v>74</v>
      </c>
      <c r="X1433" t="s">
        <v>110</v>
      </c>
      <c r="Y1433" t="s">
        <v>28</v>
      </c>
      <c r="Z1433">
        <v>0.48</v>
      </c>
      <c r="AA1433">
        <f t="shared" si="66"/>
        <v>28146.01</v>
      </c>
      <c r="AB1433">
        <f t="shared" si="67"/>
        <v>0.15669872328944942</v>
      </c>
      <c r="AC1433">
        <f t="shared" si="68"/>
        <v>0</v>
      </c>
      <c r="AD1433">
        <v>2024</v>
      </c>
      <c r="AE1433">
        <v>4</v>
      </c>
      <c r="AF1433" t="s">
        <v>154</v>
      </c>
      <c r="AG1433" t="s">
        <v>157</v>
      </c>
    </row>
    <row r="1434" spans="1:33">
      <c r="A1434" t="s">
        <v>1585</v>
      </c>
      <c r="B1434">
        <v>45986</v>
      </c>
      <c r="C1434">
        <v>45999</v>
      </c>
      <c r="D1434" t="s">
        <v>23</v>
      </c>
      <c r="E1434">
        <v>300</v>
      </c>
      <c r="F1434">
        <v>1366.85</v>
      </c>
      <c r="G1434">
        <v>0.17</v>
      </c>
      <c r="H1434">
        <v>409357.91</v>
      </c>
      <c r="I1434" t="s">
        <v>1728</v>
      </c>
      <c r="J1434">
        <v>1088.1199999999999</v>
      </c>
      <c r="K1434">
        <v>326436</v>
      </c>
      <c r="L1434">
        <v>2484.42</v>
      </c>
      <c r="M1434">
        <v>1178.06</v>
      </c>
      <c r="N1434">
        <v>3457.29</v>
      </c>
      <c r="O1434">
        <v>333555.77</v>
      </c>
      <c r="P1434">
        <v>82921.91</v>
      </c>
      <c r="Q1434">
        <v>75802.14</v>
      </c>
      <c r="R1434" t="s">
        <v>65</v>
      </c>
      <c r="S1434">
        <v>409357.91</v>
      </c>
      <c r="T1434">
        <v>0</v>
      </c>
      <c r="U1434" t="s">
        <v>66</v>
      </c>
      <c r="V1434" t="s">
        <v>12</v>
      </c>
      <c r="W1434" t="s">
        <v>74</v>
      </c>
      <c r="X1434" t="s">
        <v>115</v>
      </c>
      <c r="Y1434" t="s">
        <v>22</v>
      </c>
      <c r="Z1434">
        <v>2.41</v>
      </c>
      <c r="AA1434">
        <f t="shared" si="66"/>
        <v>75802.14</v>
      </c>
      <c r="AB1434">
        <f t="shared" si="67"/>
        <v>0.18517326317207355</v>
      </c>
      <c r="AC1434">
        <f t="shared" si="68"/>
        <v>0</v>
      </c>
      <c r="AD1434">
        <v>2025</v>
      </c>
      <c r="AE1434">
        <v>11</v>
      </c>
      <c r="AF1434" t="s">
        <v>128</v>
      </c>
      <c r="AG1434" t="s">
        <v>135</v>
      </c>
    </row>
    <row r="1435" spans="1:33">
      <c r="A1435" t="s">
        <v>1586</v>
      </c>
      <c r="B1435">
        <v>45741</v>
      </c>
      <c r="D1435" t="s">
        <v>21</v>
      </c>
      <c r="E1435">
        <v>500</v>
      </c>
      <c r="F1435">
        <v>922.37</v>
      </c>
      <c r="G1435">
        <v>2.54</v>
      </c>
      <c r="H1435">
        <v>449470.9</v>
      </c>
      <c r="I1435" t="s">
        <v>1726</v>
      </c>
      <c r="J1435">
        <v>748.08</v>
      </c>
      <c r="K1435">
        <v>374040</v>
      </c>
      <c r="L1435">
        <v>11974.35</v>
      </c>
      <c r="M1435">
        <v>2986.45</v>
      </c>
      <c r="N1435">
        <v>2774.75</v>
      </c>
      <c r="O1435">
        <v>391775.55</v>
      </c>
      <c r="P1435">
        <v>75430.899999999994</v>
      </c>
      <c r="Q1435">
        <v>57695.35</v>
      </c>
      <c r="R1435" t="s">
        <v>85</v>
      </c>
      <c r="S1435">
        <v>271490.67</v>
      </c>
      <c r="T1435">
        <v>177980.23</v>
      </c>
      <c r="U1435" t="s">
        <v>91</v>
      </c>
      <c r="V1435" t="s">
        <v>6</v>
      </c>
      <c r="W1435" t="s">
        <v>92</v>
      </c>
      <c r="X1435" t="s">
        <v>115</v>
      </c>
      <c r="Y1435" t="s">
        <v>22</v>
      </c>
      <c r="Z1435">
        <v>1.73</v>
      </c>
      <c r="AA1435">
        <f t="shared" si="66"/>
        <v>57695.35</v>
      </c>
      <c r="AB1435">
        <f t="shared" si="67"/>
        <v>0.12836281503429919</v>
      </c>
      <c r="AC1435">
        <f t="shared" si="68"/>
        <v>0</v>
      </c>
      <c r="AD1435">
        <v>2025</v>
      </c>
      <c r="AE1435">
        <v>3</v>
      </c>
      <c r="AF1435" t="s">
        <v>105</v>
      </c>
      <c r="AG1435" t="s">
        <v>106</v>
      </c>
    </row>
    <row r="1436" spans="1:33">
      <c r="A1436" t="s">
        <v>1587</v>
      </c>
      <c r="B1436">
        <v>45328</v>
      </c>
      <c r="C1436">
        <v>45331</v>
      </c>
      <c r="D1436" t="s">
        <v>21</v>
      </c>
      <c r="E1436">
        <v>500</v>
      </c>
      <c r="F1436">
        <v>911.78</v>
      </c>
      <c r="G1436">
        <v>0.19</v>
      </c>
      <c r="H1436">
        <v>455023.81</v>
      </c>
      <c r="I1436" t="s">
        <v>1727</v>
      </c>
      <c r="J1436">
        <v>719</v>
      </c>
      <c r="K1436">
        <v>359500</v>
      </c>
      <c r="L1436">
        <v>3611.35</v>
      </c>
      <c r="M1436">
        <v>1044.1199999999999</v>
      </c>
      <c r="N1436">
        <v>7497.16</v>
      </c>
      <c r="O1436">
        <v>371652.63</v>
      </c>
      <c r="P1436">
        <v>95523.81</v>
      </c>
      <c r="Q1436">
        <v>83371.179999999993</v>
      </c>
      <c r="R1436" t="s">
        <v>65</v>
      </c>
      <c r="S1436">
        <v>455023.81</v>
      </c>
      <c r="T1436">
        <v>0</v>
      </c>
      <c r="U1436" t="s">
        <v>73</v>
      </c>
      <c r="V1436" t="s">
        <v>10</v>
      </c>
      <c r="W1436" t="s">
        <v>92</v>
      </c>
      <c r="X1436" t="s">
        <v>195</v>
      </c>
      <c r="Y1436" t="s">
        <v>26</v>
      </c>
      <c r="Z1436">
        <v>1.89</v>
      </c>
      <c r="AA1436">
        <f t="shared" si="66"/>
        <v>83371.179999999993</v>
      </c>
      <c r="AB1436">
        <f t="shared" si="67"/>
        <v>0.18322377459764136</v>
      </c>
      <c r="AC1436">
        <f t="shared" si="68"/>
        <v>0</v>
      </c>
      <c r="AD1436">
        <v>2024</v>
      </c>
      <c r="AE1436">
        <v>2</v>
      </c>
      <c r="AF1436" t="s">
        <v>172</v>
      </c>
      <c r="AG1436" t="s">
        <v>173</v>
      </c>
    </row>
    <row r="1437" spans="1:33">
      <c r="A1437" t="s">
        <v>1588</v>
      </c>
      <c r="B1437">
        <v>45638</v>
      </c>
      <c r="C1437">
        <v>45651</v>
      </c>
      <c r="D1437" t="s">
        <v>21</v>
      </c>
      <c r="E1437">
        <v>300</v>
      </c>
      <c r="F1437">
        <v>884.26</v>
      </c>
      <c r="G1437">
        <v>1.84</v>
      </c>
      <c r="H1437">
        <v>260396.88</v>
      </c>
      <c r="I1437" t="s">
        <v>1726</v>
      </c>
      <c r="J1437">
        <v>731.66</v>
      </c>
      <c r="K1437">
        <v>219498</v>
      </c>
      <c r="L1437">
        <v>5804.62</v>
      </c>
      <c r="M1437">
        <v>1435.15</v>
      </c>
      <c r="N1437">
        <v>2633.18</v>
      </c>
      <c r="O1437">
        <v>229370.95</v>
      </c>
      <c r="P1437">
        <v>40898.879999999997</v>
      </c>
      <c r="Q1437">
        <v>31025.93</v>
      </c>
      <c r="R1437" t="s">
        <v>65</v>
      </c>
      <c r="S1437">
        <v>260396.88</v>
      </c>
      <c r="T1437">
        <v>0</v>
      </c>
      <c r="U1437" t="s">
        <v>66</v>
      </c>
      <c r="V1437" t="s">
        <v>8</v>
      </c>
      <c r="W1437" t="s">
        <v>74</v>
      </c>
      <c r="X1437" t="s">
        <v>97</v>
      </c>
      <c r="Y1437" t="s">
        <v>24</v>
      </c>
      <c r="Z1437">
        <v>1.1399999999999999</v>
      </c>
      <c r="AA1437">
        <f t="shared" si="66"/>
        <v>31025.93</v>
      </c>
      <c r="AB1437">
        <f t="shared" si="67"/>
        <v>0.1191486242077862</v>
      </c>
      <c r="AC1437">
        <f t="shared" si="68"/>
        <v>0</v>
      </c>
      <c r="AD1437">
        <v>2024</v>
      </c>
      <c r="AE1437">
        <v>12</v>
      </c>
      <c r="AF1437" t="s">
        <v>98</v>
      </c>
      <c r="AG1437" t="s">
        <v>99</v>
      </c>
    </row>
    <row r="1438" spans="1:33">
      <c r="A1438" t="s">
        <v>1589</v>
      </c>
      <c r="B1438">
        <v>45648</v>
      </c>
      <c r="C1438">
        <v>45660</v>
      </c>
      <c r="D1438" t="s">
        <v>21</v>
      </c>
      <c r="E1438">
        <v>300</v>
      </c>
      <c r="F1438">
        <v>884.39</v>
      </c>
      <c r="G1438">
        <v>1.41</v>
      </c>
      <c r="H1438">
        <v>261576.03</v>
      </c>
      <c r="I1438" t="s">
        <v>1727</v>
      </c>
      <c r="J1438">
        <v>716.43</v>
      </c>
      <c r="K1438">
        <v>214929</v>
      </c>
      <c r="L1438">
        <v>2010.74</v>
      </c>
      <c r="M1438">
        <v>1389.14</v>
      </c>
      <c r="N1438">
        <v>1846.15</v>
      </c>
      <c r="O1438">
        <v>220175.03</v>
      </c>
      <c r="P1438">
        <v>46647.03</v>
      </c>
      <c r="Q1438">
        <v>41401</v>
      </c>
      <c r="R1438" t="s">
        <v>65</v>
      </c>
      <c r="S1438">
        <v>261576.03</v>
      </c>
      <c r="T1438">
        <v>0</v>
      </c>
      <c r="U1438" t="s">
        <v>66</v>
      </c>
      <c r="V1438" t="s">
        <v>16</v>
      </c>
      <c r="W1438" t="s">
        <v>67</v>
      </c>
      <c r="X1438" t="s">
        <v>115</v>
      </c>
      <c r="Y1438" t="s">
        <v>22</v>
      </c>
      <c r="Z1438">
        <v>1.22</v>
      </c>
      <c r="AA1438">
        <f t="shared" si="66"/>
        <v>41401</v>
      </c>
      <c r="AB1438">
        <f t="shared" si="67"/>
        <v>0.1582752058741774</v>
      </c>
      <c r="AC1438">
        <f t="shared" si="68"/>
        <v>0</v>
      </c>
      <c r="AD1438">
        <v>2024</v>
      </c>
      <c r="AE1438">
        <v>12</v>
      </c>
      <c r="AF1438" t="s">
        <v>98</v>
      </c>
      <c r="AG1438" t="s">
        <v>99</v>
      </c>
    </row>
    <row r="1439" spans="1:33">
      <c r="A1439" t="s">
        <v>1590</v>
      </c>
      <c r="B1439">
        <v>45570</v>
      </c>
      <c r="C1439">
        <v>45577</v>
      </c>
      <c r="D1439" t="s">
        <v>21</v>
      </c>
      <c r="E1439">
        <v>150</v>
      </c>
      <c r="F1439">
        <v>865.92</v>
      </c>
      <c r="G1439">
        <v>1.02</v>
      </c>
      <c r="H1439">
        <v>128563.14</v>
      </c>
      <c r="I1439" t="s">
        <v>1727</v>
      </c>
      <c r="J1439">
        <v>664.42</v>
      </c>
      <c r="K1439">
        <v>99663</v>
      </c>
      <c r="L1439">
        <v>2752.71</v>
      </c>
      <c r="M1439">
        <v>696.78</v>
      </c>
      <c r="N1439">
        <v>9171.1200000000008</v>
      </c>
      <c r="O1439">
        <v>112283.61</v>
      </c>
      <c r="P1439">
        <v>28900.14</v>
      </c>
      <c r="Q1439">
        <v>16279.53</v>
      </c>
      <c r="R1439" t="s">
        <v>65</v>
      </c>
      <c r="S1439">
        <v>128563.14</v>
      </c>
      <c r="T1439">
        <v>0</v>
      </c>
      <c r="U1439" t="s">
        <v>66</v>
      </c>
      <c r="V1439" t="s">
        <v>14</v>
      </c>
      <c r="W1439" t="s">
        <v>80</v>
      </c>
      <c r="X1439" t="s">
        <v>123</v>
      </c>
      <c r="Y1439" t="s">
        <v>22</v>
      </c>
      <c r="Z1439">
        <v>1.07</v>
      </c>
      <c r="AA1439">
        <f t="shared" si="66"/>
        <v>16279.53</v>
      </c>
      <c r="AB1439">
        <f t="shared" si="67"/>
        <v>0.12662672986985229</v>
      </c>
      <c r="AC1439">
        <f t="shared" si="68"/>
        <v>0</v>
      </c>
      <c r="AD1439">
        <v>2024</v>
      </c>
      <c r="AE1439">
        <v>10</v>
      </c>
      <c r="AF1439" t="s">
        <v>138</v>
      </c>
      <c r="AG1439" t="s">
        <v>139</v>
      </c>
    </row>
    <row r="1440" spans="1:33">
      <c r="A1440" t="s">
        <v>1591</v>
      </c>
      <c r="B1440">
        <v>45434</v>
      </c>
      <c r="C1440">
        <v>45436</v>
      </c>
      <c r="D1440" t="s">
        <v>21</v>
      </c>
      <c r="E1440">
        <v>250</v>
      </c>
      <c r="F1440">
        <v>841.41</v>
      </c>
      <c r="G1440">
        <v>0.28000000000000003</v>
      </c>
      <c r="H1440">
        <v>209763.51</v>
      </c>
      <c r="I1440" t="s">
        <v>1729</v>
      </c>
      <c r="J1440">
        <v>740.18</v>
      </c>
      <c r="K1440">
        <v>185045</v>
      </c>
      <c r="L1440">
        <v>2199.79</v>
      </c>
      <c r="M1440">
        <v>799.12</v>
      </c>
      <c r="N1440">
        <v>2258.92</v>
      </c>
      <c r="O1440">
        <v>190302.83</v>
      </c>
      <c r="P1440">
        <v>24718.51</v>
      </c>
      <c r="Q1440">
        <v>19460.68</v>
      </c>
      <c r="R1440" t="s">
        <v>65</v>
      </c>
      <c r="S1440">
        <v>209763.51</v>
      </c>
      <c r="T1440">
        <v>0</v>
      </c>
      <c r="U1440" t="s">
        <v>73</v>
      </c>
      <c r="V1440" t="s">
        <v>16</v>
      </c>
      <c r="W1440" t="s">
        <v>141</v>
      </c>
      <c r="X1440" t="s">
        <v>115</v>
      </c>
      <c r="Y1440" t="s">
        <v>22</v>
      </c>
      <c r="Z1440">
        <v>0.88</v>
      </c>
      <c r="AA1440">
        <f t="shared" si="66"/>
        <v>19460.68</v>
      </c>
      <c r="AB1440">
        <f t="shared" si="67"/>
        <v>9.2774381969485537E-2</v>
      </c>
      <c r="AC1440">
        <f t="shared" si="68"/>
        <v>0</v>
      </c>
      <c r="AD1440">
        <v>2024</v>
      </c>
      <c r="AE1440">
        <v>5</v>
      </c>
      <c r="AF1440" t="s">
        <v>76</v>
      </c>
      <c r="AG1440" t="s">
        <v>77</v>
      </c>
    </row>
    <row r="1441" spans="1:33">
      <c r="A1441" t="s">
        <v>1592</v>
      </c>
      <c r="B1441">
        <v>45443</v>
      </c>
      <c r="C1441">
        <v>45445</v>
      </c>
      <c r="D1441" t="s">
        <v>21</v>
      </c>
      <c r="E1441">
        <v>150</v>
      </c>
      <c r="F1441">
        <v>847.84</v>
      </c>
      <c r="G1441">
        <v>1.46</v>
      </c>
      <c r="H1441">
        <v>125319.23</v>
      </c>
      <c r="I1441" t="s">
        <v>1726</v>
      </c>
      <c r="J1441">
        <v>675.77</v>
      </c>
      <c r="K1441">
        <v>101365.5</v>
      </c>
      <c r="L1441">
        <v>854.02</v>
      </c>
      <c r="M1441">
        <v>639.19000000000005</v>
      </c>
      <c r="N1441">
        <v>2318.4</v>
      </c>
      <c r="O1441">
        <v>105177.11</v>
      </c>
      <c r="P1441">
        <v>23953.73</v>
      </c>
      <c r="Q1441">
        <v>20142.12</v>
      </c>
      <c r="R1441" t="s">
        <v>65</v>
      </c>
      <c r="S1441">
        <v>125319.23</v>
      </c>
      <c r="T1441">
        <v>0</v>
      </c>
      <c r="U1441" t="s">
        <v>66</v>
      </c>
      <c r="V1441" t="s">
        <v>6</v>
      </c>
      <c r="W1441" t="s">
        <v>67</v>
      </c>
      <c r="X1441" t="s">
        <v>142</v>
      </c>
      <c r="Y1441" t="s">
        <v>28</v>
      </c>
      <c r="Z1441">
        <v>0.15</v>
      </c>
      <c r="AA1441">
        <f t="shared" si="66"/>
        <v>20142.12</v>
      </c>
      <c r="AB1441">
        <f t="shared" si="67"/>
        <v>0.1607264902601141</v>
      </c>
      <c r="AC1441">
        <f t="shared" si="68"/>
        <v>0</v>
      </c>
      <c r="AD1441">
        <v>2024</v>
      </c>
      <c r="AE1441">
        <v>5</v>
      </c>
      <c r="AF1441" t="s">
        <v>76</v>
      </c>
      <c r="AG1441" t="s">
        <v>77</v>
      </c>
    </row>
    <row r="1442" spans="1:33">
      <c r="A1442" t="s">
        <v>1593</v>
      </c>
      <c r="B1442">
        <v>45916</v>
      </c>
      <c r="C1442">
        <v>45919</v>
      </c>
      <c r="D1442" t="s">
        <v>23</v>
      </c>
      <c r="E1442">
        <v>200</v>
      </c>
      <c r="F1442">
        <v>1237.58</v>
      </c>
      <c r="G1442">
        <v>0.57999999999999996</v>
      </c>
      <c r="H1442">
        <v>246080.41</v>
      </c>
      <c r="I1442" t="s">
        <v>1726</v>
      </c>
      <c r="J1442">
        <v>990.63</v>
      </c>
      <c r="K1442">
        <v>198126</v>
      </c>
      <c r="L1442">
        <v>1827.09</v>
      </c>
      <c r="M1442">
        <v>567.78</v>
      </c>
      <c r="N1442">
        <v>3875.1</v>
      </c>
      <c r="O1442">
        <v>204395.97</v>
      </c>
      <c r="P1442">
        <v>47954.41</v>
      </c>
      <c r="Q1442">
        <v>41684.44</v>
      </c>
      <c r="R1442" t="s">
        <v>65</v>
      </c>
      <c r="S1442">
        <v>246080.41</v>
      </c>
      <c r="T1442">
        <v>0</v>
      </c>
      <c r="U1442" t="s">
        <v>73</v>
      </c>
      <c r="V1442" t="s">
        <v>6</v>
      </c>
      <c r="W1442" t="s">
        <v>67</v>
      </c>
      <c r="X1442" t="s">
        <v>239</v>
      </c>
      <c r="Y1442" t="s">
        <v>28</v>
      </c>
      <c r="Z1442">
        <v>0.52</v>
      </c>
      <c r="AA1442">
        <f t="shared" si="66"/>
        <v>41684.44</v>
      </c>
      <c r="AB1442">
        <f t="shared" si="67"/>
        <v>0.16939357342585704</v>
      </c>
      <c r="AC1442">
        <f t="shared" si="68"/>
        <v>0</v>
      </c>
      <c r="AD1442">
        <v>2025</v>
      </c>
      <c r="AE1442">
        <v>9</v>
      </c>
      <c r="AF1442" t="s">
        <v>131</v>
      </c>
      <c r="AG1442" t="s">
        <v>132</v>
      </c>
    </row>
    <row r="1443" spans="1:33">
      <c r="A1443" t="s">
        <v>1594</v>
      </c>
      <c r="B1443">
        <v>45486</v>
      </c>
      <c r="C1443">
        <v>45493</v>
      </c>
      <c r="D1443" t="s">
        <v>21</v>
      </c>
      <c r="E1443">
        <v>300</v>
      </c>
      <c r="F1443">
        <v>835.09</v>
      </c>
      <c r="G1443">
        <v>0.21</v>
      </c>
      <c r="H1443">
        <v>250000.89</v>
      </c>
      <c r="I1443" t="s">
        <v>1727</v>
      </c>
      <c r="J1443">
        <v>743.71</v>
      </c>
      <c r="K1443">
        <v>223113</v>
      </c>
      <c r="L1443">
        <v>4060.11</v>
      </c>
      <c r="M1443">
        <v>1718.25</v>
      </c>
      <c r="N1443">
        <v>11854.8</v>
      </c>
      <c r="O1443">
        <v>240746.16</v>
      </c>
      <c r="P1443">
        <v>26887.89</v>
      </c>
      <c r="Q1443">
        <v>9254.73</v>
      </c>
      <c r="R1443" t="s">
        <v>65</v>
      </c>
      <c r="S1443">
        <v>250000.89</v>
      </c>
      <c r="T1443">
        <v>0</v>
      </c>
      <c r="U1443" t="s">
        <v>66</v>
      </c>
      <c r="V1443" t="s">
        <v>6</v>
      </c>
      <c r="W1443" t="s">
        <v>74</v>
      </c>
      <c r="X1443" t="s">
        <v>89</v>
      </c>
      <c r="Y1443" t="s">
        <v>28</v>
      </c>
      <c r="Z1443">
        <v>0.04</v>
      </c>
      <c r="AA1443">
        <f t="shared" si="66"/>
        <v>9254.73</v>
      </c>
      <c r="AB1443">
        <f t="shared" si="67"/>
        <v>3.7018788213113961E-2</v>
      </c>
      <c r="AC1443">
        <f t="shared" si="68"/>
        <v>0</v>
      </c>
      <c r="AD1443">
        <v>2024</v>
      </c>
      <c r="AE1443">
        <v>7</v>
      </c>
      <c r="AF1443" t="s">
        <v>69</v>
      </c>
      <c r="AG1443" t="s">
        <v>70</v>
      </c>
    </row>
    <row r="1444" spans="1:33">
      <c r="A1444" t="s">
        <v>1595</v>
      </c>
      <c r="B1444">
        <v>45922</v>
      </c>
      <c r="D1444" t="s">
        <v>21</v>
      </c>
      <c r="E1444">
        <v>150</v>
      </c>
      <c r="F1444">
        <v>955.43</v>
      </c>
      <c r="G1444">
        <v>0.11</v>
      </c>
      <c r="H1444">
        <v>143156.85</v>
      </c>
      <c r="I1444" t="s">
        <v>1726</v>
      </c>
      <c r="J1444">
        <v>686.45</v>
      </c>
      <c r="K1444">
        <v>102967.5</v>
      </c>
      <c r="L1444">
        <v>1713.6</v>
      </c>
      <c r="M1444">
        <v>245.05</v>
      </c>
      <c r="N1444">
        <v>10268.879999999999</v>
      </c>
      <c r="O1444">
        <v>115195.03</v>
      </c>
      <c r="P1444">
        <v>40189.35</v>
      </c>
      <c r="Q1444">
        <v>27961.82</v>
      </c>
      <c r="R1444" t="s">
        <v>65</v>
      </c>
      <c r="S1444">
        <v>143156.85</v>
      </c>
      <c r="T1444">
        <v>0</v>
      </c>
      <c r="U1444" t="s">
        <v>91</v>
      </c>
      <c r="V1444" t="s">
        <v>16</v>
      </c>
      <c r="W1444" t="s">
        <v>92</v>
      </c>
      <c r="X1444" t="s">
        <v>108</v>
      </c>
      <c r="Y1444" t="s">
        <v>22</v>
      </c>
      <c r="Z1444">
        <v>0.4</v>
      </c>
      <c r="AA1444">
        <f t="shared" si="66"/>
        <v>27961.82</v>
      </c>
      <c r="AB1444">
        <f t="shared" si="67"/>
        <v>0.19532296219147038</v>
      </c>
      <c r="AC1444">
        <f t="shared" si="68"/>
        <v>0</v>
      </c>
      <c r="AD1444">
        <v>2025</v>
      </c>
      <c r="AE1444">
        <v>9</v>
      </c>
      <c r="AF1444" t="s">
        <v>131</v>
      </c>
      <c r="AG1444" t="s">
        <v>132</v>
      </c>
    </row>
    <row r="1445" spans="1:33">
      <c r="A1445" t="s">
        <v>1596</v>
      </c>
      <c r="B1445">
        <v>45460</v>
      </c>
      <c r="C1445">
        <v>45464</v>
      </c>
      <c r="D1445" t="s">
        <v>25</v>
      </c>
      <c r="E1445">
        <v>100</v>
      </c>
      <c r="F1445">
        <v>1004.88</v>
      </c>
      <c r="G1445">
        <v>0.73</v>
      </c>
      <c r="H1445">
        <v>99754.44</v>
      </c>
      <c r="I1445" t="s">
        <v>1727</v>
      </c>
      <c r="J1445">
        <v>768.73</v>
      </c>
      <c r="K1445">
        <v>76873</v>
      </c>
      <c r="L1445">
        <v>1999.06</v>
      </c>
      <c r="M1445">
        <v>235.91</v>
      </c>
      <c r="N1445">
        <v>639.69000000000005</v>
      </c>
      <c r="O1445">
        <v>79747.66</v>
      </c>
      <c r="P1445">
        <v>22881.439999999999</v>
      </c>
      <c r="Q1445">
        <v>20006.78</v>
      </c>
      <c r="R1445" t="s">
        <v>85</v>
      </c>
      <c r="S1445">
        <v>63625.53</v>
      </c>
      <c r="T1445">
        <v>36128.910000000003</v>
      </c>
      <c r="U1445" t="s">
        <v>66</v>
      </c>
      <c r="V1445" t="s">
        <v>8</v>
      </c>
      <c r="W1445" t="s">
        <v>80</v>
      </c>
      <c r="X1445" t="s">
        <v>81</v>
      </c>
      <c r="Y1445" t="s">
        <v>24</v>
      </c>
      <c r="Z1445">
        <v>1.33</v>
      </c>
      <c r="AA1445">
        <f t="shared" si="66"/>
        <v>20006.78</v>
      </c>
      <c r="AB1445">
        <f t="shared" si="67"/>
        <v>0.20056029586252</v>
      </c>
      <c r="AC1445">
        <f t="shared" si="68"/>
        <v>0</v>
      </c>
      <c r="AD1445">
        <v>2024</v>
      </c>
      <c r="AE1445">
        <v>6</v>
      </c>
      <c r="AF1445" t="s">
        <v>111</v>
      </c>
      <c r="AG1445" t="s">
        <v>148</v>
      </c>
    </row>
    <row r="1446" spans="1:33">
      <c r="A1446" t="s">
        <v>1597</v>
      </c>
      <c r="B1446">
        <v>45519</v>
      </c>
      <c r="C1446">
        <v>45531</v>
      </c>
      <c r="D1446" t="s">
        <v>21</v>
      </c>
      <c r="E1446">
        <v>300</v>
      </c>
      <c r="F1446">
        <v>824.85</v>
      </c>
      <c r="G1446">
        <v>0.67</v>
      </c>
      <c r="H1446">
        <v>245797.05</v>
      </c>
      <c r="I1446" t="s">
        <v>1727</v>
      </c>
      <c r="J1446">
        <v>705.18</v>
      </c>
      <c r="K1446">
        <v>211554</v>
      </c>
      <c r="L1446">
        <v>4208.18</v>
      </c>
      <c r="M1446">
        <v>1020.42</v>
      </c>
      <c r="N1446">
        <v>3120.85</v>
      </c>
      <c r="O1446">
        <v>219903.45</v>
      </c>
      <c r="P1446">
        <v>34243.050000000003</v>
      </c>
      <c r="Q1446">
        <v>25893.599999999999</v>
      </c>
      <c r="R1446" t="s">
        <v>65</v>
      </c>
      <c r="S1446">
        <v>245797.05</v>
      </c>
      <c r="T1446">
        <v>0</v>
      </c>
      <c r="U1446" t="s">
        <v>66</v>
      </c>
      <c r="V1446" t="s">
        <v>6</v>
      </c>
      <c r="W1446" t="s">
        <v>80</v>
      </c>
      <c r="X1446" t="s">
        <v>147</v>
      </c>
      <c r="Y1446" t="s">
        <v>28</v>
      </c>
      <c r="Z1446">
        <v>1.84</v>
      </c>
      <c r="AA1446">
        <f t="shared" si="66"/>
        <v>25893.599999999999</v>
      </c>
      <c r="AB1446">
        <f t="shared" si="67"/>
        <v>0.10534544657879336</v>
      </c>
      <c r="AC1446">
        <f t="shared" si="68"/>
        <v>0</v>
      </c>
      <c r="AD1446">
        <v>2024</v>
      </c>
      <c r="AE1446">
        <v>8</v>
      </c>
      <c r="AF1446" t="s">
        <v>82</v>
      </c>
      <c r="AG1446" t="s">
        <v>83</v>
      </c>
    </row>
    <row r="1447" spans="1:33">
      <c r="A1447" t="s">
        <v>1598</v>
      </c>
      <c r="B1447">
        <v>45676</v>
      </c>
      <c r="C1447">
        <v>45688</v>
      </c>
      <c r="D1447" t="s">
        <v>21</v>
      </c>
      <c r="E1447">
        <v>250</v>
      </c>
      <c r="F1447">
        <v>899.67</v>
      </c>
      <c r="G1447">
        <v>0.38</v>
      </c>
      <c r="H1447">
        <v>224062.81</v>
      </c>
      <c r="I1447" t="s">
        <v>1727</v>
      </c>
      <c r="J1447">
        <v>661.2</v>
      </c>
      <c r="K1447">
        <v>165300</v>
      </c>
      <c r="L1447">
        <v>3593.03</v>
      </c>
      <c r="M1447">
        <v>596.97</v>
      </c>
      <c r="N1447">
        <v>11443.97</v>
      </c>
      <c r="O1447">
        <v>180933.97</v>
      </c>
      <c r="P1447">
        <v>58762.81</v>
      </c>
      <c r="Q1447">
        <v>43128.84</v>
      </c>
      <c r="R1447" t="s">
        <v>65</v>
      </c>
      <c r="S1447">
        <v>224062.81</v>
      </c>
      <c r="T1447">
        <v>0</v>
      </c>
      <c r="U1447" t="s">
        <v>66</v>
      </c>
      <c r="V1447" t="s">
        <v>6</v>
      </c>
      <c r="W1447" t="s">
        <v>67</v>
      </c>
      <c r="X1447" t="s">
        <v>101</v>
      </c>
      <c r="Y1447" t="s">
        <v>22</v>
      </c>
      <c r="Z1447">
        <v>0.5</v>
      </c>
      <c r="AA1447">
        <f t="shared" si="66"/>
        <v>43128.84</v>
      </c>
      <c r="AB1447">
        <f t="shared" si="67"/>
        <v>0.1924854910103109</v>
      </c>
      <c r="AC1447">
        <f t="shared" si="68"/>
        <v>0</v>
      </c>
      <c r="AD1447">
        <v>2025</v>
      </c>
      <c r="AE1447">
        <v>1</v>
      </c>
      <c r="AF1447" t="s">
        <v>102</v>
      </c>
      <c r="AG1447" t="s">
        <v>118</v>
      </c>
    </row>
    <row r="1448" spans="1:33">
      <c r="A1448" t="s">
        <v>1599</v>
      </c>
      <c r="B1448">
        <v>45551</v>
      </c>
      <c r="C1448">
        <v>45551</v>
      </c>
      <c r="D1448" t="s">
        <v>21</v>
      </c>
      <c r="E1448">
        <v>200</v>
      </c>
      <c r="F1448">
        <v>837.2</v>
      </c>
      <c r="G1448">
        <v>1.88</v>
      </c>
      <c r="H1448">
        <v>164292.13</v>
      </c>
      <c r="I1448" t="s">
        <v>1728</v>
      </c>
      <c r="J1448">
        <v>706.88</v>
      </c>
      <c r="K1448">
        <v>141376</v>
      </c>
      <c r="L1448">
        <v>1438.49</v>
      </c>
      <c r="M1448">
        <v>619.34</v>
      </c>
      <c r="N1448">
        <v>4718.43</v>
      </c>
      <c r="O1448">
        <v>148152.26</v>
      </c>
      <c r="P1448">
        <v>22916.13</v>
      </c>
      <c r="Q1448">
        <v>16139.87</v>
      </c>
      <c r="R1448" t="s">
        <v>134</v>
      </c>
      <c r="S1448">
        <v>0</v>
      </c>
      <c r="T1448">
        <v>164292.13</v>
      </c>
      <c r="U1448" t="s">
        <v>73</v>
      </c>
      <c r="V1448" t="s">
        <v>6</v>
      </c>
      <c r="W1448" t="s">
        <v>67</v>
      </c>
      <c r="X1448" t="s">
        <v>327</v>
      </c>
      <c r="Y1448" t="s">
        <v>26</v>
      </c>
      <c r="Z1448">
        <v>0.56000000000000005</v>
      </c>
      <c r="AA1448">
        <f t="shared" si="66"/>
        <v>16139.87</v>
      </c>
      <c r="AB1448">
        <f t="shared" si="67"/>
        <v>9.8238850515846382E-2</v>
      </c>
      <c r="AC1448">
        <f t="shared" si="68"/>
        <v>0</v>
      </c>
      <c r="AD1448">
        <v>2024</v>
      </c>
      <c r="AE1448">
        <v>9</v>
      </c>
      <c r="AF1448" t="s">
        <v>131</v>
      </c>
      <c r="AG1448" t="s">
        <v>188</v>
      </c>
    </row>
    <row r="1449" spans="1:33">
      <c r="A1449" t="s">
        <v>1600</v>
      </c>
      <c r="B1449">
        <v>45556</v>
      </c>
      <c r="C1449">
        <v>45565</v>
      </c>
      <c r="D1449" t="s">
        <v>21</v>
      </c>
      <c r="E1449">
        <v>750</v>
      </c>
      <c r="F1449">
        <v>888.17</v>
      </c>
      <c r="G1449">
        <v>0.06</v>
      </c>
      <c r="H1449">
        <v>665727.81999999995</v>
      </c>
      <c r="I1449" t="s">
        <v>1729</v>
      </c>
      <c r="J1449">
        <v>655.88</v>
      </c>
      <c r="K1449">
        <v>491910</v>
      </c>
      <c r="L1449">
        <v>11909.83</v>
      </c>
      <c r="M1449">
        <v>4237.3999999999996</v>
      </c>
      <c r="N1449">
        <v>11793.71</v>
      </c>
      <c r="O1449">
        <v>519850.94</v>
      </c>
      <c r="P1449">
        <v>173817.82</v>
      </c>
      <c r="Q1449">
        <v>145876.88</v>
      </c>
      <c r="R1449" t="s">
        <v>134</v>
      </c>
      <c r="S1449">
        <v>0</v>
      </c>
      <c r="T1449">
        <v>665727.81999999995</v>
      </c>
      <c r="U1449" t="s">
        <v>73</v>
      </c>
      <c r="V1449" t="s">
        <v>8</v>
      </c>
      <c r="W1449" t="s">
        <v>80</v>
      </c>
      <c r="X1449" t="s">
        <v>275</v>
      </c>
      <c r="Y1449" t="s">
        <v>31</v>
      </c>
      <c r="Z1449">
        <v>0.61</v>
      </c>
      <c r="AA1449">
        <f t="shared" si="66"/>
        <v>145876.88</v>
      </c>
      <c r="AB1449">
        <f t="shared" si="67"/>
        <v>0.21912390562257111</v>
      </c>
      <c r="AC1449">
        <f t="shared" si="68"/>
        <v>0</v>
      </c>
      <c r="AD1449">
        <v>2024</v>
      </c>
      <c r="AE1449">
        <v>9</v>
      </c>
      <c r="AF1449" t="s">
        <v>131</v>
      </c>
      <c r="AG1449" t="s">
        <v>188</v>
      </c>
    </row>
    <row r="1450" spans="1:33">
      <c r="A1450" t="s">
        <v>1601</v>
      </c>
      <c r="B1450">
        <v>45947</v>
      </c>
      <c r="D1450" t="s">
        <v>29</v>
      </c>
      <c r="E1450">
        <v>500</v>
      </c>
      <c r="F1450">
        <v>3134.56</v>
      </c>
      <c r="G1450">
        <v>0.56000000000000005</v>
      </c>
      <c r="H1450">
        <v>1558503.23</v>
      </c>
      <c r="I1450" t="s">
        <v>1726</v>
      </c>
      <c r="J1450">
        <v>2274.1999999999998</v>
      </c>
      <c r="K1450">
        <v>1137100</v>
      </c>
      <c r="L1450">
        <v>10941.15</v>
      </c>
      <c r="M1450">
        <v>1961.3</v>
      </c>
      <c r="N1450">
        <v>7594.64</v>
      </c>
      <c r="O1450">
        <v>1157597.0900000001</v>
      </c>
      <c r="P1450">
        <v>421403.23</v>
      </c>
      <c r="Q1450">
        <v>400906.14</v>
      </c>
      <c r="R1450" t="s">
        <v>65</v>
      </c>
      <c r="S1450">
        <v>1558503.23</v>
      </c>
      <c r="T1450">
        <v>0</v>
      </c>
      <c r="U1450" t="s">
        <v>91</v>
      </c>
      <c r="V1450" t="s">
        <v>6</v>
      </c>
      <c r="W1450" t="s">
        <v>67</v>
      </c>
      <c r="X1450" t="s">
        <v>159</v>
      </c>
      <c r="Y1450" t="s">
        <v>30</v>
      </c>
      <c r="Z1450">
        <v>1.8</v>
      </c>
      <c r="AA1450">
        <f t="shared" si="66"/>
        <v>400906.14</v>
      </c>
      <c r="AB1450">
        <f t="shared" si="67"/>
        <v>0.25723792693070008</v>
      </c>
      <c r="AC1450">
        <f t="shared" si="68"/>
        <v>0</v>
      </c>
      <c r="AD1450">
        <v>2025</v>
      </c>
      <c r="AE1450">
        <v>10</v>
      </c>
      <c r="AF1450" t="s">
        <v>138</v>
      </c>
      <c r="AG1450" t="s">
        <v>160</v>
      </c>
    </row>
    <row r="1451" spans="1:33">
      <c r="A1451" t="s">
        <v>1602</v>
      </c>
      <c r="B1451">
        <v>45338</v>
      </c>
      <c r="C1451">
        <v>45347</v>
      </c>
      <c r="D1451" t="s">
        <v>23</v>
      </c>
      <c r="E1451">
        <v>250</v>
      </c>
      <c r="F1451">
        <v>1304.96</v>
      </c>
      <c r="G1451">
        <v>0.24</v>
      </c>
      <c r="H1451">
        <v>325457.02</v>
      </c>
      <c r="I1451" t="s">
        <v>1726</v>
      </c>
      <c r="J1451">
        <v>1067.83</v>
      </c>
      <c r="K1451">
        <v>266957.5</v>
      </c>
      <c r="L1451">
        <v>1804.75</v>
      </c>
      <c r="M1451">
        <v>1364.68</v>
      </c>
      <c r="N1451">
        <v>6048.75</v>
      </c>
      <c r="O1451">
        <v>276175.68</v>
      </c>
      <c r="P1451">
        <v>58499.519999999997</v>
      </c>
      <c r="Q1451">
        <v>49281.34</v>
      </c>
      <c r="R1451" t="s">
        <v>65</v>
      </c>
      <c r="S1451">
        <v>325457.02</v>
      </c>
      <c r="T1451">
        <v>0</v>
      </c>
      <c r="U1451" t="s">
        <v>66</v>
      </c>
      <c r="V1451" t="s">
        <v>12</v>
      </c>
      <c r="W1451" t="s">
        <v>141</v>
      </c>
      <c r="X1451" t="s">
        <v>93</v>
      </c>
      <c r="Y1451" t="s">
        <v>26</v>
      </c>
      <c r="Z1451">
        <v>0.11</v>
      </c>
      <c r="AA1451">
        <f t="shared" si="66"/>
        <v>49281.34</v>
      </c>
      <c r="AB1451">
        <f t="shared" si="67"/>
        <v>0.15142196041738473</v>
      </c>
      <c r="AC1451">
        <f t="shared" si="68"/>
        <v>0</v>
      </c>
      <c r="AD1451">
        <v>2024</v>
      </c>
      <c r="AE1451">
        <v>2</v>
      </c>
      <c r="AF1451" t="s">
        <v>172</v>
      </c>
      <c r="AG1451" t="s">
        <v>173</v>
      </c>
    </row>
    <row r="1452" spans="1:33">
      <c r="A1452" t="s">
        <v>1603</v>
      </c>
      <c r="B1452">
        <v>45820</v>
      </c>
      <c r="C1452">
        <v>45823</v>
      </c>
      <c r="D1452" t="s">
        <v>27</v>
      </c>
      <c r="E1452">
        <v>100</v>
      </c>
      <c r="F1452">
        <v>687.64</v>
      </c>
      <c r="G1452">
        <v>1.21</v>
      </c>
      <c r="H1452">
        <v>67931.960000000006</v>
      </c>
      <c r="I1452" t="s">
        <v>1728</v>
      </c>
      <c r="J1452">
        <v>528.21</v>
      </c>
      <c r="K1452">
        <v>52821</v>
      </c>
      <c r="L1452">
        <v>1766.39</v>
      </c>
      <c r="M1452">
        <v>439.94</v>
      </c>
      <c r="N1452">
        <v>10408.969999999999</v>
      </c>
      <c r="O1452">
        <v>65436.3</v>
      </c>
      <c r="P1452">
        <v>15110.96</v>
      </c>
      <c r="Q1452">
        <v>2495.66</v>
      </c>
      <c r="R1452" t="s">
        <v>65</v>
      </c>
      <c r="S1452">
        <v>67931.960000000006</v>
      </c>
      <c r="T1452">
        <v>0</v>
      </c>
      <c r="U1452" t="s">
        <v>73</v>
      </c>
      <c r="V1452" t="s">
        <v>8</v>
      </c>
      <c r="W1452" t="s">
        <v>80</v>
      </c>
      <c r="X1452" t="s">
        <v>101</v>
      </c>
      <c r="Y1452" t="s">
        <v>22</v>
      </c>
      <c r="Z1452">
        <v>0.48</v>
      </c>
      <c r="AA1452">
        <f t="shared" si="66"/>
        <v>2495.66</v>
      </c>
      <c r="AB1452">
        <f t="shared" si="67"/>
        <v>3.6737641604923509E-2</v>
      </c>
      <c r="AC1452">
        <f t="shared" si="68"/>
        <v>0</v>
      </c>
      <c r="AD1452">
        <v>2025</v>
      </c>
      <c r="AE1452">
        <v>6</v>
      </c>
      <c r="AF1452" t="s">
        <v>111</v>
      </c>
      <c r="AG1452" t="s">
        <v>112</v>
      </c>
    </row>
    <row r="1453" spans="1:33">
      <c r="A1453" t="s">
        <v>1604</v>
      </c>
      <c r="B1453">
        <v>45705</v>
      </c>
      <c r="C1453">
        <v>45707</v>
      </c>
      <c r="D1453" t="s">
        <v>21</v>
      </c>
      <c r="E1453">
        <v>150</v>
      </c>
      <c r="F1453">
        <v>805.57</v>
      </c>
      <c r="G1453">
        <v>2.04</v>
      </c>
      <c r="H1453">
        <v>118370.46</v>
      </c>
      <c r="I1453" t="s">
        <v>1726</v>
      </c>
      <c r="J1453">
        <v>669.65</v>
      </c>
      <c r="K1453">
        <v>100447.5</v>
      </c>
      <c r="L1453">
        <v>1754.98</v>
      </c>
      <c r="M1453">
        <v>858.03</v>
      </c>
      <c r="N1453">
        <v>9094.25</v>
      </c>
      <c r="O1453">
        <v>112154.76</v>
      </c>
      <c r="P1453">
        <v>17922.96</v>
      </c>
      <c r="Q1453">
        <v>6215.7</v>
      </c>
      <c r="R1453" t="s">
        <v>65</v>
      </c>
      <c r="S1453">
        <v>118370.46</v>
      </c>
      <c r="T1453">
        <v>0</v>
      </c>
      <c r="U1453" t="s">
        <v>66</v>
      </c>
      <c r="V1453" t="s">
        <v>6</v>
      </c>
      <c r="W1453" t="s">
        <v>74</v>
      </c>
      <c r="X1453" t="s">
        <v>123</v>
      </c>
      <c r="Y1453" t="s">
        <v>22</v>
      </c>
      <c r="Z1453">
        <v>0.89</v>
      </c>
      <c r="AA1453">
        <f t="shared" si="66"/>
        <v>6215.7</v>
      </c>
      <c r="AB1453">
        <f t="shared" si="67"/>
        <v>5.2510567247943445E-2</v>
      </c>
      <c r="AC1453">
        <f t="shared" si="68"/>
        <v>0</v>
      </c>
      <c r="AD1453">
        <v>2025</v>
      </c>
      <c r="AE1453">
        <v>2</v>
      </c>
      <c r="AF1453" t="s">
        <v>172</v>
      </c>
      <c r="AG1453" t="s">
        <v>244</v>
      </c>
    </row>
    <row r="1454" spans="1:33">
      <c r="A1454" t="s">
        <v>1605</v>
      </c>
      <c r="B1454">
        <v>45482</v>
      </c>
      <c r="D1454" t="s">
        <v>27</v>
      </c>
      <c r="E1454">
        <v>100</v>
      </c>
      <c r="F1454">
        <v>696.61</v>
      </c>
      <c r="G1454">
        <v>0.56999999999999995</v>
      </c>
      <c r="H1454">
        <v>0</v>
      </c>
      <c r="I1454" t="s">
        <v>1727</v>
      </c>
      <c r="J1454">
        <v>549.30999999999995</v>
      </c>
      <c r="K1454">
        <v>0</v>
      </c>
      <c r="L1454">
        <v>0</v>
      </c>
      <c r="M1454">
        <v>0</v>
      </c>
      <c r="N1454">
        <v>0</v>
      </c>
      <c r="O1454">
        <v>0</v>
      </c>
      <c r="P1454">
        <v>0</v>
      </c>
      <c r="Q1454">
        <v>0</v>
      </c>
      <c r="R1454" t="s">
        <v>65</v>
      </c>
      <c r="S1454">
        <v>0</v>
      </c>
      <c r="T1454">
        <v>0</v>
      </c>
      <c r="U1454" t="s">
        <v>117</v>
      </c>
      <c r="V1454" t="s">
        <v>16</v>
      </c>
      <c r="W1454" t="s">
        <v>80</v>
      </c>
      <c r="X1454" t="s">
        <v>108</v>
      </c>
      <c r="Y1454" t="s">
        <v>22</v>
      </c>
      <c r="Z1454">
        <v>0.26</v>
      </c>
      <c r="AA1454">
        <f t="shared" si="66"/>
        <v>0</v>
      </c>
      <c r="AB1454" t="e">
        <f t="shared" si="67"/>
        <v>#DIV/0!</v>
      </c>
      <c r="AC1454">
        <f t="shared" si="68"/>
        <v>0</v>
      </c>
      <c r="AD1454">
        <v>2024</v>
      </c>
      <c r="AE1454">
        <v>7</v>
      </c>
      <c r="AF1454" t="s">
        <v>69</v>
      </c>
      <c r="AG1454" t="s">
        <v>70</v>
      </c>
    </row>
    <row r="1455" spans="1:33">
      <c r="A1455" t="s">
        <v>1606</v>
      </c>
      <c r="B1455">
        <v>45869</v>
      </c>
      <c r="D1455" t="s">
        <v>21</v>
      </c>
      <c r="E1455">
        <v>500</v>
      </c>
      <c r="F1455">
        <v>849.24</v>
      </c>
      <c r="G1455">
        <v>3.67</v>
      </c>
      <c r="H1455">
        <v>409036.45</v>
      </c>
      <c r="I1455" t="s">
        <v>1726</v>
      </c>
      <c r="J1455">
        <v>711.94</v>
      </c>
      <c r="K1455">
        <v>355970</v>
      </c>
      <c r="L1455">
        <v>7302.02</v>
      </c>
      <c r="M1455">
        <v>1295.55</v>
      </c>
      <c r="N1455">
        <v>8518.92</v>
      </c>
      <c r="O1455">
        <v>373086.49</v>
      </c>
      <c r="P1455">
        <v>53066.45</v>
      </c>
      <c r="Q1455">
        <v>35949.96</v>
      </c>
      <c r="R1455" t="s">
        <v>65</v>
      </c>
      <c r="S1455">
        <v>409036.45</v>
      </c>
      <c r="T1455">
        <v>0</v>
      </c>
      <c r="U1455" t="s">
        <v>91</v>
      </c>
      <c r="V1455" t="s">
        <v>14</v>
      </c>
      <c r="W1455" t="s">
        <v>74</v>
      </c>
      <c r="X1455" t="s">
        <v>108</v>
      </c>
      <c r="Y1455" t="s">
        <v>22</v>
      </c>
      <c r="Z1455">
        <v>0.64</v>
      </c>
      <c r="AA1455">
        <f t="shared" si="66"/>
        <v>35949.96</v>
      </c>
      <c r="AB1455">
        <f t="shared" si="67"/>
        <v>8.7889380029579273E-2</v>
      </c>
      <c r="AC1455">
        <f t="shared" si="68"/>
        <v>0</v>
      </c>
      <c r="AD1455">
        <v>2025</v>
      </c>
      <c r="AE1455">
        <v>7</v>
      </c>
      <c r="AF1455" t="s">
        <v>69</v>
      </c>
      <c r="AG1455" t="s">
        <v>151</v>
      </c>
    </row>
    <row r="1456" spans="1:33">
      <c r="A1456" t="s">
        <v>1607</v>
      </c>
      <c r="B1456">
        <v>45651</v>
      </c>
      <c r="C1456">
        <v>45663</v>
      </c>
      <c r="D1456" t="s">
        <v>21</v>
      </c>
      <c r="E1456">
        <v>300</v>
      </c>
      <c r="F1456">
        <v>846.36</v>
      </c>
      <c r="G1456">
        <v>2.06</v>
      </c>
      <c r="H1456">
        <v>248677.5</v>
      </c>
      <c r="I1456" t="s">
        <v>1727</v>
      </c>
      <c r="J1456">
        <v>747.29</v>
      </c>
      <c r="K1456">
        <v>224187</v>
      </c>
      <c r="L1456">
        <v>2284.58</v>
      </c>
      <c r="M1456">
        <v>1060.18</v>
      </c>
      <c r="N1456">
        <v>146.85</v>
      </c>
      <c r="O1456">
        <v>227678.61</v>
      </c>
      <c r="P1456">
        <v>24490.5</v>
      </c>
      <c r="Q1456">
        <v>20998.89</v>
      </c>
      <c r="R1456" t="s">
        <v>65</v>
      </c>
      <c r="S1456">
        <v>248677.5</v>
      </c>
      <c r="T1456">
        <v>0</v>
      </c>
      <c r="U1456" t="s">
        <v>66</v>
      </c>
      <c r="V1456" t="s">
        <v>6</v>
      </c>
      <c r="W1456" t="s">
        <v>74</v>
      </c>
      <c r="X1456" t="s">
        <v>375</v>
      </c>
      <c r="Y1456" t="s">
        <v>30</v>
      </c>
      <c r="Z1456">
        <v>1.7</v>
      </c>
      <c r="AA1456">
        <f t="shared" si="66"/>
        <v>20998.89</v>
      </c>
      <c r="AB1456">
        <f t="shared" si="67"/>
        <v>8.4442259553035554E-2</v>
      </c>
      <c r="AC1456">
        <f t="shared" si="68"/>
        <v>0</v>
      </c>
      <c r="AD1456">
        <v>2024</v>
      </c>
      <c r="AE1456">
        <v>12</v>
      </c>
      <c r="AF1456" t="s">
        <v>98</v>
      </c>
      <c r="AG1456" t="s">
        <v>99</v>
      </c>
    </row>
    <row r="1457" spans="1:33">
      <c r="A1457" t="s">
        <v>1608</v>
      </c>
      <c r="B1457">
        <v>45536</v>
      </c>
      <c r="C1457">
        <v>45537</v>
      </c>
      <c r="D1457" t="s">
        <v>21</v>
      </c>
      <c r="E1457">
        <v>150</v>
      </c>
      <c r="F1457">
        <v>861.77</v>
      </c>
      <c r="G1457">
        <v>1.42</v>
      </c>
      <c r="H1457">
        <v>127429.93</v>
      </c>
      <c r="I1457" t="s">
        <v>1728</v>
      </c>
      <c r="J1457">
        <v>662.85</v>
      </c>
      <c r="K1457">
        <v>99427.5</v>
      </c>
      <c r="L1457">
        <v>2856.55</v>
      </c>
      <c r="M1457">
        <v>338.5</v>
      </c>
      <c r="N1457">
        <v>452.48</v>
      </c>
      <c r="O1457">
        <v>103075.03</v>
      </c>
      <c r="P1457">
        <v>28002.43</v>
      </c>
      <c r="Q1457">
        <v>24354.9</v>
      </c>
      <c r="R1457" t="s">
        <v>85</v>
      </c>
      <c r="S1457">
        <v>44328.33</v>
      </c>
      <c r="T1457">
        <v>83101.600000000006</v>
      </c>
      <c r="U1457" t="s">
        <v>66</v>
      </c>
      <c r="V1457" t="s">
        <v>6</v>
      </c>
      <c r="W1457" t="s">
        <v>74</v>
      </c>
      <c r="X1457" t="s">
        <v>115</v>
      </c>
      <c r="Y1457" t="s">
        <v>22</v>
      </c>
      <c r="Z1457">
        <v>1.49</v>
      </c>
      <c r="AA1457">
        <f t="shared" si="66"/>
        <v>24354.9</v>
      </c>
      <c r="AB1457">
        <f t="shared" si="67"/>
        <v>0.19112385920638897</v>
      </c>
      <c r="AC1457">
        <f t="shared" si="68"/>
        <v>0</v>
      </c>
      <c r="AD1457">
        <v>2024</v>
      </c>
      <c r="AE1457">
        <v>9</v>
      </c>
      <c r="AF1457" t="s">
        <v>131</v>
      </c>
      <c r="AG1457" t="s">
        <v>188</v>
      </c>
    </row>
    <row r="1458" spans="1:33">
      <c r="A1458" t="s">
        <v>1609</v>
      </c>
      <c r="B1458">
        <v>45969</v>
      </c>
      <c r="C1458">
        <v>45979</v>
      </c>
      <c r="D1458" t="s">
        <v>21</v>
      </c>
      <c r="E1458">
        <v>200</v>
      </c>
      <c r="F1458">
        <v>942.5</v>
      </c>
      <c r="G1458">
        <v>0.54</v>
      </c>
      <c r="H1458">
        <v>187482.1</v>
      </c>
      <c r="I1458" t="s">
        <v>1727</v>
      </c>
      <c r="J1458">
        <v>670.67</v>
      </c>
      <c r="K1458">
        <v>134134</v>
      </c>
      <c r="L1458">
        <v>3446.06</v>
      </c>
      <c r="M1458">
        <v>328.69</v>
      </c>
      <c r="N1458">
        <v>8455.27</v>
      </c>
      <c r="O1458">
        <v>146364.01999999999</v>
      </c>
      <c r="P1458">
        <v>53348.1</v>
      </c>
      <c r="Q1458">
        <v>41118.080000000002</v>
      </c>
      <c r="R1458" t="s">
        <v>85</v>
      </c>
      <c r="S1458">
        <v>68672.27</v>
      </c>
      <c r="T1458">
        <v>118809.83</v>
      </c>
      <c r="U1458" t="s">
        <v>66</v>
      </c>
      <c r="V1458" t="s">
        <v>10</v>
      </c>
      <c r="W1458" t="s">
        <v>92</v>
      </c>
      <c r="X1458" t="s">
        <v>101</v>
      </c>
      <c r="Y1458" t="s">
        <v>22</v>
      </c>
      <c r="Z1458">
        <v>1.9</v>
      </c>
      <c r="AA1458">
        <f t="shared" si="66"/>
        <v>41118.080000000002</v>
      </c>
      <c r="AB1458">
        <f t="shared" si="67"/>
        <v>0.21931736416436556</v>
      </c>
      <c r="AC1458">
        <f t="shared" si="68"/>
        <v>0</v>
      </c>
      <c r="AD1458">
        <v>2025</v>
      </c>
      <c r="AE1458">
        <v>11</v>
      </c>
      <c r="AF1458" t="s">
        <v>128</v>
      </c>
      <c r="AG1458" t="s">
        <v>135</v>
      </c>
    </row>
    <row r="1459" spans="1:33">
      <c r="A1459" t="s">
        <v>1610</v>
      </c>
      <c r="B1459">
        <v>45459</v>
      </c>
      <c r="D1459" t="s">
        <v>23</v>
      </c>
      <c r="E1459">
        <v>100</v>
      </c>
      <c r="F1459">
        <v>1314.25</v>
      </c>
      <c r="G1459">
        <v>1.78</v>
      </c>
      <c r="H1459">
        <v>0</v>
      </c>
      <c r="I1459" t="s">
        <v>1728</v>
      </c>
      <c r="J1459">
        <v>1018.04</v>
      </c>
      <c r="K1459">
        <v>0</v>
      </c>
      <c r="L1459">
        <v>0</v>
      </c>
      <c r="M1459">
        <v>0</v>
      </c>
      <c r="N1459">
        <v>0</v>
      </c>
      <c r="O1459">
        <v>0</v>
      </c>
      <c r="P1459">
        <v>0</v>
      </c>
      <c r="Q1459">
        <v>0</v>
      </c>
      <c r="R1459" t="s">
        <v>65</v>
      </c>
      <c r="S1459">
        <v>0</v>
      </c>
      <c r="T1459">
        <v>0</v>
      </c>
      <c r="U1459" t="s">
        <v>117</v>
      </c>
      <c r="V1459" t="s">
        <v>6</v>
      </c>
      <c r="W1459" t="s">
        <v>74</v>
      </c>
      <c r="X1459" t="s">
        <v>176</v>
      </c>
      <c r="Y1459" t="s">
        <v>22</v>
      </c>
      <c r="Z1459">
        <v>2.12</v>
      </c>
      <c r="AA1459">
        <f t="shared" si="66"/>
        <v>0</v>
      </c>
      <c r="AB1459" t="e">
        <f t="shared" si="67"/>
        <v>#DIV/0!</v>
      </c>
      <c r="AC1459">
        <f t="shared" si="68"/>
        <v>0</v>
      </c>
      <c r="AD1459">
        <v>2024</v>
      </c>
      <c r="AE1459">
        <v>6</v>
      </c>
      <c r="AF1459" t="s">
        <v>111</v>
      </c>
      <c r="AG1459" t="s">
        <v>148</v>
      </c>
    </row>
    <row r="1460" spans="1:33">
      <c r="A1460" t="s">
        <v>1611</v>
      </c>
      <c r="B1460">
        <v>45530</v>
      </c>
      <c r="C1460">
        <v>45531</v>
      </c>
      <c r="D1460" t="s">
        <v>21</v>
      </c>
      <c r="E1460">
        <v>500</v>
      </c>
      <c r="F1460">
        <v>860.7</v>
      </c>
      <c r="G1460">
        <v>1.95</v>
      </c>
      <c r="H1460">
        <v>421958.18</v>
      </c>
      <c r="I1460" t="s">
        <v>1729</v>
      </c>
      <c r="J1460">
        <v>667.41</v>
      </c>
      <c r="K1460">
        <v>333705</v>
      </c>
      <c r="L1460">
        <v>6958.18</v>
      </c>
      <c r="M1460">
        <v>1092.06</v>
      </c>
      <c r="N1460">
        <v>854.59</v>
      </c>
      <c r="O1460">
        <v>342609.83</v>
      </c>
      <c r="P1460">
        <v>88253.18</v>
      </c>
      <c r="Q1460">
        <v>79348.350000000006</v>
      </c>
      <c r="R1460" t="s">
        <v>134</v>
      </c>
      <c r="S1460">
        <v>0</v>
      </c>
      <c r="T1460">
        <v>421958.18</v>
      </c>
      <c r="U1460" t="s">
        <v>66</v>
      </c>
      <c r="V1460" t="s">
        <v>10</v>
      </c>
      <c r="W1460" t="s">
        <v>67</v>
      </c>
      <c r="X1460" t="s">
        <v>182</v>
      </c>
      <c r="Y1460" t="s">
        <v>26</v>
      </c>
      <c r="Z1460">
        <v>2.0099999999999998</v>
      </c>
      <c r="AA1460">
        <f t="shared" si="66"/>
        <v>79348.350000000006</v>
      </c>
      <c r="AB1460">
        <f t="shared" si="67"/>
        <v>0.1880479008606967</v>
      </c>
      <c r="AC1460">
        <f t="shared" si="68"/>
        <v>0</v>
      </c>
      <c r="AD1460">
        <v>2024</v>
      </c>
      <c r="AE1460">
        <v>8</v>
      </c>
      <c r="AF1460" t="s">
        <v>82</v>
      </c>
      <c r="AG1460" t="s">
        <v>83</v>
      </c>
    </row>
    <row r="1461" spans="1:33">
      <c r="A1461" t="s">
        <v>1612</v>
      </c>
      <c r="B1461">
        <v>45996</v>
      </c>
      <c r="C1461">
        <v>46009</v>
      </c>
      <c r="D1461" t="s">
        <v>27</v>
      </c>
      <c r="E1461">
        <v>150</v>
      </c>
      <c r="F1461">
        <v>788.01</v>
      </c>
      <c r="G1461">
        <v>1.1000000000000001</v>
      </c>
      <c r="H1461">
        <v>116901.28</v>
      </c>
      <c r="I1461" t="s">
        <v>1728</v>
      </c>
      <c r="J1461">
        <v>558.95000000000005</v>
      </c>
      <c r="K1461">
        <v>83842.5</v>
      </c>
      <c r="L1461">
        <v>3157.88</v>
      </c>
      <c r="M1461">
        <v>578.97</v>
      </c>
      <c r="N1461">
        <v>8365.89</v>
      </c>
      <c r="O1461">
        <v>95945.24</v>
      </c>
      <c r="P1461">
        <v>33058.78</v>
      </c>
      <c r="Q1461">
        <v>20956.04</v>
      </c>
      <c r="R1461" t="s">
        <v>65</v>
      </c>
      <c r="S1461">
        <v>116901.28</v>
      </c>
      <c r="T1461">
        <v>0</v>
      </c>
      <c r="U1461" t="s">
        <v>66</v>
      </c>
      <c r="V1461" t="s">
        <v>6</v>
      </c>
      <c r="W1461" t="s">
        <v>67</v>
      </c>
      <c r="X1461" t="s">
        <v>97</v>
      </c>
      <c r="Y1461" t="s">
        <v>24</v>
      </c>
      <c r="Z1461">
        <v>1.94</v>
      </c>
      <c r="AA1461">
        <f t="shared" si="66"/>
        <v>20956.04</v>
      </c>
      <c r="AB1461">
        <f t="shared" si="67"/>
        <v>0.17926270781637293</v>
      </c>
      <c r="AC1461">
        <f t="shared" si="68"/>
        <v>0</v>
      </c>
      <c r="AD1461">
        <v>2025</v>
      </c>
      <c r="AE1461">
        <v>12</v>
      </c>
      <c r="AF1461" t="s">
        <v>98</v>
      </c>
      <c r="AG1461" t="s">
        <v>168</v>
      </c>
    </row>
    <row r="1462" spans="1:33">
      <c r="A1462" t="s">
        <v>1613</v>
      </c>
      <c r="B1462">
        <v>45952</v>
      </c>
      <c r="C1462">
        <v>45959</v>
      </c>
      <c r="D1462" t="s">
        <v>21</v>
      </c>
      <c r="E1462">
        <v>50</v>
      </c>
      <c r="F1462">
        <v>889.45</v>
      </c>
      <c r="G1462">
        <v>0.54</v>
      </c>
      <c r="H1462">
        <v>44232.35</v>
      </c>
      <c r="I1462" t="s">
        <v>1728</v>
      </c>
      <c r="J1462">
        <v>684.2</v>
      </c>
      <c r="K1462">
        <v>34210</v>
      </c>
      <c r="L1462">
        <v>401.67</v>
      </c>
      <c r="M1462">
        <v>184.08</v>
      </c>
      <c r="N1462">
        <v>2584.4299999999998</v>
      </c>
      <c r="O1462">
        <v>37380.18</v>
      </c>
      <c r="P1462">
        <v>10022.35</v>
      </c>
      <c r="Q1462">
        <v>6852.17</v>
      </c>
      <c r="R1462" t="s">
        <v>65</v>
      </c>
      <c r="S1462">
        <v>44232.35</v>
      </c>
      <c r="T1462">
        <v>0</v>
      </c>
      <c r="U1462" t="s">
        <v>66</v>
      </c>
      <c r="V1462" t="s">
        <v>14</v>
      </c>
      <c r="W1462" t="s">
        <v>141</v>
      </c>
      <c r="X1462" t="s">
        <v>193</v>
      </c>
      <c r="Y1462" t="s">
        <v>30</v>
      </c>
      <c r="Z1462">
        <v>1.46</v>
      </c>
      <c r="AA1462">
        <f t="shared" si="66"/>
        <v>6852.17</v>
      </c>
      <c r="AB1462">
        <f t="shared" si="67"/>
        <v>0.15491308962784026</v>
      </c>
      <c r="AC1462">
        <f t="shared" si="68"/>
        <v>0</v>
      </c>
      <c r="AD1462">
        <v>2025</v>
      </c>
      <c r="AE1462">
        <v>10</v>
      </c>
      <c r="AF1462" t="s">
        <v>138</v>
      </c>
      <c r="AG1462" t="s">
        <v>160</v>
      </c>
    </row>
    <row r="1463" spans="1:33">
      <c r="A1463" t="s">
        <v>1614</v>
      </c>
      <c r="B1463">
        <v>45462</v>
      </c>
      <c r="C1463">
        <v>45474</v>
      </c>
      <c r="D1463" t="s">
        <v>27</v>
      </c>
      <c r="E1463">
        <v>300</v>
      </c>
      <c r="F1463">
        <v>719.92</v>
      </c>
      <c r="G1463">
        <v>1.76</v>
      </c>
      <c r="H1463">
        <v>212174.82</v>
      </c>
      <c r="I1463" t="s">
        <v>1726</v>
      </c>
      <c r="J1463">
        <v>604.27</v>
      </c>
      <c r="K1463">
        <v>181281</v>
      </c>
      <c r="L1463">
        <v>1575.22</v>
      </c>
      <c r="M1463">
        <v>1326.22</v>
      </c>
      <c r="N1463">
        <v>10480.84</v>
      </c>
      <c r="O1463">
        <v>194663.28</v>
      </c>
      <c r="P1463">
        <v>30893.82</v>
      </c>
      <c r="Q1463">
        <v>17511.54</v>
      </c>
      <c r="R1463" t="s">
        <v>65</v>
      </c>
      <c r="S1463">
        <v>212174.82</v>
      </c>
      <c r="T1463">
        <v>0</v>
      </c>
      <c r="U1463" t="s">
        <v>66</v>
      </c>
      <c r="V1463" t="s">
        <v>16</v>
      </c>
      <c r="W1463" t="s">
        <v>67</v>
      </c>
      <c r="X1463" t="s">
        <v>371</v>
      </c>
      <c r="Y1463" t="s">
        <v>26</v>
      </c>
      <c r="Z1463">
        <v>0.56000000000000005</v>
      </c>
      <c r="AA1463">
        <f t="shared" si="66"/>
        <v>17511.54</v>
      </c>
      <c r="AB1463">
        <f t="shared" si="67"/>
        <v>8.2533544743905049E-2</v>
      </c>
      <c r="AC1463">
        <f t="shared" si="68"/>
        <v>0</v>
      </c>
      <c r="AD1463">
        <v>2024</v>
      </c>
      <c r="AE1463">
        <v>6</v>
      </c>
      <c r="AF1463" t="s">
        <v>111</v>
      </c>
      <c r="AG1463" t="s">
        <v>148</v>
      </c>
    </row>
    <row r="1464" spans="1:33">
      <c r="A1464" t="s">
        <v>1615</v>
      </c>
      <c r="B1464">
        <v>46014</v>
      </c>
      <c r="D1464" t="s">
        <v>21</v>
      </c>
      <c r="E1464">
        <v>250</v>
      </c>
      <c r="F1464">
        <v>878.94</v>
      </c>
      <c r="G1464">
        <v>0.22</v>
      </c>
      <c r="H1464">
        <v>0</v>
      </c>
      <c r="I1464" t="s">
        <v>1726</v>
      </c>
      <c r="J1464">
        <v>682.33</v>
      </c>
      <c r="K1464">
        <v>0</v>
      </c>
      <c r="L1464">
        <v>0</v>
      </c>
      <c r="M1464">
        <v>0</v>
      </c>
      <c r="N1464">
        <v>0</v>
      </c>
      <c r="O1464">
        <v>0</v>
      </c>
      <c r="P1464">
        <v>0</v>
      </c>
      <c r="Q1464">
        <v>0</v>
      </c>
      <c r="R1464" t="s">
        <v>65</v>
      </c>
      <c r="S1464">
        <v>0</v>
      </c>
      <c r="T1464">
        <v>0</v>
      </c>
      <c r="U1464" t="s">
        <v>117</v>
      </c>
      <c r="V1464" t="s">
        <v>10</v>
      </c>
      <c r="W1464" t="s">
        <v>92</v>
      </c>
      <c r="X1464" t="s">
        <v>93</v>
      </c>
      <c r="Y1464" t="s">
        <v>26</v>
      </c>
      <c r="Z1464">
        <v>1.25</v>
      </c>
      <c r="AA1464">
        <f t="shared" si="66"/>
        <v>0</v>
      </c>
      <c r="AB1464" t="e">
        <f t="shared" si="67"/>
        <v>#DIV/0!</v>
      </c>
      <c r="AC1464">
        <f t="shared" si="68"/>
        <v>0</v>
      </c>
      <c r="AD1464">
        <v>2025</v>
      </c>
      <c r="AE1464">
        <v>12</v>
      </c>
      <c r="AF1464" t="s">
        <v>98</v>
      </c>
      <c r="AG1464" t="s">
        <v>168</v>
      </c>
    </row>
    <row r="1465" spans="1:33">
      <c r="A1465" t="s">
        <v>1616</v>
      </c>
      <c r="B1465">
        <v>45624</v>
      </c>
      <c r="C1465">
        <v>45629</v>
      </c>
      <c r="D1465" t="s">
        <v>21</v>
      </c>
      <c r="E1465">
        <v>100</v>
      </c>
      <c r="F1465">
        <v>906.97</v>
      </c>
      <c r="G1465">
        <v>0.36</v>
      </c>
      <c r="H1465">
        <v>90370.49</v>
      </c>
      <c r="I1465" t="s">
        <v>1726</v>
      </c>
      <c r="J1465">
        <v>678.28</v>
      </c>
      <c r="K1465">
        <v>67828</v>
      </c>
      <c r="L1465">
        <v>2360.19</v>
      </c>
      <c r="M1465">
        <v>327.26</v>
      </c>
      <c r="N1465">
        <v>10692.55</v>
      </c>
      <c r="O1465">
        <v>81208</v>
      </c>
      <c r="P1465">
        <v>22542.49</v>
      </c>
      <c r="Q1465">
        <v>9162.49</v>
      </c>
      <c r="R1465" t="s">
        <v>65</v>
      </c>
      <c r="S1465">
        <v>90370.49</v>
      </c>
      <c r="T1465">
        <v>0</v>
      </c>
      <c r="U1465" t="s">
        <v>66</v>
      </c>
      <c r="V1465" t="s">
        <v>16</v>
      </c>
      <c r="W1465" t="s">
        <v>67</v>
      </c>
      <c r="X1465" t="s">
        <v>150</v>
      </c>
      <c r="Y1465" t="s">
        <v>30</v>
      </c>
      <c r="Z1465">
        <v>0.16</v>
      </c>
      <c r="AA1465">
        <f t="shared" si="66"/>
        <v>9162.49</v>
      </c>
      <c r="AB1465">
        <f t="shared" si="67"/>
        <v>0.10138807480185179</v>
      </c>
      <c r="AC1465">
        <f t="shared" si="68"/>
        <v>0</v>
      </c>
      <c r="AD1465">
        <v>2024</v>
      </c>
      <c r="AE1465">
        <v>11</v>
      </c>
      <c r="AF1465" t="s">
        <v>128</v>
      </c>
      <c r="AG1465" t="s">
        <v>129</v>
      </c>
    </row>
    <row r="1466" spans="1:33">
      <c r="A1466" t="s">
        <v>1617</v>
      </c>
      <c r="B1466">
        <v>45838</v>
      </c>
      <c r="C1466">
        <v>45852</v>
      </c>
      <c r="D1466" t="s">
        <v>21</v>
      </c>
      <c r="E1466">
        <v>1000</v>
      </c>
      <c r="F1466">
        <v>801.05</v>
      </c>
      <c r="G1466">
        <v>3.61</v>
      </c>
      <c r="H1466">
        <v>772132.1</v>
      </c>
      <c r="I1466" t="s">
        <v>1727</v>
      </c>
      <c r="J1466">
        <v>703.26</v>
      </c>
      <c r="K1466">
        <v>703260</v>
      </c>
      <c r="L1466">
        <v>15129.76</v>
      </c>
      <c r="M1466">
        <v>4359.7</v>
      </c>
      <c r="N1466">
        <v>11414.41</v>
      </c>
      <c r="O1466">
        <v>734163.87</v>
      </c>
      <c r="P1466">
        <v>68872.100000000006</v>
      </c>
      <c r="Q1466">
        <v>37968.230000000003</v>
      </c>
      <c r="R1466" t="s">
        <v>65</v>
      </c>
      <c r="S1466">
        <v>772132.1</v>
      </c>
      <c r="T1466">
        <v>0</v>
      </c>
      <c r="U1466" t="s">
        <v>66</v>
      </c>
      <c r="V1466" t="s">
        <v>16</v>
      </c>
      <c r="W1466" t="s">
        <v>74</v>
      </c>
      <c r="X1466" t="s">
        <v>208</v>
      </c>
      <c r="Y1466" t="s">
        <v>26</v>
      </c>
      <c r="Z1466">
        <v>0.56999999999999995</v>
      </c>
      <c r="AA1466">
        <f t="shared" si="66"/>
        <v>37968.230000000003</v>
      </c>
      <c r="AB1466">
        <f t="shared" si="67"/>
        <v>4.9173230850006112E-2</v>
      </c>
      <c r="AC1466">
        <f t="shared" si="68"/>
        <v>0</v>
      </c>
      <c r="AD1466">
        <v>2025</v>
      </c>
      <c r="AE1466">
        <v>6</v>
      </c>
      <c r="AF1466" t="s">
        <v>111</v>
      </c>
      <c r="AG1466" t="s">
        <v>112</v>
      </c>
    </row>
    <row r="1467" spans="1:33">
      <c r="A1467" t="s">
        <v>1618</v>
      </c>
      <c r="B1467">
        <v>45318</v>
      </c>
      <c r="C1467">
        <v>45325</v>
      </c>
      <c r="D1467" t="s">
        <v>23</v>
      </c>
      <c r="E1467">
        <v>200</v>
      </c>
      <c r="F1467">
        <v>1232.73</v>
      </c>
      <c r="G1467">
        <v>0.79</v>
      </c>
      <c r="H1467">
        <v>244598.29</v>
      </c>
      <c r="I1467" t="s">
        <v>1727</v>
      </c>
      <c r="J1467">
        <v>995.17</v>
      </c>
      <c r="K1467">
        <v>199034</v>
      </c>
      <c r="L1467">
        <v>3707.34</v>
      </c>
      <c r="M1467">
        <v>583.44000000000005</v>
      </c>
      <c r="N1467">
        <v>4446.6899999999996</v>
      </c>
      <c r="O1467">
        <v>207771.47</v>
      </c>
      <c r="P1467">
        <v>45564.29</v>
      </c>
      <c r="Q1467">
        <v>36826.82</v>
      </c>
      <c r="R1467" t="s">
        <v>85</v>
      </c>
      <c r="S1467">
        <v>143946.63</v>
      </c>
      <c r="T1467">
        <v>100651.66</v>
      </c>
      <c r="U1467" t="s">
        <v>66</v>
      </c>
      <c r="V1467" t="s">
        <v>10</v>
      </c>
      <c r="W1467" t="s">
        <v>80</v>
      </c>
      <c r="X1467" t="s">
        <v>193</v>
      </c>
      <c r="Y1467" t="s">
        <v>30</v>
      </c>
      <c r="Z1467">
        <v>2.46</v>
      </c>
      <c r="AA1467">
        <f t="shared" si="66"/>
        <v>36826.82</v>
      </c>
      <c r="AB1467">
        <f t="shared" si="67"/>
        <v>0.1505604147927608</v>
      </c>
      <c r="AC1467">
        <f t="shared" si="68"/>
        <v>0</v>
      </c>
      <c r="AD1467">
        <v>2024</v>
      </c>
      <c r="AE1467">
        <v>1</v>
      </c>
      <c r="AF1467" t="s">
        <v>102</v>
      </c>
      <c r="AG1467" t="s">
        <v>103</v>
      </c>
    </row>
    <row r="1468" spans="1:33">
      <c r="A1468" t="s">
        <v>1619</v>
      </c>
      <c r="B1468">
        <v>45807</v>
      </c>
      <c r="D1468" t="s">
        <v>23</v>
      </c>
      <c r="E1468">
        <v>300</v>
      </c>
      <c r="F1468">
        <v>1224.73</v>
      </c>
      <c r="G1468">
        <v>1.1200000000000001</v>
      </c>
      <c r="H1468">
        <v>0</v>
      </c>
      <c r="I1468" t="s">
        <v>1728</v>
      </c>
      <c r="J1468">
        <v>994.74</v>
      </c>
      <c r="K1468">
        <v>0</v>
      </c>
      <c r="L1468">
        <v>0</v>
      </c>
      <c r="M1468">
        <v>0</v>
      </c>
      <c r="N1468">
        <v>0</v>
      </c>
      <c r="O1468">
        <v>0</v>
      </c>
      <c r="P1468">
        <v>0</v>
      </c>
      <c r="Q1468">
        <v>0</v>
      </c>
      <c r="R1468" t="s">
        <v>65</v>
      </c>
      <c r="S1468">
        <v>0</v>
      </c>
      <c r="T1468">
        <v>0</v>
      </c>
      <c r="U1468" t="s">
        <v>117</v>
      </c>
      <c r="V1468" t="s">
        <v>14</v>
      </c>
      <c r="W1468" t="s">
        <v>74</v>
      </c>
      <c r="X1468" t="s">
        <v>81</v>
      </c>
      <c r="Y1468" t="s">
        <v>24</v>
      </c>
      <c r="Z1468">
        <v>0.04</v>
      </c>
      <c r="AA1468">
        <f t="shared" si="66"/>
        <v>0</v>
      </c>
      <c r="AB1468" t="e">
        <f t="shared" si="67"/>
        <v>#DIV/0!</v>
      </c>
      <c r="AC1468">
        <f t="shared" si="68"/>
        <v>0</v>
      </c>
      <c r="AD1468">
        <v>2025</v>
      </c>
      <c r="AE1468">
        <v>5</v>
      </c>
      <c r="AF1468" t="s">
        <v>76</v>
      </c>
      <c r="AG1468" t="s">
        <v>94</v>
      </c>
    </row>
    <row r="1469" spans="1:33">
      <c r="A1469" t="s">
        <v>1620</v>
      </c>
      <c r="B1469">
        <v>45946</v>
      </c>
      <c r="C1469">
        <v>45960</v>
      </c>
      <c r="D1469" t="s">
        <v>21</v>
      </c>
      <c r="E1469">
        <v>250</v>
      </c>
      <c r="F1469">
        <v>861.56</v>
      </c>
      <c r="G1469">
        <v>1.23</v>
      </c>
      <c r="H1469">
        <v>212740.7</v>
      </c>
      <c r="I1469" t="s">
        <v>1727</v>
      </c>
      <c r="J1469">
        <v>679.31</v>
      </c>
      <c r="K1469">
        <v>169827.5</v>
      </c>
      <c r="L1469">
        <v>3317.78</v>
      </c>
      <c r="M1469">
        <v>801.91</v>
      </c>
      <c r="N1469">
        <v>10785.13</v>
      </c>
      <c r="O1469">
        <v>184732.32</v>
      </c>
      <c r="P1469">
        <v>42913.2</v>
      </c>
      <c r="Q1469">
        <v>28008.38</v>
      </c>
      <c r="R1469" t="s">
        <v>85</v>
      </c>
      <c r="S1469">
        <v>69034.559999999998</v>
      </c>
      <c r="T1469">
        <v>143706.14000000001</v>
      </c>
      <c r="U1469" t="s">
        <v>73</v>
      </c>
      <c r="V1469" t="s">
        <v>10</v>
      </c>
      <c r="W1469" t="s">
        <v>67</v>
      </c>
      <c r="X1469" t="s">
        <v>110</v>
      </c>
      <c r="Y1469" t="s">
        <v>28</v>
      </c>
      <c r="Z1469">
        <v>1.49</v>
      </c>
      <c r="AA1469">
        <f t="shared" si="66"/>
        <v>28008.38</v>
      </c>
      <c r="AB1469">
        <f t="shared" si="67"/>
        <v>0.13165501476680297</v>
      </c>
      <c r="AC1469">
        <f t="shared" si="68"/>
        <v>0</v>
      </c>
      <c r="AD1469">
        <v>2025</v>
      </c>
      <c r="AE1469">
        <v>10</v>
      </c>
      <c r="AF1469" t="s">
        <v>138</v>
      </c>
      <c r="AG1469" t="s">
        <v>160</v>
      </c>
    </row>
    <row r="1470" spans="1:33">
      <c r="A1470" t="s">
        <v>1621</v>
      </c>
      <c r="B1470">
        <v>45415</v>
      </c>
      <c r="C1470">
        <v>45427</v>
      </c>
      <c r="D1470" t="s">
        <v>27</v>
      </c>
      <c r="E1470">
        <v>200</v>
      </c>
      <c r="F1470">
        <v>744.36</v>
      </c>
      <c r="G1470">
        <v>2.2200000000000002</v>
      </c>
      <c r="H1470">
        <v>145567.04000000001</v>
      </c>
      <c r="I1470" t="s">
        <v>1726</v>
      </c>
      <c r="J1470">
        <v>597.14</v>
      </c>
      <c r="K1470">
        <v>119428</v>
      </c>
      <c r="L1470">
        <v>1849.89</v>
      </c>
      <c r="M1470">
        <v>457.21</v>
      </c>
      <c r="N1470">
        <v>10610</v>
      </c>
      <c r="O1470">
        <v>132345.1</v>
      </c>
      <c r="P1470">
        <v>26139.040000000001</v>
      </c>
      <c r="Q1470">
        <v>13221.94</v>
      </c>
      <c r="R1470" t="s">
        <v>65</v>
      </c>
      <c r="S1470">
        <v>145567.04000000001</v>
      </c>
      <c r="T1470">
        <v>0</v>
      </c>
      <c r="U1470" t="s">
        <v>66</v>
      </c>
      <c r="V1470" t="s">
        <v>14</v>
      </c>
      <c r="W1470" t="s">
        <v>74</v>
      </c>
      <c r="X1470" t="s">
        <v>125</v>
      </c>
      <c r="Y1470" t="s">
        <v>24</v>
      </c>
      <c r="Z1470">
        <v>1.19</v>
      </c>
      <c r="AA1470">
        <f t="shared" si="66"/>
        <v>13221.94</v>
      </c>
      <c r="AB1470">
        <f t="shared" si="67"/>
        <v>9.0830589122372754E-2</v>
      </c>
      <c r="AC1470">
        <f t="shared" si="68"/>
        <v>0</v>
      </c>
      <c r="AD1470">
        <v>2024</v>
      </c>
      <c r="AE1470">
        <v>5</v>
      </c>
      <c r="AF1470" t="s">
        <v>76</v>
      </c>
      <c r="AG1470" t="s">
        <v>77</v>
      </c>
    </row>
    <row r="1471" spans="1:33">
      <c r="A1471" t="s">
        <v>1622</v>
      </c>
      <c r="B1471">
        <v>45954</v>
      </c>
      <c r="C1471">
        <v>45965</v>
      </c>
      <c r="D1471" t="s">
        <v>25</v>
      </c>
      <c r="E1471">
        <v>300</v>
      </c>
      <c r="F1471">
        <v>996.72</v>
      </c>
      <c r="G1471">
        <v>1.97</v>
      </c>
      <c r="H1471">
        <v>293125.38</v>
      </c>
      <c r="I1471" t="s">
        <v>1726</v>
      </c>
      <c r="J1471">
        <v>774.58</v>
      </c>
      <c r="K1471">
        <v>232374</v>
      </c>
      <c r="L1471">
        <v>1715.41</v>
      </c>
      <c r="M1471">
        <v>1121.4000000000001</v>
      </c>
      <c r="N1471">
        <v>1236.6500000000001</v>
      </c>
      <c r="O1471">
        <v>236447.46</v>
      </c>
      <c r="P1471">
        <v>60751.38</v>
      </c>
      <c r="Q1471">
        <v>56677.919999999998</v>
      </c>
      <c r="R1471" t="s">
        <v>85</v>
      </c>
      <c r="S1471">
        <v>179090.99</v>
      </c>
      <c r="T1471">
        <v>114034.39</v>
      </c>
      <c r="U1471" t="s">
        <v>73</v>
      </c>
      <c r="V1471" t="s">
        <v>8</v>
      </c>
      <c r="W1471" t="s">
        <v>141</v>
      </c>
      <c r="X1471" t="s">
        <v>275</v>
      </c>
      <c r="Y1471" t="s">
        <v>31</v>
      </c>
      <c r="Z1471">
        <v>2.08</v>
      </c>
      <c r="AA1471">
        <f t="shared" si="66"/>
        <v>56677.919999999998</v>
      </c>
      <c r="AB1471">
        <f t="shared" si="67"/>
        <v>0.19335725893131464</v>
      </c>
      <c r="AC1471">
        <f t="shared" si="68"/>
        <v>0</v>
      </c>
      <c r="AD1471">
        <v>2025</v>
      </c>
      <c r="AE1471">
        <v>10</v>
      </c>
      <c r="AF1471" t="s">
        <v>138</v>
      </c>
      <c r="AG1471" t="s">
        <v>160</v>
      </c>
    </row>
    <row r="1472" spans="1:33">
      <c r="A1472" t="s">
        <v>1623</v>
      </c>
      <c r="B1472">
        <v>45666</v>
      </c>
      <c r="C1472">
        <v>45676</v>
      </c>
      <c r="D1472" t="s">
        <v>27</v>
      </c>
      <c r="E1472">
        <v>50</v>
      </c>
      <c r="F1472">
        <v>743.9</v>
      </c>
      <c r="G1472">
        <v>1.17</v>
      </c>
      <c r="H1472">
        <v>36759.82</v>
      </c>
      <c r="I1472" t="s">
        <v>1727</v>
      </c>
      <c r="J1472">
        <v>592.02</v>
      </c>
      <c r="K1472">
        <v>29601</v>
      </c>
      <c r="L1472">
        <v>999.32</v>
      </c>
      <c r="M1472">
        <v>234.65</v>
      </c>
      <c r="N1472">
        <v>1206.28</v>
      </c>
      <c r="O1472">
        <v>32041.25</v>
      </c>
      <c r="P1472">
        <v>7158.82</v>
      </c>
      <c r="Q1472">
        <v>4718.57</v>
      </c>
      <c r="R1472" t="s">
        <v>65</v>
      </c>
      <c r="S1472">
        <v>36759.82</v>
      </c>
      <c r="T1472">
        <v>0</v>
      </c>
      <c r="U1472" t="s">
        <v>66</v>
      </c>
      <c r="V1472" t="s">
        <v>14</v>
      </c>
      <c r="W1472" t="s">
        <v>141</v>
      </c>
      <c r="X1472" t="s">
        <v>176</v>
      </c>
      <c r="Y1472" t="s">
        <v>22</v>
      </c>
      <c r="Z1472">
        <v>2.3199999999999998</v>
      </c>
      <c r="AA1472">
        <f t="shared" si="66"/>
        <v>4718.57</v>
      </c>
      <c r="AB1472">
        <f t="shared" si="67"/>
        <v>0.12836216281798984</v>
      </c>
      <c r="AC1472">
        <f t="shared" si="68"/>
        <v>0</v>
      </c>
      <c r="AD1472">
        <v>2025</v>
      </c>
      <c r="AE1472">
        <v>1</v>
      </c>
      <c r="AF1472" t="s">
        <v>102</v>
      </c>
      <c r="AG1472" t="s">
        <v>118</v>
      </c>
    </row>
    <row r="1473" spans="1:33">
      <c r="A1473" t="s">
        <v>1624</v>
      </c>
      <c r="B1473">
        <v>45658</v>
      </c>
      <c r="C1473">
        <v>45669</v>
      </c>
      <c r="D1473" t="s">
        <v>21</v>
      </c>
      <c r="E1473">
        <v>100</v>
      </c>
      <c r="F1473">
        <v>888.58</v>
      </c>
      <c r="G1473">
        <v>2.2200000000000002</v>
      </c>
      <c r="H1473">
        <v>86885.35</v>
      </c>
      <c r="I1473" t="s">
        <v>1728</v>
      </c>
      <c r="J1473">
        <v>730.53</v>
      </c>
      <c r="K1473">
        <v>73053</v>
      </c>
      <c r="L1473">
        <v>2213.1</v>
      </c>
      <c r="M1473">
        <v>220.79</v>
      </c>
      <c r="N1473">
        <v>1914.68</v>
      </c>
      <c r="O1473">
        <v>77401.570000000007</v>
      </c>
      <c r="P1473">
        <v>13832.35</v>
      </c>
      <c r="Q1473">
        <v>9483.7800000000007</v>
      </c>
      <c r="R1473" t="s">
        <v>85</v>
      </c>
      <c r="S1473">
        <v>58377.53</v>
      </c>
      <c r="T1473">
        <v>28507.82</v>
      </c>
      <c r="U1473" t="s">
        <v>66</v>
      </c>
      <c r="V1473" t="s">
        <v>8</v>
      </c>
      <c r="W1473" t="s">
        <v>141</v>
      </c>
      <c r="X1473" t="s">
        <v>127</v>
      </c>
      <c r="Y1473" t="s">
        <v>22</v>
      </c>
      <c r="Z1473">
        <v>1.76</v>
      </c>
      <c r="AA1473">
        <f t="shared" si="66"/>
        <v>9483.7800000000007</v>
      </c>
      <c r="AB1473">
        <f t="shared" si="67"/>
        <v>0.10915280884521959</v>
      </c>
      <c r="AC1473">
        <f t="shared" si="68"/>
        <v>0</v>
      </c>
      <c r="AD1473">
        <v>2025</v>
      </c>
      <c r="AE1473">
        <v>1</v>
      </c>
      <c r="AF1473" t="s">
        <v>102</v>
      </c>
      <c r="AG1473" t="s">
        <v>118</v>
      </c>
    </row>
    <row r="1474" spans="1:33">
      <c r="A1474" t="s">
        <v>1625</v>
      </c>
      <c r="B1474">
        <v>45689</v>
      </c>
      <c r="C1474">
        <v>45697</v>
      </c>
      <c r="D1474" t="s">
        <v>23</v>
      </c>
      <c r="E1474">
        <v>150</v>
      </c>
      <c r="F1474">
        <v>1333.89</v>
      </c>
      <c r="G1474">
        <v>0.03</v>
      </c>
      <c r="H1474">
        <v>200023.47</v>
      </c>
      <c r="I1474" t="s">
        <v>1726</v>
      </c>
      <c r="J1474">
        <v>1026.1199999999999</v>
      </c>
      <c r="K1474">
        <v>153918</v>
      </c>
      <c r="L1474">
        <v>984.6</v>
      </c>
      <c r="M1474">
        <v>865.55</v>
      </c>
      <c r="N1474">
        <v>2107.9</v>
      </c>
      <c r="O1474">
        <v>157876.04999999999</v>
      </c>
      <c r="P1474">
        <v>46105.47</v>
      </c>
      <c r="Q1474">
        <v>42147.42</v>
      </c>
      <c r="R1474" t="s">
        <v>134</v>
      </c>
      <c r="S1474">
        <v>0</v>
      </c>
      <c r="T1474">
        <v>200023.47</v>
      </c>
      <c r="U1474" t="s">
        <v>66</v>
      </c>
      <c r="V1474" t="s">
        <v>16</v>
      </c>
      <c r="W1474" t="s">
        <v>92</v>
      </c>
      <c r="X1474" t="s">
        <v>127</v>
      </c>
      <c r="Y1474" t="s">
        <v>22</v>
      </c>
      <c r="Z1474">
        <v>1.54</v>
      </c>
      <c r="AA1474">
        <f t="shared" ref="AA1474:AA1501" si="69">ROUND(H1474-O1474,2)</f>
        <v>42147.42</v>
      </c>
      <c r="AB1474">
        <f t="shared" ref="AB1474:AB1501" si="70">AA1474/H1474</f>
        <v>0.21071237290303982</v>
      </c>
      <c r="AC1474">
        <f t="shared" ref="AC1474:AC1501" si="71">ROUND(AA1474-Q1474,2)</f>
        <v>0</v>
      </c>
      <c r="AD1474">
        <v>2025</v>
      </c>
      <c r="AE1474">
        <v>2</v>
      </c>
      <c r="AF1474" t="s">
        <v>172</v>
      </c>
      <c r="AG1474" t="s">
        <v>244</v>
      </c>
    </row>
    <row r="1475" spans="1:33">
      <c r="A1475" t="s">
        <v>1626</v>
      </c>
      <c r="B1475">
        <v>45310</v>
      </c>
      <c r="C1475">
        <v>45318</v>
      </c>
      <c r="D1475" t="s">
        <v>23</v>
      </c>
      <c r="E1475">
        <v>200</v>
      </c>
      <c r="F1475">
        <v>1339.42</v>
      </c>
      <c r="G1475">
        <v>0.03</v>
      </c>
      <c r="H1475">
        <v>267803.63</v>
      </c>
      <c r="I1475" t="s">
        <v>1726</v>
      </c>
      <c r="J1475">
        <v>995.3</v>
      </c>
      <c r="K1475">
        <v>199060</v>
      </c>
      <c r="L1475">
        <v>3034.64</v>
      </c>
      <c r="M1475">
        <v>814.31</v>
      </c>
      <c r="N1475">
        <v>6666.23</v>
      </c>
      <c r="O1475">
        <v>209575.18</v>
      </c>
      <c r="P1475">
        <v>68743.63</v>
      </c>
      <c r="Q1475">
        <v>58228.45</v>
      </c>
      <c r="R1475" t="s">
        <v>65</v>
      </c>
      <c r="S1475">
        <v>267803.63</v>
      </c>
      <c r="T1475">
        <v>0</v>
      </c>
      <c r="U1475" t="s">
        <v>66</v>
      </c>
      <c r="V1475" t="s">
        <v>6</v>
      </c>
      <c r="W1475" t="s">
        <v>74</v>
      </c>
      <c r="X1475" t="s">
        <v>185</v>
      </c>
      <c r="Y1475" t="s">
        <v>31</v>
      </c>
      <c r="Z1475">
        <v>2.3199999999999998</v>
      </c>
      <c r="AA1475">
        <f t="shared" si="69"/>
        <v>58228.45</v>
      </c>
      <c r="AB1475">
        <f t="shared" si="70"/>
        <v>0.21742965171905995</v>
      </c>
      <c r="AC1475">
        <f t="shared" si="71"/>
        <v>0</v>
      </c>
      <c r="AD1475">
        <v>2024</v>
      </c>
      <c r="AE1475">
        <v>1</v>
      </c>
      <c r="AF1475" t="s">
        <v>102</v>
      </c>
      <c r="AG1475" t="s">
        <v>103</v>
      </c>
    </row>
    <row r="1476" spans="1:33">
      <c r="A1476" t="s">
        <v>1627</v>
      </c>
      <c r="B1476">
        <v>45706</v>
      </c>
      <c r="C1476">
        <v>45720</v>
      </c>
      <c r="D1476" t="s">
        <v>25</v>
      </c>
      <c r="E1476">
        <v>100</v>
      </c>
      <c r="F1476">
        <v>983.14</v>
      </c>
      <c r="G1476">
        <v>1.39</v>
      </c>
      <c r="H1476">
        <v>96947.44</v>
      </c>
      <c r="I1476" t="s">
        <v>1726</v>
      </c>
      <c r="J1476">
        <v>810.07</v>
      </c>
      <c r="K1476">
        <v>81007</v>
      </c>
      <c r="L1476">
        <v>1892.83</v>
      </c>
      <c r="M1476">
        <v>493.28</v>
      </c>
      <c r="N1476">
        <v>145.88999999999999</v>
      </c>
      <c r="O1476">
        <v>83539</v>
      </c>
      <c r="P1476">
        <v>15940.44</v>
      </c>
      <c r="Q1476">
        <v>13408.44</v>
      </c>
      <c r="R1476" t="s">
        <v>65</v>
      </c>
      <c r="S1476">
        <v>96947.44</v>
      </c>
      <c r="T1476">
        <v>0</v>
      </c>
      <c r="U1476" t="s">
        <v>66</v>
      </c>
      <c r="V1476" t="s">
        <v>6</v>
      </c>
      <c r="W1476" t="s">
        <v>67</v>
      </c>
      <c r="X1476" t="s">
        <v>108</v>
      </c>
      <c r="Y1476" t="s">
        <v>22</v>
      </c>
      <c r="Z1476">
        <v>1.77</v>
      </c>
      <c r="AA1476">
        <f t="shared" si="69"/>
        <v>13408.44</v>
      </c>
      <c r="AB1476">
        <f t="shared" si="70"/>
        <v>0.13830628224943331</v>
      </c>
      <c r="AC1476">
        <f t="shared" si="71"/>
        <v>0</v>
      </c>
      <c r="AD1476">
        <v>2025</v>
      </c>
      <c r="AE1476">
        <v>2</v>
      </c>
      <c r="AF1476" t="s">
        <v>172</v>
      </c>
      <c r="AG1476" t="s">
        <v>244</v>
      </c>
    </row>
    <row r="1477" spans="1:33">
      <c r="A1477" t="s">
        <v>1628</v>
      </c>
      <c r="B1477">
        <v>45517</v>
      </c>
      <c r="C1477">
        <v>45519</v>
      </c>
      <c r="D1477" t="s">
        <v>21</v>
      </c>
      <c r="E1477">
        <v>50</v>
      </c>
      <c r="F1477">
        <v>922.09</v>
      </c>
      <c r="G1477">
        <v>1.07</v>
      </c>
      <c r="H1477">
        <v>45611.18</v>
      </c>
      <c r="I1477" t="s">
        <v>1729</v>
      </c>
      <c r="J1477">
        <v>703.52</v>
      </c>
      <c r="K1477">
        <v>35176</v>
      </c>
      <c r="L1477">
        <v>891.26</v>
      </c>
      <c r="M1477">
        <v>81.7</v>
      </c>
      <c r="N1477">
        <v>4151.2700000000004</v>
      </c>
      <c r="O1477">
        <v>40300.230000000003</v>
      </c>
      <c r="P1477">
        <v>10435.18</v>
      </c>
      <c r="Q1477">
        <v>5310.95</v>
      </c>
      <c r="R1477" t="s">
        <v>134</v>
      </c>
      <c r="S1477">
        <v>0</v>
      </c>
      <c r="T1477">
        <v>45611.18</v>
      </c>
      <c r="U1477" t="s">
        <v>73</v>
      </c>
      <c r="V1477" t="s">
        <v>10</v>
      </c>
      <c r="W1477" t="s">
        <v>141</v>
      </c>
      <c r="X1477" t="s">
        <v>125</v>
      </c>
      <c r="Y1477" t="s">
        <v>24</v>
      </c>
      <c r="Z1477">
        <v>0.74</v>
      </c>
      <c r="AA1477">
        <f t="shared" si="69"/>
        <v>5310.95</v>
      </c>
      <c r="AB1477">
        <f t="shared" si="70"/>
        <v>0.1164396536112418</v>
      </c>
      <c r="AC1477">
        <f t="shared" si="71"/>
        <v>0</v>
      </c>
      <c r="AD1477">
        <v>2024</v>
      </c>
      <c r="AE1477">
        <v>8</v>
      </c>
      <c r="AF1477" t="s">
        <v>82</v>
      </c>
      <c r="AG1477" t="s">
        <v>83</v>
      </c>
    </row>
    <row r="1478" spans="1:33">
      <c r="A1478" t="s">
        <v>1629</v>
      </c>
      <c r="B1478">
        <v>45488</v>
      </c>
      <c r="D1478" t="s">
        <v>21</v>
      </c>
      <c r="E1478">
        <v>300</v>
      </c>
      <c r="F1478">
        <v>878.79</v>
      </c>
      <c r="G1478">
        <v>0.73</v>
      </c>
      <c r="H1478">
        <v>261712.45</v>
      </c>
      <c r="I1478" t="s">
        <v>1728</v>
      </c>
      <c r="J1478">
        <v>660.96</v>
      </c>
      <c r="K1478">
        <v>198288</v>
      </c>
      <c r="L1478">
        <v>4669.97</v>
      </c>
      <c r="M1478">
        <v>1246.51</v>
      </c>
      <c r="N1478">
        <v>11637.66</v>
      </c>
      <c r="O1478">
        <v>215842.14</v>
      </c>
      <c r="P1478">
        <v>63424.45</v>
      </c>
      <c r="Q1478">
        <v>45870.31</v>
      </c>
      <c r="R1478" t="s">
        <v>65</v>
      </c>
      <c r="S1478">
        <v>261712.45</v>
      </c>
      <c r="T1478">
        <v>0</v>
      </c>
      <c r="U1478" t="s">
        <v>91</v>
      </c>
      <c r="V1478" t="s">
        <v>8</v>
      </c>
      <c r="W1478" t="s">
        <v>92</v>
      </c>
      <c r="X1478" t="s">
        <v>101</v>
      </c>
      <c r="Y1478" t="s">
        <v>22</v>
      </c>
      <c r="Z1478">
        <v>0.56000000000000005</v>
      </c>
      <c r="AA1478">
        <f t="shared" si="69"/>
        <v>45870.31</v>
      </c>
      <c r="AB1478">
        <f t="shared" si="70"/>
        <v>0.17526988112334738</v>
      </c>
      <c r="AC1478">
        <f t="shared" si="71"/>
        <v>0</v>
      </c>
      <c r="AD1478">
        <v>2024</v>
      </c>
      <c r="AE1478">
        <v>7</v>
      </c>
      <c r="AF1478" t="s">
        <v>69</v>
      </c>
      <c r="AG1478" t="s">
        <v>70</v>
      </c>
    </row>
    <row r="1479" spans="1:33">
      <c r="A1479" t="s">
        <v>1630</v>
      </c>
      <c r="B1479">
        <v>45900</v>
      </c>
      <c r="C1479">
        <v>45900</v>
      </c>
      <c r="D1479" t="s">
        <v>23</v>
      </c>
      <c r="E1479">
        <v>150</v>
      </c>
      <c r="F1479">
        <v>1259.67</v>
      </c>
      <c r="G1479">
        <v>1.18</v>
      </c>
      <c r="H1479">
        <v>186720.88</v>
      </c>
      <c r="I1479" t="s">
        <v>1726</v>
      </c>
      <c r="J1479">
        <v>972.35</v>
      </c>
      <c r="K1479">
        <v>145852.5</v>
      </c>
      <c r="L1479">
        <v>1195.75</v>
      </c>
      <c r="M1479">
        <v>777.73</v>
      </c>
      <c r="N1479">
        <v>563.91</v>
      </c>
      <c r="O1479">
        <v>148389.89000000001</v>
      </c>
      <c r="P1479">
        <v>40868.379999999997</v>
      </c>
      <c r="Q1479">
        <v>38330.99</v>
      </c>
      <c r="R1479" t="s">
        <v>65</v>
      </c>
      <c r="S1479">
        <v>186720.88</v>
      </c>
      <c r="T1479">
        <v>0</v>
      </c>
      <c r="U1479" t="s">
        <v>66</v>
      </c>
      <c r="V1479" t="s">
        <v>16</v>
      </c>
      <c r="W1479" t="s">
        <v>141</v>
      </c>
      <c r="X1479" t="s">
        <v>176</v>
      </c>
      <c r="Y1479" t="s">
        <v>22</v>
      </c>
      <c r="Z1479">
        <v>1.25</v>
      </c>
      <c r="AA1479">
        <f t="shared" si="69"/>
        <v>38330.99</v>
      </c>
      <c r="AB1479">
        <f t="shared" si="70"/>
        <v>0.20528496866552898</v>
      </c>
      <c r="AC1479">
        <f t="shared" si="71"/>
        <v>0</v>
      </c>
      <c r="AD1479">
        <v>2025</v>
      </c>
      <c r="AE1479">
        <v>8</v>
      </c>
      <c r="AF1479" t="s">
        <v>82</v>
      </c>
      <c r="AG1479" t="s">
        <v>87</v>
      </c>
    </row>
    <row r="1480" spans="1:33">
      <c r="A1480" t="s">
        <v>1631</v>
      </c>
      <c r="B1480">
        <v>45959</v>
      </c>
      <c r="C1480">
        <v>45962</v>
      </c>
      <c r="D1480" t="s">
        <v>27</v>
      </c>
      <c r="E1480">
        <v>500</v>
      </c>
      <c r="F1480">
        <v>698.19</v>
      </c>
      <c r="G1480">
        <v>4.41</v>
      </c>
      <c r="H1480">
        <v>333699.90999999997</v>
      </c>
      <c r="I1480" t="s">
        <v>1729</v>
      </c>
      <c r="J1480">
        <v>540.22</v>
      </c>
      <c r="K1480">
        <v>270110</v>
      </c>
      <c r="L1480">
        <v>9880.9699999999993</v>
      </c>
      <c r="M1480">
        <v>1781.04</v>
      </c>
      <c r="N1480">
        <v>34.76</v>
      </c>
      <c r="O1480">
        <v>281806.77</v>
      </c>
      <c r="P1480">
        <v>63589.91</v>
      </c>
      <c r="Q1480">
        <v>51893.14</v>
      </c>
      <c r="R1480" t="s">
        <v>65</v>
      </c>
      <c r="S1480">
        <v>333699.90999999997</v>
      </c>
      <c r="T1480">
        <v>0</v>
      </c>
      <c r="U1480" t="s">
        <v>66</v>
      </c>
      <c r="V1480" t="s">
        <v>12</v>
      </c>
      <c r="W1480" t="s">
        <v>141</v>
      </c>
      <c r="X1480" t="s">
        <v>145</v>
      </c>
      <c r="Y1480" t="s">
        <v>30</v>
      </c>
      <c r="Z1480">
        <v>0.05</v>
      </c>
      <c r="AA1480">
        <f t="shared" si="69"/>
        <v>51893.14</v>
      </c>
      <c r="AB1480">
        <f t="shared" si="70"/>
        <v>0.15550840274425007</v>
      </c>
      <c r="AC1480">
        <f t="shared" si="71"/>
        <v>0</v>
      </c>
      <c r="AD1480">
        <v>2025</v>
      </c>
      <c r="AE1480">
        <v>10</v>
      </c>
      <c r="AF1480" t="s">
        <v>138</v>
      </c>
      <c r="AG1480" t="s">
        <v>160</v>
      </c>
    </row>
    <row r="1481" spans="1:33">
      <c r="A1481" t="s">
        <v>1632</v>
      </c>
      <c r="B1481">
        <v>45944</v>
      </c>
      <c r="C1481">
        <v>45949</v>
      </c>
      <c r="D1481" t="s">
        <v>25</v>
      </c>
      <c r="E1481">
        <v>200</v>
      </c>
      <c r="F1481">
        <v>986.46</v>
      </c>
      <c r="G1481">
        <v>1.1200000000000001</v>
      </c>
      <c r="H1481">
        <v>195082.33</v>
      </c>
      <c r="I1481" t="s">
        <v>1726</v>
      </c>
      <c r="J1481">
        <v>809.78</v>
      </c>
      <c r="K1481">
        <v>161956</v>
      </c>
      <c r="L1481">
        <v>3062.03</v>
      </c>
      <c r="M1481">
        <v>513.78</v>
      </c>
      <c r="N1481">
        <v>7717.71</v>
      </c>
      <c r="O1481">
        <v>173249.52</v>
      </c>
      <c r="P1481">
        <v>33126.33</v>
      </c>
      <c r="Q1481">
        <v>21832.81</v>
      </c>
      <c r="R1481" t="s">
        <v>85</v>
      </c>
      <c r="S1481">
        <v>116345.7</v>
      </c>
      <c r="T1481">
        <v>78736.63</v>
      </c>
      <c r="U1481" t="s">
        <v>66</v>
      </c>
      <c r="V1481" t="s">
        <v>6</v>
      </c>
      <c r="W1481" t="s">
        <v>141</v>
      </c>
      <c r="X1481" t="s">
        <v>86</v>
      </c>
      <c r="Y1481" t="s">
        <v>30</v>
      </c>
      <c r="Z1481">
        <v>1.31</v>
      </c>
      <c r="AA1481">
        <f t="shared" si="69"/>
        <v>21832.81</v>
      </c>
      <c r="AB1481">
        <f t="shared" si="70"/>
        <v>0.11191587674803763</v>
      </c>
      <c r="AC1481">
        <f t="shared" si="71"/>
        <v>0</v>
      </c>
      <c r="AD1481">
        <v>2025</v>
      </c>
      <c r="AE1481">
        <v>10</v>
      </c>
      <c r="AF1481" t="s">
        <v>138</v>
      </c>
      <c r="AG1481" t="s">
        <v>160</v>
      </c>
    </row>
    <row r="1482" spans="1:33">
      <c r="A1482" t="s">
        <v>1633</v>
      </c>
      <c r="B1482">
        <v>45554</v>
      </c>
      <c r="C1482">
        <v>45565</v>
      </c>
      <c r="D1482" t="s">
        <v>21</v>
      </c>
      <c r="E1482">
        <v>150</v>
      </c>
      <c r="F1482">
        <v>835.63</v>
      </c>
      <c r="G1482">
        <v>0.97</v>
      </c>
      <c r="H1482">
        <v>124128.66</v>
      </c>
      <c r="I1482" t="s">
        <v>1726</v>
      </c>
      <c r="J1482">
        <v>667.06</v>
      </c>
      <c r="K1482">
        <v>100059</v>
      </c>
      <c r="L1482">
        <v>1938.66</v>
      </c>
      <c r="M1482">
        <v>884.05</v>
      </c>
      <c r="N1482">
        <v>1826.07</v>
      </c>
      <c r="O1482">
        <v>104707.78</v>
      </c>
      <c r="P1482">
        <v>24069.66</v>
      </c>
      <c r="Q1482">
        <v>19420.88</v>
      </c>
      <c r="R1482" t="s">
        <v>65</v>
      </c>
      <c r="S1482">
        <v>124128.66</v>
      </c>
      <c r="T1482">
        <v>0</v>
      </c>
      <c r="U1482" t="s">
        <v>66</v>
      </c>
      <c r="V1482" t="s">
        <v>10</v>
      </c>
      <c r="W1482" t="s">
        <v>74</v>
      </c>
      <c r="X1482" t="s">
        <v>123</v>
      </c>
      <c r="Y1482" t="s">
        <v>22</v>
      </c>
      <c r="Z1482">
        <v>0.5</v>
      </c>
      <c r="AA1482">
        <f t="shared" si="69"/>
        <v>19420.88</v>
      </c>
      <c r="AB1482">
        <f t="shared" si="70"/>
        <v>0.15645766255754312</v>
      </c>
      <c r="AC1482">
        <f t="shared" si="71"/>
        <v>0</v>
      </c>
      <c r="AD1482">
        <v>2024</v>
      </c>
      <c r="AE1482">
        <v>9</v>
      </c>
      <c r="AF1482" t="s">
        <v>131</v>
      </c>
      <c r="AG1482" t="s">
        <v>188</v>
      </c>
    </row>
    <row r="1483" spans="1:33">
      <c r="A1483" t="s">
        <v>1634</v>
      </c>
      <c r="B1483">
        <v>45942</v>
      </c>
      <c r="C1483">
        <v>45955</v>
      </c>
      <c r="D1483" t="s">
        <v>21</v>
      </c>
      <c r="E1483">
        <v>300</v>
      </c>
      <c r="F1483">
        <v>889.13</v>
      </c>
      <c r="G1483">
        <v>0.46</v>
      </c>
      <c r="H1483">
        <v>265512</v>
      </c>
      <c r="I1483" t="s">
        <v>1728</v>
      </c>
      <c r="J1483">
        <v>709.86</v>
      </c>
      <c r="K1483">
        <v>212958</v>
      </c>
      <c r="L1483">
        <v>3519.67</v>
      </c>
      <c r="M1483">
        <v>687.21</v>
      </c>
      <c r="N1483">
        <v>1181.3699999999999</v>
      </c>
      <c r="O1483">
        <v>218346.25</v>
      </c>
      <c r="P1483">
        <v>52554</v>
      </c>
      <c r="Q1483">
        <v>47165.75</v>
      </c>
      <c r="R1483" t="s">
        <v>65</v>
      </c>
      <c r="S1483">
        <v>265512</v>
      </c>
      <c r="T1483">
        <v>0</v>
      </c>
      <c r="U1483" t="s">
        <v>66</v>
      </c>
      <c r="V1483" t="s">
        <v>8</v>
      </c>
      <c r="W1483" t="s">
        <v>80</v>
      </c>
      <c r="X1483" t="s">
        <v>239</v>
      </c>
      <c r="Y1483" t="s">
        <v>28</v>
      </c>
      <c r="Z1483">
        <v>1.62</v>
      </c>
      <c r="AA1483">
        <f t="shared" si="69"/>
        <v>47165.75</v>
      </c>
      <c r="AB1483">
        <f t="shared" si="70"/>
        <v>0.17764074693422519</v>
      </c>
      <c r="AC1483">
        <f t="shared" si="71"/>
        <v>0</v>
      </c>
      <c r="AD1483">
        <v>2025</v>
      </c>
      <c r="AE1483">
        <v>10</v>
      </c>
      <c r="AF1483" t="s">
        <v>138</v>
      </c>
      <c r="AG1483" t="s">
        <v>160</v>
      </c>
    </row>
    <row r="1484" spans="1:33">
      <c r="A1484" t="s">
        <v>1635</v>
      </c>
      <c r="B1484">
        <v>45588</v>
      </c>
      <c r="C1484">
        <v>45598</v>
      </c>
      <c r="D1484" t="s">
        <v>23</v>
      </c>
      <c r="E1484">
        <v>500</v>
      </c>
      <c r="F1484">
        <v>1313.37</v>
      </c>
      <c r="G1484">
        <v>0.59</v>
      </c>
      <c r="H1484">
        <v>652810.56000000006</v>
      </c>
      <c r="I1484" t="s">
        <v>1726</v>
      </c>
      <c r="J1484">
        <v>969.97</v>
      </c>
      <c r="K1484">
        <v>484985</v>
      </c>
      <c r="L1484">
        <v>9405.2800000000007</v>
      </c>
      <c r="M1484">
        <v>2849.89</v>
      </c>
      <c r="N1484">
        <v>3667.06</v>
      </c>
      <c r="O1484">
        <v>500907.23</v>
      </c>
      <c r="P1484">
        <v>167825.56</v>
      </c>
      <c r="Q1484">
        <v>151903.32999999999</v>
      </c>
      <c r="R1484" t="s">
        <v>65</v>
      </c>
      <c r="S1484">
        <v>652810.56000000006</v>
      </c>
      <c r="T1484">
        <v>0</v>
      </c>
      <c r="U1484" t="s">
        <v>73</v>
      </c>
      <c r="V1484" t="s">
        <v>6</v>
      </c>
      <c r="W1484" t="s">
        <v>74</v>
      </c>
      <c r="X1484" t="s">
        <v>371</v>
      </c>
      <c r="Y1484" t="s">
        <v>26</v>
      </c>
      <c r="Z1484">
        <v>2.37</v>
      </c>
      <c r="AA1484">
        <f t="shared" si="69"/>
        <v>151903.32999999999</v>
      </c>
      <c r="AB1484">
        <f t="shared" si="70"/>
        <v>0.23269128795955749</v>
      </c>
      <c r="AC1484">
        <f t="shared" si="71"/>
        <v>0</v>
      </c>
      <c r="AD1484">
        <v>2024</v>
      </c>
      <c r="AE1484">
        <v>10</v>
      </c>
      <c r="AF1484" t="s">
        <v>138</v>
      </c>
      <c r="AG1484" t="s">
        <v>139</v>
      </c>
    </row>
    <row r="1485" spans="1:33">
      <c r="A1485" t="s">
        <v>1636</v>
      </c>
      <c r="B1485">
        <v>45625</v>
      </c>
      <c r="C1485">
        <v>45636</v>
      </c>
      <c r="D1485" t="s">
        <v>21</v>
      </c>
      <c r="E1485">
        <v>150</v>
      </c>
      <c r="F1485">
        <v>896.97</v>
      </c>
      <c r="G1485">
        <v>2.13</v>
      </c>
      <c r="H1485">
        <v>131679.67999999999</v>
      </c>
      <c r="I1485" t="s">
        <v>1728</v>
      </c>
      <c r="J1485">
        <v>691.39</v>
      </c>
      <c r="K1485">
        <v>103708.5</v>
      </c>
      <c r="L1485">
        <v>3545.31</v>
      </c>
      <c r="M1485">
        <v>617.72</v>
      </c>
      <c r="N1485">
        <v>3009.87</v>
      </c>
      <c r="O1485">
        <v>110881.4</v>
      </c>
      <c r="P1485">
        <v>27971.18</v>
      </c>
      <c r="Q1485">
        <v>20798.28</v>
      </c>
      <c r="R1485" t="s">
        <v>65</v>
      </c>
      <c r="S1485">
        <v>131679.67999999999</v>
      </c>
      <c r="T1485">
        <v>0</v>
      </c>
      <c r="U1485" t="s">
        <v>66</v>
      </c>
      <c r="V1485" t="s">
        <v>16</v>
      </c>
      <c r="W1485" t="s">
        <v>92</v>
      </c>
      <c r="X1485" t="s">
        <v>285</v>
      </c>
      <c r="Y1485" t="s">
        <v>28</v>
      </c>
      <c r="Z1485">
        <v>1.5</v>
      </c>
      <c r="AA1485">
        <f t="shared" si="69"/>
        <v>20798.28</v>
      </c>
      <c r="AB1485">
        <f t="shared" si="70"/>
        <v>0.15794600958933072</v>
      </c>
      <c r="AC1485">
        <f t="shared" si="71"/>
        <v>0</v>
      </c>
      <c r="AD1485">
        <v>2024</v>
      </c>
      <c r="AE1485">
        <v>11</v>
      </c>
      <c r="AF1485" t="s">
        <v>128</v>
      </c>
      <c r="AG1485" t="s">
        <v>129</v>
      </c>
    </row>
    <row r="1486" spans="1:33">
      <c r="A1486" t="s">
        <v>1637</v>
      </c>
      <c r="B1486">
        <v>45291</v>
      </c>
      <c r="C1486">
        <v>45305</v>
      </c>
      <c r="D1486" t="s">
        <v>27</v>
      </c>
      <c r="E1486">
        <v>50</v>
      </c>
      <c r="F1486">
        <v>724.81</v>
      </c>
      <c r="G1486">
        <v>1.98</v>
      </c>
      <c r="H1486">
        <v>35522.94</v>
      </c>
      <c r="I1486" t="s">
        <v>1726</v>
      </c>
      <c r="J1486">
        <v>538.58000000000004</v>
      </c>
      <c r="K1486">
        <v>26929</v>
      </c>
      <c r="L1486">
        <v>1039.17</v>
      </c>
      <c r="M1486">
        <v>197.03</v>
      </c>
      <c r="N1486">
        <v>5270.41</v>
      </c>
      <c r="O1486">
        <v>33435.61</v>
      </c>
      <c r="P1486">
        <v>8593.94</v>
      </c>
      <c r="Q1486">
        <v>2087.33</v>
      </c>
      <c r="R1486" t="s">
        <v>85</v>
      </c>
      <c r="S1486">
        <v>24347.22</v>
      </c>
      <c r="T1486">
        <v>11175.72</v>
      </c>
      <c r="U1486" t="s">
        <v>73</v>
      </c>
      <c r="V1486" t="s">
        <v>10</v>
      </c>
      <c r="W1486" t="s">
        <v>80</v>
      </c>
      <c r="X1486" t="s">
        <v>86</v>
      </c>
      <c r="Y1486" t="s">
        <v>30</v>
      </c>
      <c r="Z1486">
        <v>1.17</v>
      </c>
      <c r="AA1486">
        <f t="shared" si="69"/>
        <v>2087.33</v>
      </c>
      <c r="AB1486">
        <f t="shared" si="70"/>
        <v>5.8760057585323731E-2</v>
      </c>
      <c r="AC1486">
        <f t="shared" si="71"/>
        <v>0</v>
      </c>
      <c r="AD1486">
        <v>2023</v>
      </c>
      <c r="AE1486">
        <v>12</v>
      </c>
      <c r="AF1486" t="s">
        <v>98</v>
      </c>
      <c r="AG1486" t="s">
        <v>232</v>
      </c>
    </row>
    <row r="1487" spans="1:33">
      <c r="A1487" t="s">
        <v>1638</v>
      </c>
      <c r="B1487">
        <v>45985</v>
      </c>
      <c r="C1487">
        <v>45989</v>
      </c>
      <c r="D1487" t="s">
        <v>21</v>
      </c>
      <c r="E1487">
        <v>300</v>
      </c>
      <c r="F1487">
        <v>930.11</v>
      </c>
      <c r="G1487">
        <v>0.7</v>
      </c>
      <c r="H1487">
        <v>277079.77</v>
      </c>
      <c r="I1487" t="s">
        <v>1727</v>
      </c>
      <c r="J1487">
        <v>668.44</v>
      </c>
      <c r="K1487">
        <v>200532</v>
      </c>
      <c r="L1487">
        <v>2572.5700000000002</v>
      </c>
      <c r="M1487">
        <v>812.02</v>
      </c>
      <c r="N1487">
        <v>3202.16</v>
      </c>
      <c r="O1487">
        <v>207118.75</v>
      </c>
      <c r="P1487">
        <v>76547.77</v>
      </c>
      <c r="Q1487">
        <v>69961.02</v>
      </c>
      <c r="R1487" t="s">
        <v>65</v>
      </c>
      <c r="S1487">
        <v>277079.77</v>
      </c>
      <c r="T1487">
        <v>0</v>
      </c>
      <c r="U1487" t="s">
        <v>66</v>
      </c>
      <c r="V1487" t="s">
        <v>8</v>
      </c>
      <c r="W1487" t="s">
        <v>141</v>
      </c>
      <c r="X1487" t="s">
        <v>86</v>
      </c>
      <c r="Y1487" t="s">
        <v>30</v>
      </c>
      <c r="Z1487">
        <v>1.22</v>
      </c>
      <c r="AA1487">
        <f t="shared" si="69"/>
        <v>69961.02</v>
      </c>
      <c r="AB1487">
        <f t="shared" si="70"/>
        <v>0.25249414636081152</v>
      </c>
      <c r="AC1487">
        <f t="shared" si="71"/>
        <v>0</v>
      </c>
      <c r="AD1487">
        <v>2025</v>
      </c>
      <c r="AE1487">
        <v>11</v>
      </c>
      <c r="AF1487" t="s">
        <v>128</v>
      </c>
      <c r="AG1487" t="s">
        <v>135</v>
      </c>
    </row>
    <row r="1488" spans="1:33">
      <c r="A1488" t="s">
        <v>1639</v>
      </c>
      <c r="B1488">
        <v>45618</v>
      </c>
      <c r="D1488" t="s">
        <v>25</v>
      </c>
      <c r="E1488">
        <v>150</v>
      </c>
      <c r="F1488">
        <v>1087.4100000000001</v>
      </c>
      <c r="G1488">
        <v>0.65</v>
      </c>
      <c r="H1488">
        <v>162051.28</v>
      </c>
      <c r="I1488" t="s">
        <v>1728</v>
      </c>
      <c r="J1488">
        <v>719.13</v>
      </c>
      <c r="K1488">
        <v>107869.5</v>
      </c>
      <c r="L1488">
        <v>759.25</v>
      </c>
      <c r="M1488">
        <v>356.76</v>
      </c>
      <c r="N1488">
        <v>2029.68</v>
      </c>
      <c r="O1488">
        <v>111015.19</v>
      </c>
      <c r="P1488">
        <v>54181.78</v>
      </c>
      <c r="Q1488">
        <v>51036.09</v>
      </c>
      <c r="R1488" t="s">
        <v>65</v>
      </c>
      <c r="S1488">
        <v>162051.28</v>
      </c>
      <c r="T1488">
        <v>0</v>
      </c>
      <c r="U1488" t="s">
        <v>91</v>
      </c>
      <c r="V1488" t="s">
        <v>8</v>
      </c>
      <c r="W1488" t="s">
        <v>67</v>
      </c>
      <c r="X1488" t="s">
        <v>89</v>
      </c>
      <c r="Y1488" t="s">
        <v>28</v>
      </c>
      <c r="Z1488">
        <v>2.08</v>
      </c>
      <c r="AA1488">
        <f t="shared" si="69"/>
        <v>51036.09</v>
      </c>
      <c r="AB1488">
        <f t="shared" si="70"/>
        <v>0.31493790113845443</v>
      </c>
      <c r="AC1488">
        <f t="shared" si="71"/>
        <v>0</v>
      </c>
      <c r="AD1488">
        <v>2024</v>
      </c>
      <c r="AE1488">
        <v>11</v>
      </c>
      <c r="AF1488" t="s">
        <v>128</v>
      </c>
      <c r="AG1488" t="s">
        <v>129</v>
      </c>
    </row>
    <row r="1489" spans="1:33">
      <c r="A1489" t="s">
        <v>1640</v>
      </c>
      <c r="B1489">
        <v>45480</v>
      </c>
      <c r="C1489">
        <v>45491</v>
      </c>
      <c r="D1489" t="s">
        <v>23</v>
      </c>
      <c r="E1489">
        <v>500</v>
      </c>
      <c r="F1489">
        <v>1278.72</v>
      </c>
      <c r="G1489">
        <v>3.03</v>
      </c>
      <c r="H1489">
        <v>619987.39</v>
      </c>
      <c r="I1489" t="s">
        <v>1726</v>
      </c>
      <c r="J1489">
        <v>969.76</v>
      </c>
      <c r="K1489">
        <v>484880</v>
      </c>
      <c r="L1489">
        <v>7534.57</v>
      </c>
      <c r="M1489">
        <v>754.65</v>
      </c>
      <c r="N1489">
        <v>2568.34</v>
      </c>
      <c r="O1489">
        <v>495737.56</v>
      </c>
      <c r="P1489">
        <v>135107.39000000001</v>
      </c>
      <c r="Q1489">
        <v>124249.83</v>
      </c>
      <c r="R1489" t="s">
        <v>65</v>
      </c>
      <c r="S1489">
        <v>619987.39</v>
      </c>
      <c r="T1489">
        <v>0</v>
      </c>
      <c r="U1489" t="s">
        <v>66</v>
      </c>
      <c r="V1489" t="s">
        <v>12</v>
      </c>
      <c r="W1489" t="s">
        <v>67</v>
      </c>
      <c r="X1489" t="s">
        <v>123</v>
      </c>
      <c r="Y1489" t="s">
        <v>22</v>
      </c>
      <c r="Z1489">
        <v>0.36</v>
      </c>
      <c r="AA1489">
        <f t="shared" si="69"/>
        <v>124249.83</v>
      </c>
      <c r="AB1489">
        <f t="shared" si="70"/>
        <v>0.20040702763325557</v>
      </c>
      <c r="AC1489">
        <f t="shared" si="71"/>
        <v>0</v>
      </c>
      <c r="AD1489">
        <v>2024</v>
      </c>
      <c r="AE1489">
        <v>7</v>
      </c>
      <c r="AF1489" t="s">
        <v>69</v>
      </c>
      <c r="AG1489" t="s">
        <v>70</v>
      </c>
    </row>
    <row r="1490" spans="1:33">
      <c r="A1490" t="s">
        <v>1641</v>
      </c>
      <c r="B1490">
        <v>45643</v>
      </c>
      <c r="C1490">
        <v>45652</v>
      </c>
      <c r="D1490" t="s">
        <v>21</v>
      </c>
      <c r="E1490">
        <v>500</v>
      </c>
      <c r="F1490">
        <v>872.21</v>
      </c>
      <c r="G1490">
        <v>1.95</v>
      </c>
      <c r="H1490">
        <v>427600.95</v>
      </c>
      <c r="I1490" t="s">
        <v>1727</v>
      </c>
      <c r="J1490">
        <v>700.53</v>
      </c>
      <c r="K1490">
        <v>350265</v>
      </c>
      <c r="L1490">
        <v>11099.47</v>
      </c>
      <c r="M1490">
        <v>2694.92</v>
      </c>
      <c r="N1490">
        <v>1517.6</v>
      </c>
      <c r="O1490">
        <v>365576.99</v>
      </c>
      <c r="P1490">
        <v>77335.95</v>
      </c>
      <c r="Q1490">
        <v>62023.96</v>
      </c>
      <c r="R1490" t="s">
        <v>85</v>
      </c>
      <c r="S1490">
        <v>158860.48000000001</v>
      </c>
      <c r="T1490">
        <v>268740.46999999997</v>
      </c>
      <c r="U1490" t="s">
        <v>66</v>
      </c>
      <c r="V1490" t="s">
        <v>10</v>
      </c>
      <c r="W1490" t="s">
        <v>67</v>
      </c>
      <c r="X1490" t="s">
        <v>150</v>
      </c>
      <c r="Y1490" t="s">
        <v>30</v>
      </c>
      <c r="Z1490">
        <v>0.95</v>
      </c>
      <c r="AA1490">
        <f t="shared" si="69"/>
        <v>62023.96</v>
      </c>
      <c r="AB1490">
        <f t="shared" si="70"/>
        <v>0.14505103414760889</v>
      </c>
      <c r="AC1490">
        <f t="shared" si="71"/>
        <v>0</v>
      </c>
      <c r="AD1490">
        <v>2024</v>
      </c>
      <c r="AE1490">
        <v>12</v>
      </c>
      <c r="AF1490" t="s">
        <v>98</v>
      </c>
      <c r="AG1490" t="s">
        <v>99</v>
      </c>
    </row>
    <row r="1491" spans="1:33">
      <c r="A1491" t="s">
        <v>1642</v>
      </c>
      <c r="B1491">
        <v>45748</v>
      </c>
      <c r="C1491">
        <v>45750</v>
      </c>
      <c r="D1491" t="s">
        <v>21</v>
      </c>
      <c r="E1491">
        <v>100</v>
      </c>
      <c r="F1491">
        <v>836.41</v>
      </c>
      <c r="G1491">
        <v>0.55000000000000004</v>
      </c>
      <c r="H1491">
        <v>83180.97</v>
      </c>
      <c r="I1491" t="s">
        <v>1727</v>
      </c>
      <c r="J1491">
        <v>681.18</v>
      </c>
      <c r="K1491">
        <v>68118</v>
      </c>
      <c r="L1491">
        <v>2090.96</v>
      </c>
      <c r="M1491">
        <v>573.45000000000005</v>
      </c>
      <c r="N1491">
        <v>10599.64</v>
      </c>
      <c r="O1491">
        <v>81382.05</v>
      </c>
      <c r="P1491">
        <v>15062.97</v>
      </c>
      <c r="Q1491">
        <v>1798.92</v>
      </c>
      <c r="R1491" t="s">
        <v>85</v>
      </c>
      <c r="S1491">
        <v>25958.44</v>
      </c>
      <c r="T1491">
        <v>57222.53</v>
      </c>
      <c r="U1491" t="s">
        <v>73</v>
      </c>
      <c r="V1491" t="s">
        <v>8</v>
      </c>
      <c r="W1491" t="s">
        <v>80</v>
      </c>
      <c r="X1491" t="s">
        <v>101</v>
      </c>
      <c r="Y1491" t="s">
        <v>22</v>
      </c>
      <c r="Z1491">
        <v>1.33</v>
      </c>
      <c r="AA1491">
        <f t="shared" si="69"/>
        <v>1798.92</v>
      </c>
      <c r="AB1491">
        <f t="shared" si="70"/>
        <v>2.1626581175958878E-2</v>
      </c>
      <c r="AC1491">
        <f t="shared" si="71"/>
        <v>0</v>
      </c>
      <c r="AD1491">
        <v>2025</v>
      </c>
      <c r="AE1491">
        <v>4</v>
      </c>
      <c r="AF1491" t="s">
        <v>154</v>
      </c>
      <c r="AG1491" t="s">
        <v>155</v>
      </c>
    </row>
    <row r="1492" spans="1:33">
      <c r="A1492" t="s">
        <v>1643</v>
      </c>
      <c r="B1492">
        <v>45620</v>
      </c>
      <c r="C1492">
        <v>45623</v>
      </c>
      <c r="D1492" t="s">
        <v>21</v>
      </c>
      <c r="E1492">
        <v>200</v>
      </c>
      <c r="F1492">
        <v>901.64</v>
      </c>
      <c r="G1492">
        <v>0.51</v>
      </c>
      <c r="H1492">
        <v>179408.33</v>
      </c>
      <c r="I1492" t="s">
        <v>1727</v>
      </c>
      <c r="J1492">
        <v>719.43</v>
      </c>
      <c r="K1492">
        <v>143886</v>
      </c>
      <c r="L1492">
        <v>4367.8900000000003</v>
      </c>
      <c r="M1492">
        <v>332.61</v>
      </c>
      <c r="N1492">
        <v>8715.43</v>
      </c>
      <c r="O1492">
        <v>157301.93</v>
      </c>
      <c r="P1492">
        <v>35522.33</v>
      </c>
      <c r="Q1492">
        <v>22106.400000000001</v>
      </c>
      <c r="R1492" t="s">
        <v>65</v>
      </c>
      <c r="S1492">
        <v>179408.33</v>
      </c>
      <c r="T1492">
        <v>0</v>
      </c>
      <c r="U1492" t="s">
        <v>66</v>
      </c>
      <c r="V1492" t="s">
        <v>12</v>
      </c>
      <c r="W1492" t="s">
        <v>74</v>
      </c>
      <c r="X1492" t="s">
        <v>75</v>
      </c>
      <c r="Y1492" t="s">
        <v>28</v>
      </c>
      <c r="Z1492">
        <v>0.1</v>
      </c>
      <c r="AA1492">
        <f t="shared" si="69"/>
        <v>22106.400000000001</v>
      </c>
      <c r="AB1492">
        <f t="shared" si="70"/>
        <v>0.12321835892458284</v>
      </c>
      <c r="AC1492">
        <f t="shared" si="71"/>
        <v>0</v>
      </c>
      <c r="AD1492">
        <v>2024</v>
      </c>
      <c r="AE1492">
        <v>11</v>
      </c>
      <c r="AF1492" t="s">
        <v>128</v>
      </c>
      <c r="AG1492" t="s">
        <v>129</v>
      </c>
    </row>
    <row r="1493" spans="1:33">
      <c r="A1493" t="s">
        <v>1644</v>
      </c>
      <c r="B1493">
        <v>45852</v>
      </c>
      <c r="C1493">
        <v>45859</v>
      </c>
      <c r="D1493" t="s">
        <v>23</v>
      </c>
      <c r="E1493">
        <v>200</v>
      </c>
      <c r="F1493">
        <v>1311.05</v>
      </c>
      <c r="G1493">
        <v>0.82</v>
      </c>
      <c r="H1493">
        <v>260059.88</v>
      </c>
      <c r="I1493" t="s">
        <v>1728</v>
      </c>
      <c r="J1493">
        <v>1013.87</v>
      </c>
      <c r="K1493">
        <v>202774</v>
      </c>
      <c r="L1493">
        <v>3245.29</v>
      </c>
      <c r="M1493">
        <v>1188.97</v>
      </c>
      <c r="N1493">
        <v>5960.63</v>
      </c>
      <c r="O1493">
        <v>213168.89</v>
      </c>
      <c r="P1493">
        <v>57285.88</v>
      </c>
      <c r="Q1493">
        <v>46890.99</v>
      </c>
      <c r="R1493" t="s">
        <v>65</v>
      </c>
      <c r="S1493">
        <v>260059.88</v>
      </c>
      <c r="T1493">
        <v>0</v>
      </c>
      <c r="U1493" t="s">
        <v>73</v>
      </c>
      <c r="V1493" t="s">
        <v>14</v>
      </c>
      <c r="W1493" t="s">
        <v>92</v>
      </c>
      <c r="X1493" t="s">
        <v>176</v>
      </c>
      <c r="Y1493" t="s">
        <v>22</v>
      </c>
      <c r="Z1493">
        <v>0.33</v>
      </c>
      <c r="AA1493">
        <f t="shared" si="69"/>
        <v>46890.99</v>
      </c>
      <c r="AB1493">
        <f t="shared" si="70"/>
        <v>0.18030843511886568</v>
      </c>
      <c r="AC1493">
        <f t="shared" si="71"/>
        <v>0</v>
      </c>
      <c r="AD1493">
        <v>2025</v>
      </c>
      <c r="AE1493">
        <v>7</v>
      </c>
      <c r="AF1493" t="s">
        <v>69</v>
      </c>
      <c r="AG1493" t="s">
        <v>151</v>
      </c>
    </row>
    <row r="1494" spans="1:33">
      <c r="A1494" t="s">
        <v>1645</v>
      </c>
      <c r="B1494">
        <v>45808</v>
      </c>
      <c r="C1494">
        <v>45815</v>
      </c>
      <c r="D1494" t="s">
        <v>21</v>
      </c>
      <c r="E1494">
        <v>250</v>
      </c>
      <c r="F1494">
        <v>869.56</v>
      </c>
      <c r="G1494">
        <v>1.58</v>
      </c>
      <c r="H1494">
        <v>213955.24</v>
      </c>
      <c r="I1494" t="s">
        <v>1728</v>
      </c>
      <c r="J1494">
        <v>679.91</v>
      </c>
      <c r="K1494">
        <v>169977.5</v>
      </c>
      <c r="L1494">
        <v>4372.18</v>
      </c>
      <c r="M1494">
        <v>1270.96</v>
      </c>
      <c r="N1494">
        <v>7507.23</v>
      </c>
      <c r="O1494">
        <v>183127.87</v>
      </c>
      <c r="P1494">
        <v>43977.74</v>
      </c>
      <c r="Q1494">
        <v>30827.37</v>
      </c>
      <c r="R1494" t="s">
        <v>65</v>
      </c>
      <c r="S1494">
        <v>213955.24</v>
      </c>
      <c r="T1494">
        <v>0</v>
      </c>
      <c r="U1494" t="s">
        <v>66</v>
      </c>
      <c r="V1494" t="s">
        <v>12</v>
      </c>
      <c r="W1494" t="s">
        <v>74</v>
      </c>
      <c r="X1494" t="s">
        <v>145</v>
      </c>
      <c r="Y1494" t="s">
        <v>30</v>
      </c>
      <c r="Z1494">
        <v>2.0299999999999998</v>
      </c>
      <c r="AA1494">
        <f t="shared" si="69"/>
        <v>30827.37</v>
      </c>
      <c r="AB1494">
        <f t="shared" si="70"/>
        <v>0.14408326713568689</v>
      </c>
      <c r="AC1494">
        <f t="shared" si="71"/>
        <v>0</v>
      </c>
      <c r="AD1494">
        <v>2025</v>
      </c>
      <c r="AE1494">
        <v>5</v>
      </c>
      <c r="AF1494" t="s">
        <v>76</v>
      </c>
      <c r="AG1494" t="s">
        <v>94</v>
      </c>
    </row>
    <row r="1495" spans="1:33">
      <c r="A1495" t="s">
        <v>1646</v>
      </c>
      <c r="B1495">
        <v>45611</v>
      </c>
      <c r="C1495">
        <v>45624</v>
      </c>
      <c r="D1495" t="s">
        <v>21</v>
      </c>
      <c r="E1495">
        <v>200</v>
      </c>
      <c r="F1495">
        <v>862.98</v>
      </c>
      <c r="G1495">
        <v>1.57</v>
      </c>
      <c r="H1495">
        <v>169886.24</v>
      </c>
      <c r="I1495" t="s">
        <v>1727</v>
      </c>
      <c r="J1495">
        <v>728.78</v>
      </c>
      <c r="K1495">
        <v>145756</v>
      </c>
      <c r="L1495">
        <v>1805.19</v>
      </c>
      <c r="M1495">
        <v>301.17</v>
      </c>
      <c r="N1495">
        <v>2578.2800000000002</v>
      </c>
      <c r="O1495">
        <v>150440.64000000001</v>
      </c>
      <c r="P1495">
        <v>24130.240000000002</v>
      </c>
      <c r="Q1495">
        <v>19445.599999999999</v>
      </c>
      <c r="R1495" t="s">
        <v>65</v>
      </c>
      <c r="S1495">
        <v>169886.24</v>
      </c>
      <c r="T1495">
        <v>0</v>
      </c>
      <c r="U1495" t="s">
        <v>66</v>
      </c>
      <c r="V1495" t="s">
        <v>10</v>
      </c>
      <c r="W1495" t="s">
        <v>80</v>
      </c>
      <c r="X1495" t="s">
        <v>195</v>
      </c>
      <c r="Y1495" t="s">
        <v>26</v>
      </c>
      <c r="Z1495">
        <v>0.47</v>
      </c>
      <c r="AA1495">
        <f t="shared" si="69"/>
        <v>19445.599999999999</v>
      </c>
      <c r="AB1495">
        <f t="shared" si="70"/>
        <v>0.1144624779499505</v>
      </c>
      <c r="AC1495">
        <f t="shared" si="71"/>
        <v>0</v>
      </c>
      <c r="AD1495">
        <v>2024</v>
      </c>
      <c r="AE1495">
        <v>11</v>
      </c>
      <c r="AF1495" t="s">
        <v>128</v>
      </c>
      <c r="AG1495" t="s">
        <v>129</v>
      </c>
    </row>
    <row r="1496" spans="1:33">
      <c r="A1496" t="s">
        <v>1647</v>
      </c>
      <c r="B1496">
        <v>45660</v>
      </c>
      <c r="C1496">
        <v>45674</v>
      </c>
      <c r="D1496" t="s">
        <v>21</v>
      </c>
      <c r="E1496">
        <v>150</v>
      </c>
      <c r="F1496">
        <v>880.32</v>
      </c>
      <c r="G1496">
        <v>0.51</v>
      </c>
      <c r="H1496">
        <v>131374.56</v>
      </c>
      <c r="I1496" t="s">
        <v>1729</v>
      </c>
      <c r="J1496">
        <v>737.1</v>
      </c>
      <c r="K1496">
        <v>110565</v>
      </c>
      <c r="L1496">
        <v>1844.89</v>
      </c>
      <c r="M1496">
        <v>428.35</v>
      </c>
      <c r="N1496">
        <v>3977.08</v>
      </c>
      <c r="O1496">
        <v>116815.32</v>
      </c>
      <c r="P1496">
        <v>20809.560000000001</v>
      </c>
      <c r="Q1496">
        <v>14559.24</v>
      </c>
      <c r="R1496" t="s">
        <v>65</v>
      </c>
      <c r="S1496">
        <v>131374.56</v>
      </c>
      <c r="T1496">
        <v>0</v>
      </c>
      <c r="U1496" t="s">
        <v>66</v>
      </c>
      <c r="V1496" t="s">
        <v>6</v>
      </c>
      <c r="W1496" t="s">
        <v>74</v>
      </c>
      <c r="X1496" t="s">
        <v>93</v>
      </c>
      <c r="Y1496" t="s">
        <v>26</v>
      </c>
      <c r="Z1496">
        <v>2.21</v>
      </c>
      <c r="AA1496">
        <f t="shared" si="69"/>
        <v>14559.24</v>
      </c>
      <c r="AB1496">
        <f t="shared" si="70"/>
        <v>0.11082236926235947</v>
      </c>
      <c r="AC1496">
        <f t="shared" si="71"/>
        <v>0</v>
      </c>
      <c r="AD1496">
        <v>2025</v>
      </c>
      <c r="AE1496">
        <v>1</v>
      </c>
      <c r="AF1496" t="s">
        <v>102</v>
      </c>
      <c r="AG1496" t="s">
        <v>118</v>
      </c>
    </row>
    <row r="1497" spans="1:33">
      <c r="A1497" t="s">
        <v>1648</v>
      </c>
      <c r="B1497">
        <v>45408</v>
      </c>
      <c r="C1497">
        <v>45414</v>
      </c>
      <c r="D1497" t="s">
        <v>23</v>
      </c>
      <c r="E1497">
        <v>50</v>
      </c>
      <c r="F1497">
        <v>1293.96</v>
      </c>
      <c r="G1497">
        <v>0.27</v>
      </c>
      <c r="H1497">
        <v>64523.32</v>
      </c>
      <c r="I1497" t="s">
        <v>1727</v>
      </c>
      <c r="J1497">
        <v>1050.78</v>
      </c>
      <c r="K1497">
        <v>52539</v>
      </c>
      <c r="L1497">
        <v>857.55</v>
      </c>
      <c r="M1497">
        <v>270.13</v>
      </c>
      <c r="N1497">
        <v>2540.67</v>
      </c>
      <c r="O1497">
        <v>56207.35</v>
      </c>
      <c r="P1497">
        <v>11984.32</v>
      </c>
      <c r="Q1497">
        <v>8315.9699999999993</v>
      </c>
      <c r="R1497" t="s">
        <v>65</v>
      </c>
      <c r="S1497">
        <v>64523.32</v>
      </c>
      <c r="T1497">
        <v>0</v>
      </c>
      <c r="U1497" t="s">
        <v>66</v>
      </c>
      <c r="V1497" t="s">
        <v>10</v>
      </c>
      <c r="W1497" t="s">
        <v>67</v>
      </c>
      <c r="X1497" t="s">
        <v>101</v>
      </c>
      <c r="Y1497" t="s">
        <v>22</v>
      </c>
      <c r="Z1497">
        <v>0.7</v>
      </c>
      <c r="AA1497">
        <f t="shared" si="69"/>
        <v>8315.9699999999993</v>
      </c>
      <c r="AB1497">
        <f t="shared" si="70"/>
        <v>0.12888316968190724</v>
      </c>
      <c r="AC1497">
        <f t="shared" si="71"/>
        <v>0</v>
      </c>
      <c r="AD1497">
        <v>2024</v>
      </c>
      <c r="AE1497">
        <v>4</v>
      </c>
      <c r="AF1497" t="s">
        <v>154</v>
      </c>
      <c r="AG1497" t="s">
        <v>157</v>
      </c>
    </row>
    <row r="1498" spans="1:33">
      <c r="A1498" t="s">
        <v>1649</v>
      </c>
      <c r="B1498">
        <v>45685</v>
      </c>
      <c r="C1498">
        <v>45685</v>
      </c>
      <c r="D1498" t="s">
        <v>23</v>
      </c>
      <c r="E1498">
        <v>200</v>
      </c>
      <c r="F1498">
        <v>1241.1600000000001</v>
      </c>
      <c r="G1498">
        <v>0.38</v>
      </c>
      <c r="H1498">
        <v>247288.72</v>
      </c>
      <c r="I1498" t="s">
        <v>1726</v>
      </c>
      <c r="J1498">
        <v>1082.82</v>
      </c>
      <c r="K1498">
        <v>216564</v>
      </c>
      <c r="L1498">
        <v>3265.48</v>
      </c>
      <c r="M1498">
        <v>614.91999999999996</v>
      </c>
      <c r="N1498">
        <v>521.07000000000005</v>
      </c>
      <c r="O1498">
        <v>220965.47</v>
      </c>
      <c r="P1498">
        <v>30724.720000000001</v>
      </c>
      <c r="Q1498">
        <v>26323.25</v>
      </c>
      <c r="R1498" t="s">
        <v>85</v>
      </c>
      <c r="S1498">
        <v>76807.460000000006</v>
      </c>
      <c r="T1498">
        <v>170481.26</v>
      </c>
      <c r="U1498" t="s">
        <v>66</v>
      </c>
      <c r="V1498" t="s">
        <v>14</v>
      </c>
      <c r="W1498" t="s">
        <v>74</v>
      </c>
      <c r="X1498" t="s">
        <v>93</v>
      </c>
      <c r="Y1498" t="s">
        <v>26</v>
      </c>
      <c r="Z1498">
        <v>1.05</v>
      </c>
      <c r="AA1498">
        <f t="shared" si="69"/>
        <v>26323.25</v>
      </c>
      <c r="AB1498">
        <f t="shared" si="70"/>
        <v>0.10644743520852872</v>
      </c>
      <c r="AC1498">
        <f t="shared" si="71"/>
        <v>0</v>
      </c>
      <c r="AD1498">
        <v>2025</v>
      </c>
      <c r="AE1498">
        <v>1</v>
      </c>
      <c r="AF1498" t="s">
        <v>102</v>
      </c>
      <c r="AG1498" t="s">
        <v>118</v>
      </c>
    </row>
    <row r="1499" spans="1:33">
      <c r="A1499" t="s">
        <v>1650</v>
      </c>
      <c r="B1499">
        <v>45679</v>
      </c>
      <c r="C1499">
        <v>45687</v>
      </c>
      <c r="D1499" t="s">
        <v>21</v>
      </c>
      <c r="E1499">
        <v>250</v>
      </c>
      <c r="F1499">
        <v>854.84</v>
      </c>
      <c r="G1499">
        <v>1.74</v>
      </c>
      <c r="H1499">
        <v>209991.45</v>
      </c>
      <c r="I1499" t="s">
        <v>1729</v>
      </c>
      <c r="J1499">
        <v>658.16</v>
      </c>
      <c r="K1499">
        <v>164540</v>
      </c>
      <c r="L1499">
        <v>4339.8500000000004</v>
      </c>
      <c r="M1499">
        <v>911.81</v>
      </c>
      <c r="N1499">
        <v>9858.0400000000009</v>
      </c>
      <c r="O1499">
        <v>179649.7</v>
      </c>
      <c r="P1499">
        <v>45451.45</v>
      </c>
      <c r="Q1499">
        <v>30341.75</v>
      </c>
      <c r="R1499" t="s">
        <v>65</v>
      </c>
      <c r="S1499">
        <v>209991.45</v>
      </c>
      <c r="T1499">
        <v>0</v>
      </c>
      <c r="U1499" t="s">
        <v>66</v>
      </c>
      <c r="V1499" t="s">
        <v>6</v>
      </c>
      <c r="W1499" t="s">
        <v>67</v>
      </c>
      <c r="X1499" t="s">
        <v>108</v>
      </c>
      <c r="Y1499" t="s">
        <v>22</v>
      </c>
      <c r="Z1499">
        <v>2.35</v>
      </c>
      <c r="AA1499">
        <f t="shared" si="69"/>
        <v>30341.75</v>
      </c>
      <c r="AB1499">
        <f t="shared" si="70"/>
        <v>0.14449040663322243</v>
      </c>
      <c r="AC1499">
        <f t="shared" si="71"/>
        <v>0</v>
      </c>
      <c r="AD1499">
        <v>2025</v>
      </c>
      <c r="AE1499">
        <v>1</v>
      </c>
      <c r="AF1499" t="s">
        <v>102</v>
      </c>
      <c r="AG1499" t="s">
        <v>118</v>
      </c>
    </row>
    <row r="1500" spans="1:33">
      <c r="A1500" t="s">
        <v>1651</v>
      </c>
      <c r="B1500">
        <v>45830</v>
      </c>
      <c r="C1500">
        <v>45830</v>
      </c>
      <c r="D1500" t="s">
        <v>21</v>
      </c>
      <c r="E1500">
        <v>500</v>
      </c>
      <c r="F1500">
        <v>843.09</v>
      </c>
      <c r="G1500">
        <v>3.65</v>
      </c>
      <c r="H1500">
        <v>406158.61</v>
      </c>
      <c r="I1500" t="s">
        <v>1729</v>
      </c>
      <c r="J1500">
        <v>725.71</v>
      </c>
      <c r="K1500">
        <v>362855</v>
      </c>
      <c r="L1500">
        <v>6607.9</v>
      </c>
      <c r="M1500">
        <v>1397.12</v>
      </c>
      <c r="N1500">
        <v>8209.31</v>
      </c>
      <c r="O1500">
        <v>379069.33</v>
      </c>
      <c r="P1500">
        <v>43303.61</v>
      </c>
      <c r="Q1500">
        <v>27089.279999999999</v>
      </c>
      <c r="R1500" t="s">
        <v>134</v>
      </c>
      <c r="S1500">
        <v>0</v>
      </c>
      <c r="T1500">
        <v>406158.61</v>
      </c>
      <c r="U1500" t="s">
        <v>73</v>
      </c>
      <c r="V1500" t="s">
        <v>6</v>
      </c>
      <c r="W1500" t="s">
        <v>74</v>
      </c>
      <c r="X1500" t="s">
        <v>127</v>
      </c>
      <c r="Y1500" t="s">
        <v>22</v>
      </c>
      <c r="Z1500">
        <v>1.17</v>
      </c>
      <c r="AA1500">
        <f t="shared" si="69"/>
        <v>27089.279999999999</v>
      </c>
      <c r="AB1500">
        <f t="shared" si="70"/>
        <v>6.6696308616971095E-2</v>
      </c>
      <c r="AC1500">
        <f t="shared" si="71"/>
        <v>0</v>
      </c>
      <c r="AD1500">
        <v>2025</v>
      </c>
      <c r="AE1500">
        <v>6</v>
      </c>
      <c r="AF1500" t="s">
        <v>111</v>
      </c>
      <c r="AG1500" t="s">
        <v>112</v>
      </c>
    </row>
    <row r="1501" spans="1:33">
      <c r="A1501" t="s">
        <v>1652</v>
      </c>
      <c r="B1501">
        <v>45722</v>
      </c>
      <c r="C1501">
        <v>45736</v>
      </c>
      <c r="D1501" t="s">
        <v>21</v>
      </c>
      <c r="E1501">
        <v>300</v>
      </c>
      <c r="F1501">
        <v>845.09</v>
      </c>
      <c r="G1501">
        <v>0.78</v>
      </c>
      <c r="H1501">
        <v>251549.49</v>
      </c>
      <c r="I1501" t="s">
        <v>1727</v>
      </c>
      <c r="J1501">
        <v>654.33000000000004</v>
      </c>
      <c r="K1501">
        <v>196299</v>
      </c>
      <c r="L1501">
        <v>3332.1</v>
      </c>
      <c r="M1501">
        <v>728.57</v>
      </c>
      <c r="N1501">
        <v>8656.1299999999992</v>
      </c>
      <c r="O1501">
        <v>209015.8</v>
      </c>
      <c r="P1501">
        <v>55250.49</v>
      </c>
      <c r="Q1501">
        <v>42533.69</v>
      </c>
      <c r="R1501" t="s">
        <v>65</v>
      </c>
      <c r="S1501">
        <v>251549.49</v>
      </c>
      <c r="T1501">
        <v>0</v>
      </c>
      <c r="U1501" t="s">
        <v>73</v>
      </c>
      <c r="V1501" t="s">
        <v>12</v>
      </c>
      <c r="W1501" t="s">
        <v>92</v>
      </c>
      <c r="X1501" t="s">
        <v>162</v>
      </c>
      <c r="Y1501" t="s">
        <v>26</v>
      </c>
      <c r="Z1501">
        <v>2.0499999999999998</v>
      </c>
      <c r="AA1501">
        <f t="shared" si="69"/>
        <v>42533.69</v>
      </c>
      <c r="AB1501">
        <f t="shared" si="70"/>
        <v>0.16908676698171801</v>
      </c>
      <c r="AC1501">
        <f t="shared" si="71"/>
        <v>0</v>
      </c>
      <c r="AD1501">
        <v>2025</v>
      </c>
      <c r="AE1501">
        <v>3</v>
      </c>
      <c r="AF1501" t="s">
        <v>105</v>
      </c>
      <c r="AG1501" t="s">
        <v>106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EBDC4-1053-442F-8A57-C777B6EB041A}">
  <dimension ref="A1:BC43"/>
  <sheetViews>
    <sheetView topLeftCell="L1" zoomScale="66" zoomScaleNormal="66" workbookViewId="0">
      <selection activeCell="Y4" sqref="Y4:Z11"/>
    </sheetView>
  </sheetViews>
  <sheetFormatPr defaultRowHeight="14.25"/>
  <cols>
    <col min="1" max="1" width="14.375" bestFit="1" customWidth="1"/>
    <col min="2" max="2" width="29.875" bestFit="1" customWidth="1"/>
    <col min="7" max="7" width="13.25" bestFit="1" customWidth="1"/>
    <col min="8" max="8" width="25.375" bestFit="1" customWidth="1"/>
    <col min="9" max="9" width="23.75" bestFit="1" customWidth="1"/>
    <col min="10" max="10" width="33.25" bestFit="1" customWidth="1"/>
    <col min="11" max="11" width="16.125" bestFit="1" customWidth="1"/>
    <col min="12" max="15" width="12.5" bestFit="1" customWidth="1"/>
    <col min="16" max="16" width="18.125" bestFit="1" customWidth="1"/>
    <col min="17" max="17" width="16.125" bestFit="1" customWidth="1"/>
    <col min="18" max="18" width="13.75" bestFit="1" customWidth="1"/>
    <col min="19" max="19" width="11" bestFit="1" customWidth="1"/>
    <col min="20" max="20" width="10.75" bestFit="1" customWidth="1"/>
    <col min="21" max="21" width="13.25" bestFit="1" customWidth="1"/>
    <col min="22" max="22" width="11.375" bestFit="1" customWidth="1"/>
    <col min="25" max="25" width="13.125" bestFit="1" customWidth="1"/>
    <col min="26" max="26" width="23.75" bestFit="1" customWidth="1"/>
    <col min="27" max="27" width="21.25" bestFit="1" customWidth="1"/>
    <col min="28" max="28" width="22.125" bestFit="1" customWidth="1"/>
    <col min="29" max="29" width="17.375" bestFit="1" customWidth="1"/>
    <col min="31" max="31" width="23.375" bestFit="1" customWidth="1"/>
    <col min="32" max="32" width="16.125" bestFit="1" customWidth="1"/>
    <col min="33" max="33" width="13.75" bestFit="1" customWidth="1"/>
    <col min="34" max="34" width="11" bestFit="1" customWidth="1"/>
    <col min="35" max="35" width="10.75" bestFit="1" customWidth="1"/>
    <col min="36" max="36" width="13.25" bestFit="1" customWidth="1"/>
    <col min="37" max="37" width="11.375" bestFit="1" customWidth="1"/>
    <col min="41" max="41" width="27.375" bestFit="1" customWidth="1"/>
    <col min="42" max="42" width="16.125" bestFit="1" customWidth="1"/>
    <col min="43" max="45" width="12.5" bestFit="1" customWidth="1"/>
    <col min="49" max="49" width="24.125" bestFit="1" customWidth="1"/>
    <col min="50" max="50" width="16.625" bestFit="1" customWidth="1"/>
    <col min="51" max="51" width="13.875" bestFit="1" customWidth="1"/>
    <col min="52" max="52" width="11.125" bestFit="1" customWidth="1"/>
    <col min="53" max="53" width="10.875" bestFit="1" customWidth="1"/>
    <col min="54" max="54" width="13.625" bestFit="1" customWidth="1"/>
    <col min="55" max="55" width="11.625" bestFit="1" customWidth="1"/>
  </cols>
  <sheetData>
    <row r="1" spans="1:55">
      <c r="G1" s="10" t="s">
        <v>34</v>
      </c>
      <c r="H1" t="s">
        <v>1716</v>
      </c>
      <c r="J1" s="10" t="s">
        <v>34</v>
      </c>
      <c r="K1" t="s">
        <v>1716</v>
      </c>
      <c r="Y1" s="10" t="s">
        <v>34</v>
      </c>
      <c r="Z1" t="s">
        <v>1716</v>
      </c>
    </row>
    <row r="2" spans="1:55">
      <c r="Y2" s="10" t="s">
        <v>54</v>
      </c>
      <c r="Z2" t="s">
        <v>1716</v>
      </c>
      <c r="AO2" s="10" t="s">
        <v>34</v>
      </c>
      <c r="AP2" t="s">
        <v>1716</v>
      </c>
    </row>
    <row r="3" spans="1:55">
      <c r="A3" s="10" t="s">
        <v>1712</v>
      </c>
      <c r="B3" t="s">
        <v>1713</v>
      </c>
      <c r="G3" s="10" t="s">
        <v>1712</v>
      </c>
      <c r="H3" t="s">
        <v>1722</v>
      </c>
      <c r="J3" s="10" t="s">
        <v>1723</v>
      </c>
      <c r="K3" s="10" t="s">
        <v>1717</v>
      </c>
      <c r="P3" s="10" t="s">
        <v>1721</v>
      </c>
      <c r="Q3" s="10" t="s">
        <v>1717</v>
      </c>
    </row>
    <row r="4" spans="1:55">
      <c r="A4" s="11" t="s">
        <v>205</v>
      </c>
      <c r="B4" s="16">
        <v>4110.4400000000005</v>
      </c>
      <c r="G4" s="11" t="s">
        <v>205</v>
      </c>
      <c r="H4">
        <v>41</v>
      </c>
      <c r="J4" s="10" t="s">
        <v>1712</v>
      </c>
      <c r="K4" t="s">
        <v>72</v>
      </c>
      <c r="L4" t="s">
        <v>79</v>
      </c>
      <c r="M4" t="s">
        <v>64</v>
      </c>
      <c r="N4" t="s">
        <v>96</v>
      </c>
      <c r="O4" t="s">
        <v>1714</v>
      </c>
      <c r="P4" s="10" t="s">
        <v>1712</v>
      </c>
      <c r="Q4" t="s">
        <v>21</v>
      </c>
      <c r="R4" t="s">
        <v>27</v>
      </c>
      <c r="S4" t="s">
        <v>25</v>
      </c>
      <c r="T4" t="s">
        <v>23</v>
      </c>
      <c r="U4" t="s">
        <v>29</v>
      </c>
      <c r="V4" t="s">
        <v>1714</v>
      </c>
      <c r="Y4" s="10" t="s">
        <v>1712</v>
      </c>
      <c r="Z4" t="s">
        <v>1718</v>
      </c>
      <c r="AA4" t="s">
        <v>1715</v>
      </c>
      <c r="AB4" t="s">
        <v>1719</v>
      </c>
      <c r="AC4" t="s">
        <v>1720</v>
      </c>
      <c r="AE4" s="10" t="s">
        <v>1724</v>
      </c>
      <c r="AF4" s="10" t="s">
        <v>1717</v>
      </c>
      <c r="AO4" s="10" t="s">
        <v>1725</v>
      </c>
      <c r="AP4" s="10" t="s">
        <v>1717</v>
      </c>
      <c r="AW4" s="10" t="s">
        <v>1718</v>
      </c>
      <c r="AX4" s="10" t="s">
        <v>1717</v>
      </c>
    </row>
    <row r="5" spans="1:55">
      <c r="A5" s="11" t="s">
        <v>185</v>
      </c>
      <c r="B5" s="16">
        <v>1033.1199999999999</v>
      </c>
      <c r="G5" s="11" t="s">
        <v>185</v>
      </c>
      <c r="H5">
        <v>22</v>
      </c>
      <c r="J5" s="11" t="s">
        <v>26</v>
      </c>
      <c r="K5">
        <v>1051.0112195121953</v>
      </c>
      <c r="L5">
        <v>1059.9676315789475</v>
      </c>
      <c r="M5">
        <v>1088.1402564102564</v>
      </c>
      <c r="N5">
        <v>969.26090909090919</v>
      </c>
      <c r="O5">
        <v>1052.5190410958905</v>
      </c>
      <c r="P5" s="11" t="s">
        <v>205</v>
      </c>
      <c r="Q5">
        <v>38460</v>
      </c>
      <c r="S5">
        <v>18219</v>
      </c>
      <c r="T5">
        <v>22269</v>
      </c>
      <c r="U5">
        <v>4050</v>
      </c>
      <c r="V5">
        <v>82998</v>
      </c>
      <c r="Y5" s="11" t="s">
        <v>8</v>
      </c>
      <c r="Z5">
        <v>90300</v>
      </c>
      <c r="AA5">
        <v>88908967.149999931</v>
      </c>
      <c r="AB5">
        <v>14544650.809999999</v>
      </c>
      <c r="AC5">
        <v>246</v>
      </c>
      <c r="AE5" s="10" t="s">
        <v>1712</v>
      </c>
      <c r="AF5" t="s">
        <v>21</v>
      </c>
      <c r="AG5" t="s">
        <v>27</v>
      </c>
      <c r="AH5" t="s">
        <v>25</v>
      </c>
      <c r="AI5" t="s">
        <v>23</v>
      </c>
      <c r="AJ5" t="s">
        <v>29</v>
      </c>
      <c r="AK5" t="s">
        <v>1714</v>
      </c>
      <c r="AO5" s="10" t="s">
        <v>1712</v>
      </c>
      <c r="AP5">
        <v>2023</v>
      </c>
      <c r="AQ5">
        <v>2024</v>
      </c>
      <c r="AR5">
        <v>2025</v>
      </c>
      <c r="AS5" t="s">
        <v>1714</v>
      </c>
      <c r="AW5" s="10" t="s">
        <v>1712</v>
      </c>
      <c r="AX5" t="s">
        <v>21</v>
      </c>
      <c r="AY5" t="s">
        <v>27</v>
      </c>
      <c r="AZ5" t="s">
        <v>25</v>
      </c>
      <c r="BA5" t="s">
        <v>23</v>
      </c>
      <c r="BB5" t="s">
        <v>29</v>
      </c>
      <c r="BC5" t="s">
        <v>1714</v>
      </c>
    </row>
    <row r="6" spans="1:55">
      <c r="A6" s="11" t="s">
        <v>193</v>
      </c>
      <c r="B6" s="16">
        <v>2943.95</v>
      </c>
      <c r="G6" s="11" t="s">
        <v>193</v>
      </c>
      <c r="H6">
        <v>38</v>
      </c>
      <c r="J6" s="11" t="s">
        <v>31</v>
      </c>
      <c r="K6">
        <v>1059.7776363636362</v>
      </c>
      <c r="L6">
        <v>959.21533333333309</v>
      </c>
      <c r="M6">
        <v>1087.6740740740743</v>
      </c>
      <c r="N6">
        <v>1213.2288235294118</v>
      </c>
      <c r="O6">
        <v>1062.4520930232557</v>
      </c>
      <c r="P6" s="11" t="s">
        <v>185</v>
      </c>
      <c r="Q6">
        <v>26316</v>
      </c>
      <c r="S6">
        <v>8097</v>
      </c>
      <c r="T6">
        <v>8097</v>
      </c>
      <c r="U6">
        <v>2024</v>
      </c>
      <c r="V6">
        <v>44534</v>
      </c>
      <c r="Y6" s="11" t="s">
        <v>12</v>
      </c>
      <c r="Z6">
        <v>64700</v>
      </c>
      <c r="AA6">
        <v>65368250.840000011</v>
      </c>
      <c r="AB6">
        <v>10159358.230000002</v>
      </c>
      <c r="AC6">
        <v>197</v>
      </c>
      <c r="AE6" s="11" t="s">
        <v>205</v>
      </c>
      <c r="AF6">
        <v>19</v>
      </c>
      <c r="AH6">
        <v>9</v>
      </c>
      <c r="AI6">
        <v>11</v>
      </c>
      <c r="AJ6">
        <v>2</v>
      </c>
      <c r="AK6">
        <v>41</v>
      </c>
      <c r="AO6" s="11" t="s">
        <v>26</v>
      </c>
      <c r="AP6">
        <v>750</v>
      </c>
      <c r="AQ6">
        <v>335.18518518518516</v>
      </c>
      <c r="AR6">
        <v>351.83486238532112</v>
      </c>
      <c r="AS6">
        <v>347.26027397260276</v>
      </c>
      <c r="AW6" s="11" t="s">
        <v>205</v>
      </c>
      <c r="AX6">
        <v>6100</v>
      </c>
      <c r="AZ6">
        <v>3700</v>
      </c>
      <c r="BA6">
        <v>4250</v>
      </c>
      <c r="BB6">
        <v>1000</v>
      </c>
      <c r="BC6">
        <v>15050</v>
      </c>
    </row>
    <row r="7" spans="1:55">
      <c r="A7" s="11" t="s">
        <v>125</v>
      </c>
      <c r="B7" s="16">
        <v>891.93</v>
      </c>
      <c r="G7" s="11" t="s">
        <v>125</v>
      </c>
      <c r="H7">
        <v>46</v>
      </c>
      <c r="J7" s="11" t="s">
        <v>28</v>
      </c>
      <c r="K7">
        <v>1230.0002564102563</v>
      </c>
      <c r="L7">
        <v>1057.9493749999999</v>
      </c>
      <c r="M7">
        <v>972.77714285714296</v>
      </c>
      <c r="N7">
        <v>1083.821923076923</v>
      </c>
      <c r="O7">
        <v>1108.0228095238097</v>
      </c>
      <c r="P7" s="11" t="s">
        <v>193</v>
      </c>
      <c r="Q7">
        <v>44543</v>
      </c>
      <c r="R7">
        <v>4049</v>
      </c>
      <c r="S7">
        <v>10124</v>
      </c>
      <c r="T7">
        <v>12148</v>
      </c>
      <c r="U7">
        <v>6074</v>
      </c>
      <c r="V7">
        <v>76938</v>
      </c>
      <c r="Y7" s="11" t="s">
        <v>10</v>
      </c>
      <c r="Z7">
        <v>79900</v>
      </c>
      <c r="AA7">
        <v>80708957.949999943</v>
      </c>
      <c r="AB7">
        <v>11901013.640000006</v>
      </c>
      <c r="AC7">
        <v>222</v>
      </c>
      <c r="AE7" s="11" t="s">
        <v>185</v>
      </c>
      <c r="AF7">
        <v>13</v>
      </c>
      <c r="AH7">
        <v>4</v>
      </c>
      <c r="AI7">
        <v>4</v>
      </c>
      <c r="AJ7">
        <v>1</v>
      </c>
      <c r="AK7">
        <v>22</v>
      </c>
      <c r="AO7" s="11" t="s">
        <v>31</v>
      </c>
      <c r="AP7">
        <v>100</v>
      </c>
      <c r="AQ7">
        <v>329.23076923076923</v>
      </c>
      <c r="AR7">
        <v>365.07936507936506</v>
      </c>
      <c r="AS7">
        <v>344.96124031007753</v>
      </c>
      <c r="AW7" s="11" t="s">
        <v>185</v>
      </c>
      <c r="AX7">
        <v>4250</v>
      </c>
      <c r="AZ7">
        <v>1450</v>
      </c>
      <c r="BA7">
        <v>950</v>
      </c>
      <c r="BB7">
        <v>250</v>
      </c>
      <c r="BC7">
        <v>6900</v>
      </c>
    </row>
    <row r="8" spans="1:55">
      <c r="A8" s="11" t="s">
        <v>167</v>
      </c>
      <c r="B8" s="16">
        <v>937.99</v>
      </c>
      <c r="G8" s="11" t="s">
        <v>167</v>
      </c>
      <c r="H8">
        <v>25</v>
      </c>
      <c r="J8" s="11" t="s">
        <v>24</v>
      </c>
      <c r="K8">
        <v>1052.6239759036143</v>
      </c>
      <c r="L8">
        <v>988.85304347826104</v>
      </c>
      <c r="M8">
        <v>1149.0790384615384</v>
      </c>
      <c r="N8">
        <v>1031.0627777777779</v>
      </c>
      <c r="O8">
        <v>1053.648153153154</v>
      </c>
      <c r="P8" s="11" t="s">
        <v>125</v>
      </c>
      <c r="Q8">
        <v>42516</v>
      </c>
      <c r="R8">
        <v>18221</v>
      </c>
      <c r="S8">
        <v>2024</v>
      </c>
      <c r="T8">
        <v>28341</v>
      </c>
      <c r="U8">
        <v>2024</v>
      </c>
      <c r="V8">
        <v>93126</v>
      </c>
      <c r="Y8" s="11" t="s">
        <v>14</v>
      </c>
      <c r="Z8">
        <v>60850</v>
      </c>
      <c r="AA8">
        <v>59837675.430000044</v>
      </c>
      <c r="AB8">
        <v>9206774.1300000064</v>
      </c>
      <c r="AC8">
        <v>190</v>
      </c>
      <c r="AE8" s="11" t="s">
        <v>193</v>
      </c>
      <c r="AF8">
        <v>22</v>
      </c>
      <c r="AG8">
        <v>2</v>
      </c>
      <c r="AH8">
        <v>5</v>
      </c>
      <c r="AI8">
        <v>6</v>
      </c>
      <c r="AJ8">
        <v>3</v>
      </c>
      <c r="AK8">
        <v>38</v>
      </c>
      <c r="AO8" s="11" t="s">
        <v>28</v>
      </c>
      <c r="AP8">
        <v>1000</v>
      </c>
      <c r="AQ8">
        <v>293.29896907216494</v>
      </c>
      <c r="AR8">
        <v>368.30357142857144</v>
      </c>
      <c r="AS8">
        <v>336.66666666666669</v>
      </c>
      <c r="AW8" s="11" t="s">
        <v>193</v>
      </c>
      <c r="AX8">
        <v>8550</v>
      </c>
      <c r="AY8">
        <v>350</v>
      </c>
      <c r="AZ8">
        <v>2500</v>
      </c>
      <c r="BA8">
        <v>1200</v>
      </c>
      <c r="BB8">
        <v>1300</v>
      </c>
      <c r="BC8">
        <v>13900</v>
      </c>
    </row>
    <row r="9" spans="1:55">
      <c r="A9" s="11" t="s">
        <v>145</v>
      </c>
      <c r="B9" s="16">
        <v>1010.36</v>
      </c>
      <c r="G9" s="11" t="s">
        <v>145</v>
      </c>
      <c r="H9">
        <v>34</v>
      </c>
      <c r="J9" s="11" t="s">
        <v>30</v>
      </c>
      <c r="K9">
        <v>1056.3317647058821</v>
      </c>
      <c r="L9">
        <v>1060.2566153846158</v>
      </c>
      <c r="M9">
        <v>1049.8051063829787</v>
      </c>
      <c r="N9">
        <v>1084.6975</v>
      </c>
      <c r="O9">
        <v>1058.9101499999999</v>
      </c>
      <c r="P9" s="11" t="s">
        <v>167</v>
      </c>
      <c r="Q9">
        <v>34418</v>
      </c>
      <c r="R9">
        <v>2024</v>
      </c>
      <c r="S9">
        <v>10123</v>
      </c>
      <c r="T9">
        <v>2024</v>
      </c>
      <c r="U9">
        <v>2025</v>
      </c>
      <c r="V9">
        <v>50614</v>
      </c>
      <c r="Y9" s="11" t="s">
        <v>16</v>
      </c>
      <c r="Z9">
        <v>52450</v>
      </c>
      <c r="AA9">
        <v>52085813.039999984</v>
      </c>
      <c r="AB9">
        <v>8653235.8999999966</v>
      </c>
      <c r="AC9">
        <v>160</v>
      </c>
      <c r="AE9" s="11" t="s">
        <v>125</v>
      </c>
      <c r="AF9">
        <v>21</v>
      </c>
      <c r="AG9">
        <v>9</v>
      </c>
      <c r="AH9">
        <v>1</v>
      </c>
      <c r="AI9">
        <v>14</v>
      </c>
      <c r="AJ9">
        <v>1</v>
      </c>
      <c r="AK9">
        <v>46</v>
      </c>
      <c r="AO9" s="11" t="s">
        <v>24</v>
      </c>
      <c r="AP9">
        <v>275</v>
      </c>
      <c r="AQ9">
        <v>340.75630252100842</v>
      </c>
      <c r="AR9">
        <v>347.02970297029702</v>
      </c>
      <c r="AS9">
        <v>343.01801801801804</v>
      </c>
      <c r="AW9" s="11" t="s">
        <v>125</v>
      </c>
      <c r="AX9">
        <v>7150</v>
      </c>
      <c r="AY9">
        <v>1900</v>
      </c>
      <c r="AZ9">
        <v>250</v>
      </c>
      <c r="BA9">
        <v>5350</v>
      </c>
      <c r="BB9">
        <v>150</v>
      </c>
      <c r="BC9">
        <v>14800</v>
      </c>
    </row>
    <row r="10" spans="1:55">
      <c r="A10" s="11" t="s">
        <v>371</v>
      </c>
      <c r="B10" s="16">
        <v>994.65</v>
      </c>
      <c r="G10" s="11" t="s">
        <v>371</v>
      </c>
      <c r="H10">
        <v>25</v>
      </c>
      <c r="J10" s="11" t="s">
        <v>22</v>
      </c>
      <c r="K10">
        <v>1028.3791099476439</v>
      </c>
      <c r="L10">
        <v>990.97049382716091</v>
      </c>
      <c r="M10">
        <v>1052.1131683168317</v>
      </c>
      <c r="N10">
        <v>1038.2828787878784</v>
      </c>
      <c r="O10">
        <v>1022.5917884615384</v>
      </c>
      <c r="P10" s="11" t="s">
        <v>145</v>
      </c>
      <c r="Q10">
        <v>32394</v>
      </c>
      <c r="R10">
        <v>10122</v>
      </c>
      <c r="S10">
        <v>14174</v>
      </c>
      <c r="T10">
        <v>10123</v>
      </c>
      <c r="U10">
        <v>2025</v>
      </c>
      <c r="V10">
        <v>68838</v>
      </c>
      <c r="Y10" s="11" t="s">
        <v>6</v>
      </c>
      <c r="Z10">
        <v>160450</v>
      </c>
      <c r="AA10">
        <v>161780022.22</v>
      </c>
      <c r="AB10">
        <v>25044933.039999999</v>
      </c>
      <c r="AC10">
        <v>485</v>
      </c>
      <c r="AE10" s="11" t="s">
        <v>167</v>
      </c>
      <c r="AF10">
        <v>17</v>
      </c>
      <c r="AG10">
        <v>1</v>
      </c>
      <c r="AH10">
        <v>5</v>
      </c>
      <c r="AI10">
        <v>1</v>
      </c>
      <c r="AJ10">
        <v>1</v>
      </c>
      <c r="AK10">
        <v>25</v>
      </c>
      <c r="AO10" s="11" t="s">
        <v>30</v>
      </c>
      <c r="AP10">
        <v>160</v>
      </c>
      <c r="AQ10">
        <v>295.3488372093023</v>
      </c>
      <c r="AR10">
        <v>347.24770642201833</v>
      </c>
      <c r="AS10">
        <v>320.25</v>
      </c>
      <c r="AW10" s="11" t="s">
        <v>167</v>
      </c>
      <c r="AX10">
        <v>6700</v>
      </c>
      <c r="AY10">
        <v>200</v>
      </c>
      <c r="AZ10">
        <v>2500</v>
      </c>
      <c r="BA10">
        <v>300</v>
      </c>
      <c r="BB10">
        <v>50</v>
      </c>
      <c r="BC10">
        <v>9750</v>
      </c>
    </row>
    <row r="11" spans="1:55">
      <c r="A11" s="11" t="s">
        <v>86</v>
      </c>
      <c r="B11" s="16">
        <v>3932.55</v>
      </c>
      <c r="G11" s="11" t="s">
        <v>224</v>
      </c>
      <c r="H11">
        <v>18</v>
      </c>
      <c r="J11" s="11" t="s">
        <v>1714</v>
      </c>
      <c r="K11">
        <v>1070.0708617594266</v>
      </c>
      <c r="L11">
        <v>1018.728583690987</v>
      </c>
      <c r="M11">
        <v>1064.9924999999998</v>
      </c>
      <c r="N11">
        <v>1058.6257396449705</v>
      </c>
      <c r="O11">
        <v>1051.7882866666669</v>
      </c>
      <c r="P11" s="11" t="s">
        <v>371</v>
      </c>
      <c r="Q11">
        <v>24294</v>
      </c>
      <c r="R11">
        <v>2024</v>
      </c>
      <c r="S11">
        <v>6074</v>
      </c>
      <c r="T11">
        <v>16197</v>
      </c>
      <c r="U11">
        <v>2025</v>
      </c>
      <c r="V11">
        <v>50614</v>
      </c>
      <c r="Y11" s="11" t="s">
        <v>1714</v>
      </c>
      <c r="Z11">
        <v>508650</v>
      </c>
      <c r="AA11">
        <v>508689686.63000041</v>
      </c>
      <c r="AB11">
        <v>79509965.750000075</v>
      </c>
      <c r="AC11">
        <v>1500</v>
      </c>
      <c r="AE11" s="11" t="s">
        <v>145</v>
      </c>
      <c r="AF11">
        <v>16</v>
      </c>
      <c r="AG11">
        <v>5</v>
      </c>
      <c r="AH11">
        <v>7</v>
      </c>
      <c r="AI11">
        <v>5</v>
      </c>
      <c r="AJ11">
        <v>1</v>
      </c>
      <c r="AK11">
        <v>34</v>
      </c>
      <c r="AO11" s="11" t="s">
        <v>22</v>
      </c>
      <c r="AP11">
        <v>1000</v>
      </c>
      <c r="AQ11">
        <v>351.27272727272725</v>
      </c>
      <c r="AR11">
        <v>326.22950819672133</v>
      </c>
      <c r="AS11">
        <v>340.76923076923077</v>
      </c>
      <c r="AW11" s="11" t="s">
        <v>145</v>
      </c>
      <c r="AX11">
        <v>6800</v>
      </c>
      <c r="AY11">
        <v>2000</v>
      </c>
      <c r="AZ11">
        <v>3400</v>
      </c>
      <c r="BA11">
        <v>1350</v>
      </c>
      <c r="BB11">
        <v>750</v>
      </c>
      <c r="BC11">
        <v>14300</v>
      </c>
    </row>
    <row r="12" spans="1:55">
      <c r="A12" s="11" t="s">
        <v>97</v>
      </c>
      <c r="B12" s="16">
        <v>2001.9</v>
      </c>
      <c r="G12" s="11" t="s">
        <v>375</v>
      </c>
      <c r="H12">
        <v>38</v>
      </c>
      <c r="P12" s="11" t="s">
        <v>224</v>
      </c>
      <c r="Q12">
        <v>16197</v>
      </c>
      <c r="R12">
        <v>6073</v>
      </c>
      <c r="S12">
        <v>8098</v>
      </c>
      <c r="T12">
        <v>4050</v>
      </c>
      <c r="U12">
        <v>2025</v>
      </c>
      <c r="V12">
        <v>36443</v>
      </c>
      <c r="AE12" s="11" t="s">
        <v>371</v>
      </c>
      <c r="AF12">
        <v>12</v>
      </c>
      <c r="AG12">
        <v>1</v>
      </c>
      <c r="AH12">
        <v>3</v>
      </c>
      <c r="AI12">
        <v>8</v>
      </c>
      <c r="AJ12">
        <v>1</v>
      </c>
      <c r="AK12">
        <v>25</v>
      </c>
      <c r="AO12" s="11" t="s">
        <v>1714</v>
      </c>
      <c r="AP12">
        <v>412.5</v>
      </c>
      <c r="AQ12">
        <v>331.46666666666664</v>
      </c>
      <c r="AR12">
        <v>345.66395663956638</v>
      </c>
      <c r="AS12">
        <v>339.1</v>
      </c>
      <c r="AW12" s="11" t="s">
        <v>371</v>
      </c>
      <c r="AX12">
        <v>4300</v>
      </c>
      <c r="AY12">
        <v>300</v>
      </c>
      <c r="AZ12">
        <v>1450</v>
      </c>
      <c r="BA12">
        <v>2500</v>
      </c>
      <c r="BB12">
        <v>750</v>
      </c>
      <c r="BC12">
        <v>9300</v>
      </c>
    </row>
    <row r="13" spans="1:55">
      <c r="A13" s="11" t="s">
        <v>150</v>
      </c>
      <c r="B13" s="16">
        <v>1914.22</v>
      </c>
      <c r="G13" s="11" t="s">
        <v>86</v>
      </c>
      <c r="H13">
        <v>31</v>
      </c>
      <c r="P13" s="11" t="s">
        <v>375</v>
      </c>
      <c r="Q13">
        <v>44541</v>
      </c>
      <c r="R13">
        <v>2024</v>
      </c>
      <c r="S13">
        <v>10122</v>
      </c>
      <c r="T13">
        <v>18219</v>
      </c>
      <c r="U13">
        <v>2025</v>
      </c>
      <c r="V13">
        <v>76931</v>
      </c>
      <c r="AE13" s="11" t="s">
        <v>224</v>
      </c>
      <c r="AF13">
        <v>8</v>
      </c>
      <c r="AG13">
        <v>3</v>
      </c>
      <c r="AH13">
        <v>4</v>
      </c>
      <c r="AI13">
        <v>2</v>
      </c>
      <c r="AJ13">
        <v>1</v>
      </c>
      <c r="AK13">
        <v>18</v>
      </c>
      <c r="AW13" s="11" t="s">
        <v>224</v>
      </c>
      <c r="AX13">
        <v>1850</v>
      </c>
      <c r="AY13">
        <v>800</v>
      </c>
      <c r="AZ13">
        <v>2100</v>
      </c>
      <c r="BA13">
        <v>450</v>
      </c>
      <c r="BB13">
        <v>750</v>
      </c>
      <c r="BC13">
        <v>5950</v>
      </c>
    </row>
    <row r="14" spans="1:55">
      <c r="A14" s="11" t="s">
        <v>101</v>
      </c>
      <c r="B14" s="16">
        <v>2887.98</v>
      </c>
      <c r="G14" s="11" t="s">
        <v>97</v>
      </c>
      <c r="H14">
        <v>57</v>
      </c>
      <c r="P14" s="11" t="s">
        <v>86</v>
      </c>
      <c r="Q14">
        <v>28342</v>
      </c>
      <c r="R14">
        <v>8098</v>
      </c>
      <c r="S14">
        <v>16194</v>
      </c>
      <c r="T14">
        <v>6074</v>
      </c>
      <c r="U14">
        <v>4049</v>
      </c>
      <c r="V14">
        <v>62757</v>
      </c>
      <c r="AE14" s="11" t="s">
        <v>375</v>
      </c>
      <c r="AF14">
        <v>22</v>
      </c>
      <c r="AG14">
        <v>1</v>
      </c>
      <c r="AH14">
        <v>5</v>
      </c>
      <c r="AI14">
        <v>9</v>
      </c>
      <c r="AJ14">
        <v>1</v>
      </c>
      <c r="AK14">
        <v>38</v>
      </c>
      <c r="AW14" s="11" t="s">
        <v>375</v>
      </c>
      <c r="AX14">
        <v>7150</v>
      </c>
      <c r="AY14">
        <v>50</v>
      </c>
      <c r="AZ14">
        <v>1450</v>
      </c>
      <c r="BA14">
        <v>2300</v>
      </c>
      <c r="BB14">
        <v>50</v>
      </c>
      <c r="BC14">
        <v>11000</v>
      </c>
    </row>
    <row r="15" spans="1:55">
      <c r="A15" s="11" t="s">
        <v>81</v>
      </c>
      <c r="B15" s="16">
        <v>1004.88</v>
      </c>
      <c r="G15" s="11" t="s">
        <v>150</v>
      </c>
      <c r="H15">
        <v>30</v>
      </c>
      <c r="P15" s="11" t="s">
        <v>97</v>
      </c>
      <c r="Q15">
        <v>56685</v>
      </c>
      <c r="R15">
        <v>10122</v>
      </c>
      <c r="S15">
        <v>14172</v>
      </c>
      <c r="T15">
        <v>28342</v>
      </c>
      <c r="U15">
        <v>6074</v>
      </c>
      <c r="V15">
        <v>115395</v>
      </c>
      <c r="AE15" s="11" t="s">
        <v>86</v>
      </c>
      <c r="AF15">
        <v>14</v>
      </c>
      <c r="AG15">
        <v>4</v>
      </c>
      <c r="AH15">
        <v>8</v>
      </c>
      <c r="AI15">
        <v>3</v>
      </c>
      <c r="AJ15">
        <v>2</v>
      </c>
      <c r="AK15">
        <v>31</v>
      </c>
      <c r="AW15" s="11" t="s">
        <v>86</v>
      </c>
      <c r="AX15">
        <v>4800</v>
      </c>
      <c r="AY15">
        <v>450</v>
      </c>
      <c r="AZ15">
        <v>1200</v>
      </c>
      <c r="BA15">
        <v>1150</v>
      </c>
      <c r="BB15">
        <v>300</v>
      </c>
      <c r="BC15">
        <v>7900</v>
      </c>
    </row>
    <row r="16" spans="1:55">
      <c r="A16" s="11" t="s">
        <v>195</v>
      </c>
      <c r="B16" s="16">
        <v>1922.8700000000001</v>
      </c>
      <c r="G16" s="11" t="s">
        <v>101</v>
      </c>
      <c r="H16">
        <v>92</v>
      </c>
      <c r="P16" s="11" t="s">
        <v>150</v>
      </c>
      <c r="Q16">
        <v>30366</v>
      </c>
      <c r="R16">
        <v>4049</v>
      </c>
      <c r="S16">
        <v>12145</v>
      </c>
      <c r="T16">
        <v>10122</v>
      </c>
      <c r="U16">
        <v>4049</v>
      </c>
      <c r="V16">
        <v>60731</v>
      </c>
      <c r="AE16" s="11" t="s">
        <v>97</v>
      </c>
      <c r="AF16">
        <v>28</v>
      </c>
      <c r="AG16">
        <v>5</v>
      </c>
      <c r="AH16">
        <v>7</v>
      </c>
      <c r="AI16">
        <v>14</v>
      </c>
      <c r="AJ16">
        <v>3</v>
      </c>
      <c r="AK16">
        <v>57</v>
      </c>
      <c r="AW16" s="11" t="s">
        <v>97</v>
      </c>
      <c r="AX16">
        <v>9050</v>
      </c>
      <c r="AY16">
        <v>1100</v>
      </c>
      <c r="AZ16">
        <v>1850</v>
      </c>
      <c r="BA16">
        <v>4200</v>
      </c>
      <c r="BB16">
        <v>700</v>
      </c>
      <c r="BC16">
        <v>16900</v>
      </c>
    </row>
    <row r="17" spans="1:55">
      <c r="A17" s="11" t="s">
        <v>164</v>
      </c>
      <c r="B17" s="16">
        <v>2842.34</v>
      </c>
      <c r="G17" s="11" t="s">
        <v>81</v>
      </c>
      <c r="H17">
        <v>43</v>
      </c>
      <c r="P17" s="11" t="s">
        <v>101</v>
      </c>
      <c r="Q17">
        <v>89077</v>
      </c>
      <c r="R17">
        <v>8097</v>
      </c>
      <c r="S17">
        <v>32392</v>
      </c>
      <c r="T17">
        <v>54660</v>
      </c>
      <c r="U17">
        <v>2024</v>
      </c>
      <c r="V17">
        <v>186250</v>
      </c>
      <c r="AE17" s="11" t="s">
        <v>150</v>
      </c>
      <c r="AF17">
        <v>15</v>
      </c>
      <c r="AG17">
        <v>2</v>
      </c>
      <c r="AH17">
        <v>6</v>
      </c>
      <c r="AI17">
        <v>5</v>
      </c>
      <c r="AJ17">
        <v>2</v>
      </c>
      <c r="AK17">
        <v>30</v>
      </c>
      <c r="AW17" s="11" t="s">
        <v>150</v>
      </c>
      <c r="AX17">
        <v>3950</v>
      </c>
      <c r="AY17">
        <v>200</v>
      </c>
      <c r="AZ17">
        <v>1150</v>
      </c>
      <c r="BA17">
        <v>1850</v>
      </c>
      <c r="BB17">
        <v>150</v>
      </c>
      <c r="BC17">
        <v>7300</v>
      </c>
    </row>
    <row r="18" spans="1:55">
      <c r="A18" s="11" t="s">
        <v>89</v>
      </c>
      <c r="B18" s="16">
        <v>1864.8600000000001</v>
      </c>
      <c r="G18" s="11" t="s">
        <v>195</v>
      </c>
      <c r="H18">
        <v>35</v>
      </c>
      <c r="P18" s="11" t="s">
        <v>81</v>
      </c>
      <c r="Q18">
        <v>42515</v>
      </c>
      <c r="R18">
        <v>10122</v>
      </c>
      <c r="S18">
        <v>8097</v>
      </c>
      <c r="T18">
        <v>24295</v>
      </c>
      <c r="U18">
        <v>2024</v>
      </c>
      <c r="V18">
        <v>87053</v>
      </c>
      <c r="AE18" s="11" t="s">
        <v>101</v>
      </c>
      <c r="AF18">
        <v>44</v>
      </c>
      <c r="AG18">
        <v>4</v>
      </c>
      <c r="AH18">
        <v>16</v>
      </c>
      <c r="AI18">
        <v>27</v>
      </c>
      <c r="AJ18">
        <v>1</v>
      </c>
      <c r="AK18">
        <v>92</v>
      </c>
      <c r="AW18" s="11" t="s">
        <v>101</v>
      </c>
      <c r="AX18">
        <v>16350</v>
      </c>
      <c r="AY18">
        <v>1700</v>
      </c>
      <c r="AZ18">
        <v>3800</v>
      </c>
      <c r="BA18">
        <v>9700</v>
      </c>
      <c r="BB18">
        <v>750</v>
      </c>
      <c r="BC18">
        <v>32300</v>
      </c>
    </row>
    <row r="19" spans="1:55">
      <c r="A19" s="11" t="s">
        <v>75</v>
      </c>
      <c r="B19" s="16">
        <v>1007.93</v>
      </c>
      <c r="G19" s="11" t="s">
        <v>68</v>
      </c>
      <c r="H19">
        <v>17</v>
      </c>
      <c r="P19" s="11" t="s">
        <v>195</v>
      </c>
      <c r="Q19">
        <v>32390</v>
      </c>
      <c r="R19">
        <v>4049</v>
      </c>
      <c r="S19">
        <v>10120</v>
      </c>
      <c r="T19">
        <v>22272</v>
      </c>
      <c r="U19">
        <v>2024</v>
      </c>
      <c r="V19">
        <v>70855</v>
      </c>
      <c r="AE19" s="11" t="s">
        <v>81</v>
      </c>
      <c r="AF19">
        <v>21</v>
      </c>
      <c r="AG19">
        <v>5</v>
      </c>
      <c r="AH19">
        <v>4</v>
      </c>
      <c r="AI19">
        <v>12</v>
      </c>
      <c r="AJ19">
        <v>1</v>
      </c>
      <c r="AK19">
        <v>43</v>
      </c>
      <c r="AW19" s="11" t="s">
        <v>81</v>
      </c>
      <c r="AX19">
        <v>8900</v>
      </c>
      <c r="AY19">
        <v>2100</v>
      </c>
      <c r="AZ19">
        <v>1700</v>
      </c>
      <c r="BA19">
        <v>3150</v>
      </c>
      <c r="BB19">
        <v>50</v>
      </c>
      <c r="BC19">
        <v>15900</v>
      </c>
    </row>
    <row r="20" spans="1:55">
      <c r="A20" s="11" t="s">
        <v>110</v>
      </c>
      <c r="B20" s="16">
        <v>1980.16</v>
      </c>
      <c r="G20" s="11" t="s">
        <v>164</v>
      </c>
      <c r="H20">
        <v>35</v>
      </c>
      <c r="P20" s="11" t="s">
        <v>68</v>
      </c>
      <c r="Q20">
        <v>18221</v>
      </c>
      <c r="R20">
        <v>2024</v>
      </c>
      <c r="S20">
        <v>4049</v>
      </c>
      <c r="T20">
        <v>10121</v>
      </c>
      <c r="V20">
        <v>34415</v>
      </c>
      <c r="AE20" s="11" t="s">
        <v>195</v>
      </c>
      <c r="AF20">
        <v>16</v>
      </c>
      <c r="AG20">
        <v>2</v>
      </c>
      <c r="AH20">
        <v>5</v>
      </c>
      <c r="AI20">
        <v>11</v>
      </c>
      <c r="AJ20">
        <v>1</v>
      </c>
      <c r="AK20">
        <v>35</v>
      </c>
      <c r="AW20" s="11" t="s">
        <v>195</v>
      </c>
      <c r="AX20">
        <v>4800</v>
      </c>
      <c r="AY20">
        <v>1700</v>
      </c>
      <c r="AZ20">
        <v>1200</v>
      </c>
      <c r="BA20">
        <v>3850</v>
      </c>
      <c r="BB20">
        <v>50</v>
      </c>
      <c r="BC20">
        <v>11600</v>
      </c>
    </row>
    <row r="21" spans="1:55">
      <c r="A21" s="11" t="s">
        <v>162</v>
      </c>
      <c r="B21" s="16">
        <v>2983.49</v>
      </c>
      <c r="G21" s="11" t="s">
        <v>89</v>
      </c>
      <c r="H21">
        <v>37</v>
      </c>
      <c r="P21" s="11" t="s">
        <v>164</v>
      </c>
      <c r="Q21">
        <v>38463</v>
      </c>
      <c r="R21">
        <v>8098</v>
      </c>
      <c r="S21">
        <v>12147</v>
      </c>
      <c r="T21">
        <v>12147</v>
      </c>
      <c r="V21">
        <v>70855</v>
      </c>
      <c r="AE21" s="11" t="s">
        <v>68</v>
      </c>
      <c r="AF21">
        <v>9</v>
      </c>
      <c r="AG21">
        <v>1</v>
      </c>
      <c r="AH21">
        <v>2</v>
      </c>
      <c r="AI21">
        <v>5</v>
      </c>
      <c r="AK21">
        <v>17</v>
      </c>
      <c r="AW21" s="11" t="s">
        <v>68</v>
      </c>
      <c r="AX21">
        <v>1800</v>
      </c>
      <c r="AY21">
        <v>250</v>
      </c>
      <c r="AZ21">
        <v>1150</v>
      </c>
      <c r="BA21">
        <v>2650</v>
      </c>
      <c r="BC21">
        <v>5850</v>
      </c>
    </row>
    <row r="22" spans="1:55">
      <c r="A22" s="11" t="s">
        <v>115</v>
      </c>
      <c r="B22" s="16">
        <v>5762.38</v>
      </c>
      <c r="G22" s="11" t="s">
        <v>75</v>
      </c>
      <c r="H22">
        <v>35</v>
      </c>
      <c r="P22" s="11" t="s">
        <v>89</v>
      </c>
      <c r="Q22">
        <v>36439</v>
      </c>
      <c r="R22">
        <v>2025</v>
      </c>
      <c r="S22">
        <v>12145</v>
      </c>
      <c r="T22">
        <v>16195</v>
      </c>
      <c r="U22">
        <v>8099</v>
      </c>
      <c r="V22">
        <v>74903</v>
      </c>
      <c r="AE22" s="11" t="s">
        <v>164</v>
      </c>
      <c r="AF22">
        <v>19</v>
      </c>
      <c r="AG22">
        <v>4</v>
      </c>
      <c r="AH22">
        <v>6</v>
      </c>
      <c r="AI22">
        <v>6</v>
      </c>
      <c r="AK22">
        <v>35</v>
      </c>
      <c r="AW22" s="11" t="s">
        <v>164</v>
      </c>
      <c r="AX22">
        <v>8050</v>
      </c>
      <c r="AY22">
        <v>1650</v>
      </c>
      <c r="AZ22">
        <v>1250</v>
      </c>
      <c r="BA22">
        <v>2550</v>
      </c>
      <c r="BC22">
        <v>13500</v>
      </c>
    </row>
    <row r="23" spans="1:55">
      <c r="A23" s="11" t="s">
        <v>327</v>
      </c>
      <c r="B23" s="16">
        <v>1976.91</v>
      </c>
      <c r="G23" s="11" t="s">
        <v>285</v>
      </c>
      <c r="H23">
        <v>29</v>
      </c>
      <c r="P23" s="11" t="s">
        <v>75</v>
      </c>
      <c r="Q23">
        <v>28343</v>
      </c>
      <c r="R23">
        <v>10120</v>
      </c>
      <c r="S23">
        <v>10124</v>
      </c>
      <c r="T23">
        <v>22270</v>
      </c>
      <c r="V23">
        <v>70857</v>
      </c>
      <c r="AE23" s="11" t="s">
        <v>89</v>
      </c>
      <c r="AF23">
        <v>18</v>
      </c>
      <c r="AG23">
        <v>1</v>
      </c>
      <c r="AH23">
        <v>6</v>
      </c>
      <c r="AI23">
        <v>8</v>
      </c>
      <c r="AJ23">
        <v>4</v>
      </c>
      <c r="AK23">
        <v>37</v>
      </c>
      <c r="AW23" s="11" t="s">
        <v>89</v>
      </c>
      <c r="AX23">
        <v>6100</v>
      </c>
      <c r="AY23">
        <v>500</v>
      </c>
      <c r="AZ23">
        <v>3300</v>
      </c>
      <c r="BA23">
        <v>2250</v>
      </c>
      <c r="BB23">
        <v>1350</v>
      </c>
      <c r="BC23">
        <v>13500</v>
      </c>
    </row>
    <row r="24" spans="1:55">
      <c r="A24" s="11" t="s">
        <v>123</v>
      </c>
      <c r="B24" s="16">
        <v>4885.01</v>
      </c>
      <c r="G24" s="11" t="s">
        <v>110</v>
      </c>
      <c r="H24">
        <v>31</v>
      </c>
      <c r="P24" s="11" t="s">
        <v>285</v>
      </c>
      <c r="Q24">
        <v>28346</v>
      </c>
      <c r="R24">
        <v>2025</v>
      </c>
      <c r="S24">
        <v>6075</v>
      </c>
      <c r="T24">
        <v>18223</v>
      </c>
      <c r="U24">
        <v>4050</v>
      </c>
      <c r="V24">
        <v>58719</v>
      </c>
      <c r="AE24" s="11" t="s">
        <v>75</v>
      </c>
      <c r="AF24">
        <v>14</v>
      </c>
      <c r="AG24">
        <v>5</v>
      </c>
      <c r="AH24">
        <v>5</v>
      </c>
      <c r="AI24">
        <v>11</v>
      </c>
      <c r="AK24">
        <v>35</v>
      </c>
      <c r="AW24" s="11" t="s">
        <v>75</v>
      </c>
      <c r="AX24">
        <v>4800</v>
      </c>
      <c r="AY24">
        <v>900</v>
      </c>
      <c r="AZ24">
        <v>1750</v>
      </c>
      <c r="BA24">
        <v>3450</v>
      </c>
      <c r="BC24">
        <v>10900</v>
      </c>
    </row>
    <row r="25" spans="1:55">
      <c r="A25" s="11" t="s">
        <v>176</v>
      </c>
      <c r="B25" s="16">
        <v>1941.21</v>
      </c>
      <c r="G25" s="11" t="s">
        <v>142</v>
      </c>
      <c r="H25">
        <v>23</v>
      </c>
      <c r="P25" s="11" t="s">
        <v>110</v>
      </c>
      <c r="Q25">
        <v>28344</v>
      </c>
      <c r="R25">
        <v>4049</v>
      </c>
      <c r="S25">
        <v>10121</v>
      </c>
      <c r="T25">
        <v>16198</v>
      </c>
      <c r="U25">
        <v>4050</v>
      </c>
      <c r="V25">
        <v>62762</v>
      </c>
      <c r="AE25" s="11" t="s">
        <v>285</v>
      </c>
      <c r="AF25">
        <v>14</v>
      </c>
      <c r="AG25">
        <v>1</v>
      </c>
      <c r="AH25">
        <v>3</v>
      </c>
      <c r="AI25">
        <v>9</v>
      </c>
      <c r="AJ25">
        <v>2</v>
      </c>
      <c r="AK25">
        <v>29</v>
      </c>
      <c r="AW25" s="11" t="s">
        <v>285</v>
      </c>
      <c r="AX25">
        <v>6050</v>
      </c>
      <c r="AY25">
        <v>150</v>
      </c>
      <c r="AZ25">
        <v>450</v>
      </c>
      <c r="BA25">
        <v>3100</v>
      </c>
      <c r="BB25">
        <v>300</v>
      </c>
      <c r="BC25">
        <v>10050</v>
      </c>
    </row>
    <row r="26" spans="1:55">
      <c r="A26" s="11" t="s">
        <v>127</v>
      </c>
      <c r="B26" s="16">
        <v>966.7</v>
      </c>
      <c r="G26" s="11" t="s">
        <v>93</v>
      </c>
      <c r="H26">
        <v>37</v>
      </c>
      <c r="P26" s="11" t="s">
        <v>142</v>
      </c>
      <c r="Q26">
        <v>30365</v>
      </c>
      <c r="R26">
        <v>4049</v>
      </c>
      <c r="T26">
        <v>8099</v>
      </c>
      <c r="U26">
        <v>4050</v>
      </c>
      <c r="V26">
        <v>46563</v>
      </c>
      <c r="AE26" s="11" t="s">
        <v>110</v>
      </c>
      <c r="AF26">
        <v>14</v>
      </c>
      <c r="AG26">
        <v>2</v>
      </c>
      <c r="AH26">
        <v>5</v>
      </c>
      <c r="AI26">
        <v>8</v>
      </c>
      <c r="AJ26">
        <v>2</v>
      </c>
      <c r="AK26">
        <v>31</v>
      </c>
      <c r="AW26" s="11" t="s">
        <v>110</v>
      </c>
      <c r="AX26">
        <v>5200</v>
      </c>
      <c r="AY26">
        <v>250</v>
      </c>
      <c r="AZ26">
        <v>1950</v>
      </c>
      <c r="BA26">
        <v>3100</v>
      </c>
      <c r="BB26">
        <v>100</v>
      </c>
      <c r="BC26">
        <v>10600</v>
      </c>
    </row>
    <row r="27" spans="1:55">
      <c r="A27" s="11" t="s">
        <v>108</v>
      </c>
      <c r="B27" s="16">
        <v>5793.1</v>
      </c>
      <c r="G27" s="11" t="s">
        <v>162</v>
      </c>
      <c r="H27">
        <v>33</v>
      </c>
      <c r="P27" s="11" t="s">
        <v>93</v>
      </c>
      <c r="Q27">
        <v>42510</v>
      </c>
      <c r="S27">
        <v>6073</v>
      </c>
      <c r="T27">
        <v>26320</v>
      </c>
      <c r="V27">
        <v>74903</v>
      </c>
      <c r="AE27" s="11" t="s">
        <v>142</v>
      </c>
      <c r="AF27">
        <v>15</v>
      </c>
      <c r="AG27">
        <v>2</v>
      </c>
      <c r="AI27">
        <v>4</v>
      </c>
      <c r="AJ27">
        <v>2</v>
      </c>
      <c r="AK27">
        <v>23</v>
      </c>
      <c r="AW27" s="11" t="s">
        <v>142</v>
      </c>
      <c r="AX27">
        <v>5050</v>
      </c>
      <c r="AY27">
        <v>800</v>
      </c>
      <c r="BA27">
        <v>1350</v>
      </c>
      <c r="BB27">
        <v>1250</v>
      </c>
      <c r="BC27">
        <v>8450</v>
      </c>
    </row>
    <row r="28" spans="1:55">
      <c r="A28" s="11" t="s">
        <v>208</v>
      </c>
      <c r="B28" s="16">
        <v>4056.56</v>
      </c>
      <c r="G28" s="11" t="s">
        <v>115</v>
      </c>
      <c r="H28">
        <v>88</v>
      </c>
      <c r="P28" s="11" t="s">
        <v>162</v>
      </c>
      <c r="Q28">
        <v>30367</v>
      </c>
      <c r="R28">
        <v>4050</v>
      </c>
      <c r="S28">
        <v>18222</v>
      </c>
      <c r="T28">
        <v>12148</v>
      </c>
      <c r="U28">
        <v>2024</v>
      </c>
      <c r="V28">
        <v>66811</v>
      </c>
      <c r="AE28" s="11" t="s">
        <v>93</v>
      </c>
      <c r="AF28">
        <v>21</v>
      </c>
      <c r="AH28">
        <v>3</v>
      </c>
      <c r="AI28">
        <v>13</v>
      </c>
      <c r="AK28">
        <v>37</v>
      </c>
      <c r="AW28" s="11" t="s">
        <v>93</v>
      </c>
      <c r="AX28">
        <v>7850</v>
      </c>
      <c r="AZ28">
        <v>1250</v>
      </c>
      <c r="BA28">
        <v>2150</v>
      </c>
      <c r="BC28">
        <v>11250</v>
      </c>
    </row>
    <row r="29" spans="1:55">
      <c r="A29" s="11" t="s">
        <v>159</v>
      </c>
      <c r="B29" s="16">
        <v>1962.1399999999999</v>
      </c>
      <c r="G29" s="11" t="s">
        <v>327</v>
      </c>
      <c r="H29">
        <v>28</v>
      </c>
      <c r="P29" s="11" t="s">
        <v>115</v>
      </c>
      <c r="Q29">
        <v>103245</v>
      </c>
      <c r="R29">
        <v>16196</v>
      </c>
      <c r="S29">
        <v>28346</v>
      </c>
      <c r="T29">
        <v>28344</v>
      </c>
      <c r="U29">
        <v>2025</v>
      </c>
      <c r="V29">
        <v>178156</v>
      </c>
      <c r="AE29" s="11" t="s">
        <v>162</v>
      </c>
      <c r="AF29">
        <v>15</v>
      </c>
      <c r="AG29">
        <v>2</v>
      </c>
      <c r="AH29">
        <v>9</v>
      </c>
      <c r="AI29">
        <v>6</v>
      </c>
      <c r="AJ29">
        <v>1</v>
      </c>
      <c r="AK29">
        <v>33</v>
      </c>
      <c r="AW29" s="11" t="s">
        <v>162</v>
      </c>
      <c r="AX29">
        <v>5100</v>
      </c>
      <c r="AY29">
        <v>850</v>
      </c>
      <c r="AZ29">
        <v>3050</v>
      </c>
      <c r="BA29">
        <v>1400</v>
      </c>
      <c r="BB29">
        <v>150</v>
      </c>
      <c r="BC29">
        <v>10550</v>
      </c>
    </row>
    <row r="30" spans="1:55">
      <c r="A30" s="11" t="s">
        <v>230</v>
      </c>
      <c r="B30" s="16">
        <v>937.78</v>
      </c>
      <c r="G30" s="11" t="s">
        <v>182</v>
      </c>
      <c r="H30">
        <v>27</v>
      </c>
      <c r="P30" s="11" t="s">
        <v>327</v>
      </c>
      <c r="Q30">
        <v>30369</v>
      </c>
      <c r="R30">
        <v>2024</v>
      </c>
      <c r="S30">
        <v>8099</v>
      </c>
      <c r="T30">
        <v>14172</v>
      </c>
      <c r="U30">
        <v>2024</v>
      </c>
      <c r="V30">
        <v>56688</v>
      </c>
      <c r="AE30" s="11" t="s">
        <v>115</v>
      </c>
      <c r="AF30">
        <v>51</v>
      </c>
      <c r="AG30">
        <v>8</v>
      </c>
      <c r="AH30">
        <v>14</v>
      </c>
      <c r="AI30">
        <v>14</v>
      </c>
      <c r="AJ30">
        <v>1</v>
      </c>
      <c r="AK30">
        <v>88</v>
      </c>
      <c r="AW30" s="11" t="s">
        <v>115</v>
      </c>
      <c r="AX30">
        <v>18550</v>
      </c>
      <c r="AY30">
        <v>2400</v>
      </c>
      <c r="AZ30">
        <v>3400</v>
      </c>
      <c r="BA30">
        <v>3350</v>
      </c>
      <c r="BB30">
        <v>150</v>
      </c>
      <c r="BC30">
        <v>27850</v>
      </c>
    </row>
    <row r="31" spans="1:55">
      <c r="A31" s="11" t="s">
        <v>1714</v>
      </c>
      <c r="B31" s="16">
        <v>64547.409999999996</v>
      </c>
      <c r="G31" s="11" t="s">
        <v>123</v>
      </c>
      <c r="H31">
        <v>90</v>
      </c>
      <c r="P31" s="11" t="s">
        <v>182</v>
      </c>
      <c r="Q31">
        <v>30364</v>
      </c>
      <c r="R31">
        <v>4049</v>
      </c>
      <c r="S31">
        <v>8097</v>
      </c>
      <c r="T31">
        <v>10124</v>
      </c>
      <c r="U31">
        <v>2025</v>
      </c>
      <c r="V31">
        <v>54659</v>
      </c>
      <c r="AE31" s="11" t="s">
        <v>327</v>
      </c>
      <c r="AF31">
        <v>15</v>
      </c>
      <c r="AG31">
        <v>1</v>
      </c>
      <c r="AH31">
        <v>4</v>
      </c>
      <c r="AI31">
        <v>7</v>
      </c>
      <c r="AJ31">
        <v>1</v>
      </c>
      <c r="AK31">
        <v>28</v>
      </c>
      <c r="AW31" s="11" t="s">
        <v>327</v>
      </c>
      <c r="AX31">
        <v>4800</v>
      </c>
      <c r="AY31">
        <v>250</v>
      </c>
      <c r="AZ31">
        <v>2250</v>
      </c>
      <c r="BA31">
        <v>3150</v>
      </c>
      <c r="BB31">
        <v>750</v>
      </c>
      <c r="BC31">
        <v>11200</v>
      </c>
    </row>
    <row r="32" spans="1:55">
      <c r="G32" s="11" t="s">
        <v>176</v>
      </c>
      <c r="H32">
        <v>72</v>
      </c>
      <c r="P32" s="11" t="s">
        <v>123</v>
      </c>
      <c r="Q32">
        <v>95149</v>
      </c>
      <c r="R32">
        <v>10122</v>
      </c>
      <c r="S32">
        <v>30368</v>
      </c>
      <c r="T32">
        <v>44537</v>
      </c>
      <c r="U32">
        <v>2024</v>
      </c>
      <c r="V32">
        <v>182200</v>
      </c>
      <c r="AE32" s="11" t="s">
        <v>182</v>
      </c>
      <c r="AF32">
        <v>15</v>
      </c>
      <c r="AG32">
        <v>2</v>
      </c>
      <c r="AH32">
        <v>4</v>
      </c>
      <c r="AI32">
        <v>5</v>
      </c>
      <c r="AJ32">
        <v>1</v>
      </c>
      <c r="AK32">
        <v>27</v>
      </c>
      <c r="AW32" s="11" t="s">
        <v>182</v>
      </c>
      <c r="AX32">
        <v>5500</v>
      </c>
      <c r="AY32">
        <v>950</v>
      </c>
      <c r="AZ32">
        <v>1650</v>
      </c>
      <c r="BA32">
        <v>1500</v>
      </c>
      <c r="BB32">
        <v>250</v>
      </c>
      <c r="BC32">
        <v>9850</v>
      </c>
    </row>
    <row r="33" spans="7:55">
      <c r="G33" s="11" t="s">
        <v>127</v>
      </c>
      <c r="H33">
        <v>75</v>
      </c>
      <c r="P33" s="11" t="s">
        <v>176</v>
      </c>
      <c r="Q33">
        <v>64784</v>
      </c>
      <c r="R33">
        <v>20244</v>
      </c>
      <c r="S33">
        <v>14171</v>
      </c>
      <c r="T33">
        <v>42514</v>
      </c>
      <c r="U33">
        <v>4049</v>
      </c>
      <c r="V33">
        <v>145762</v>
      </c>
      <c r="AE33" s="11" t="s">
        <v>123</v>
      </c>
      <c r="AF33">
        <v>47</v>
      </c>
      <c r="AG33">
        <v>5</v>
      </c>
      <c r="AH33">
        <v>15</v>
      </c>
      <c r="AI33">
        <v>22</v>
      </c>
      <c r="AJ33">
        <v>1</v>
      </c>
      <c r="AK33">
        <v>90</v>
      </c>
      <c r="AW33" s="11" t="s">
        <v>123</v>
      </c>
      <c r="AX33">
        <v>16250</v>
      </c>
      <c r="AY33">
        <v>1400</v>
      </c>
      <c r="AZ33">
        <v>6200</v>
      </c>
      <c r="BA33">
        <v>6750</v>
      </c>
      <c r="BB33">
        <v>750</v>
      </c>
      <c r="BC33">
        <v>31350</v>
      </c>
    </row>
    <row r="34" spans="7:55">
      <c r="G34" s="11" t="s">
        <v>108</v>
      </c>
      <c r="H34">
        <v>103</v>
      </c>
      <c r="P34" s="11" t="s">
        <v>127</v>
      </c>
      <c r="Q34">
        <v>93127</v>
      </c>
      <c r="R34">
        <v>10123</v>
      </c>
      <c r="S34">
        <v>6074</v>
      </c>
      <c r="T34">
        <v>32392</v>
      </c>
      <c r="U34">
        <v>10123</v>
      </c>
      <c r="V34">
        <v>151839</v>
      </c>
      <c r="AE34" s="11" t="s">
        <v>176</v>
      </c>
      <c r="AF34">
        <v>32</v>
      </c>
      <c r="AG34">
        <v>10</v>
      </c>
      <c r="AH34">
        <v>7</v>
      </c>
      <c r="AI34">
        <v>21</v>
      </c>
      <c r="AJ34">
        <v>2</v>
      </c>
      <c r="AK34">
        <v>72</v>
      </c>
      <c r="AW34" s="11" t="s">
        <v>176</v>
      </c>
      <c r="AX34">
        <v>8550</v>
      </c>
      <c r="AY34">
        <v>3850</v>
      </c>
      <c r="AZ34">
        <v>1600</v>
      </c>
      <c r="BA34">
        <v>7600</v>
      </c>
      <c r="BB34">
        <v>150</v>
      </c>
      <c r="BC34">
        <v>21750</v>
      </c>
    </row>
    <row r="35" spans="7:55">
      <c r="G35" s="11" t="s">
        <v>208</v>
      </c>
      <c r="H35">
        <v>34</v>
      </c>
      <c r="P35" s="11" t="s">
        <v>108</v>
      </c>
      <c r="Q35">
        <v>119442</v>
      </c>
      <c r="R35">
        <v>20243</v>
      </c>
      <c r="S35">
        <v>30368</v>
      </c>
      <c r="T35">
        <v>32391</v>
      </c>
      <c r="U35">
        <v>6072</v>
      </c>
      <c r="V35">
        <v>208516</v>
      </c>
      <c r="AE35" s="11" t="s">
        <v>127</v>
      </c>
      <c r="AF35">
        <v>46</v>
      </c>
      <c r="AG35">
        <v>5</v>
      </c>
      <c r="AH35">
        <v>3</v>
      </c>
      <c r="AI35">
        <v>16</v>
      </c>
      <c r="AJ35">
        <v>5</v>
      </c>
      <c r="AK35">
        <v>75</v>
      </c>
      <c r="AW35" s="11" t="s">
        <v>127</v>
      </c>
      <c r="AX35">
        <v>17000</v>
      </c>
      <c r="AY35">
        <v>1250</v>
      </c>
      <c r="AZ35">
        <v>400</v>
      </c>
      <c r="BA35">
        <v>5150</v>
      </c>
      <c r="BB35">
        <v>3000</v>
      </c>
      <c r="BC35">
        <v>26800</v>
      </c>
    </row>
    <row r="36" spans="7:55">
      <c r="G36" s="11" t="s">
        <v>159</v>
      </c>
      <c r="H36">
        <v>29</v>
      </c>
      <c r="P36" s="11" t="s">
        <v>208</v>
      </c>
      <c r="Q36">
        <v>28342</v>
      </c>
      <c r="R36">
        <v>8097</v>
      </c>
      <c r="S36">
        <v>16197</v>
      </c>
      <c r="T36">
        <v>14172</v>
      </c>
      <c r="U36">
        <v>2025</v>
      </c>
      <c r="V36">
        <v>68833</v>
      </c>
      <c r="AE36" s="11" t="s">
        <v>108</v>
      </c>
      <c r="AF36">
        <v>59</v>
      </c>
      <c r="AG36">
        <v>10</v>
      </c>
      <c r="AH36">
        <v>15</v>
      </c>
      <c r="AI36">
        <v>16</v>
      </c>
      <c r="AJ36">
        <v>3</v>
      </c>
      <c r="AK36">
        <v>103</v>
      </c>
      <c r="AW36" s="11" t="s">
        <v>108</v>
      </c>
      <c r="AX36">
        <v>21600</v>
      </c>
      <c r="AY36">
        <v>3500</v>
      </c>
      <c r="AZ36">
        <v>5350</v>
      </c>
      <c r="BA36">
        <v>6000</v>
      </c>
      <c r="BB36">
        <v>700</v>
      </c>
      <c r="BC36">
        <v>37150</v>
      </c>
    </row>
    <row r="37" spans="7:55">
      <c r="G37" s="11" t="s">
        <v>147</v>
      </c>
      <c r="H37">
        <v>29</v>
      </c>
      <c r="P37" s="11" t="s">
        <v>159</v>
      </c>
      <c r="Q37">
        <v>28342</v>
      </c>
      <c r="R37">
        <v>6075</v>
      </c>
      <c r="S37">
        <v>14171</v>
      </c>
      <c r="T37">
        <v>8096</v>
      </c>
      <c r="U37">
        <v>2025</v>
      </c>
      <c r="V37">
        <v>58709</v>
      </c>
      <c r="AE37" s="11" t="s">
        <v>208</v>
      </c>
      <c r="AF37">
        <v>14</v>
      </c>
      <c r="AG37">
        <v>4</v>
      </c>
      <c r="AH37">
        <v>8</v>
      </c>
      <c r="AI37">
        <v>7</v>
      </c>
      <c r="AJ37">
        <v>1</v>
      </c>
      <c r="AK37">
        <v>34</v>
      </c>
      <c r="AW37" s="11" t="s">
        <v>208</v>
      </c>
      <c r="AX37">
        <v>5300</v>
      </c>
      <c r="AY37">
        <v>1900</v>
      </c>
      <c r="AZ37">
        <v>2200</v>
      </c>
      <c r="BA37">
        <v>2800</v>
      </c>
      <c r="BB37">
        <v>100</v>
      </c>
      <c r="BC37">
        <v>12300</v>
      </c>
    </row>
    <row r="38" spans="7:55">
      <c r="G38" s="11" t="s">
        <v>230</v>
      </c>
      <c r="H38">
        <v>23</v>
      </c>
      <c r="P38" s="11" t="s">
        <v>147</v>
      </c>
      <c r="Q38">
        <v>38464</v>
      </c>
      <c r="R38">
        <v>4049</v>
      </c>
      <c r="S38">
        <v>6074</v>
      </c>
      <c r="T38">
        <v>10122</v>
      </c>
      <c r="V38">
        <v>58709</v>
      </c>
      <c r="AE38" s="11" t="s">
        <v>159</v>
      </c>
      <c r="AF38">
        <v>14</v>
      </c>
      <c r="AG38">
        <v>3</v>
      </c>
      <c r="AH38">
        <v>7</v>
      </c>
      <c r="AI38">
        <v>4</v>
      </c>
      <c r="AJ38">
        <v>1</v>
      </c>
      <c r="AK38">
        <v>29</v>
      </c>
      <c r="AW38" s="11" t="s">
        <v>159</v>
      </c>
      <c r="AX38">
        <v>3950</v>
      </c>
      <c r="AY38">
        <v>550</v>
      </c>
      <c r="AZ38">
        <v>3000</v>
      </c>
      <c r="BA38">
        <v>1650</v>
      </c>
      <c r="BB38">
        <v>500</v>
      </c>
      <c r="BC38">
        <v>9650</v>
      </c>
    </row>
    <row r="39" spans="7:55">
      <c r="G39" s="11" t="s">
        <v>275</v>
      </c>
      <c r="H39">
        <v>24</v>
      </c>
      <c r="P39" s="11" t="s">
        <v>230</v>
      </c>
      <c r="Q39">
        <v>26319</v>
      </c>
      <c r="R39">
        <v>2024</v>
      </c>
      <c r="S39">
        <v>2024</v>
      </c>
      <c r="T39">
        <v>12146</v>
      </c>
      <c r="U39">
        <v>4049</v>
      </c>
      <c r="V39">
        <v>46562</v>
      </c>
      <c r="AE39" s="11" t="s">
        <v>147</v>
      </c>
      <c r="AF39">
        <v>19</v>
      </c>
      <c r="AG39">
        <v>2</v>
      </c>
      <c r="AH39">
        <v>3</v>
      </c>
      <c r="AI39">
        <v>5</v>
      </c>
      <c r="AK39">
        <v>29</v>
      </c>
      <c r="AW39" s="11" t="s">
        <v>147</v>
      </c>
      <c r="AX39">
        <v>5100</v>
      </c>
      <c r="AY39">
        <v>1250</v>
      </c>
      <c r="AZ39">
        <v>500</v>
      </c>
      <c r="BA39">
        <v>1000</v>
      </c>
      <c r="BC39">
        <v>7850</v>
      </c>
    </row>
    <row r="40" spans="7:55">
      <c r="G40" s="11" t="s">
        <v>239</v>
      </c>
      <c r="H40">
        <v>26</v>
      </c>
      <c r="P40" s="11" t="s">
        <v>275</v>
      </c>
      <c r="Q40">
        <v>26318</v>
      </c>
      <c r="R40">
        <v>4050</v>
      </c>
      <c r="S40">
        <v>6074</v>
      </c>
      <c r="T40">
        <v>10123</v>
      </c>
      <c r="U40">
        <v>2025</v>
      </c>
      <c r="V40">
        <v>48590</v>
      </c>
      <c r="AE40" s="11" t="s">
        <v>230</v>
      </c>
      <c r="AF40">
        <v>13</v>
      </c>
      <c r="AG40">
        <v>1</v>
      </c>
      <c r="AH40">
        <v>1</v>
      </c>
      <c r="AI40">
        <v>6</v>
      </c>
      <c r="AJ40">
        <v>2</v>
      </c>
      <c r="AK40">
        <v>23</v>
      </c>
      <c r="AW40" s="11" t="s">
        <v>230</v>
      </c>
      <c r="AX40">
        <v>3250</v>
      </c>
      <c r="AY40">
        <v>150</v>
      </c>
      <c r="AZ40">
        <v>1000</v>
      </c>
      <c r="BA40">
        <v>2150</v>
      </c>
      <c r="BB40">
        <v>800</v>
      </c>
      <c r="BC40">
        <v>7350</v>
      </c>
    </row>
    <row r="41" spans="7:55">
      <c r="G41" s="11" t="s">
        <v>1714</v>
      </c>
      <c r="H41">
        <v>1500</v>
      </c>
      <c r="P41" s="11" t="s">
        <v>239</v>
      </c>
      <c r="Q41">
        <v>26321</v>
      </c>
      <c r="R41">
        <v>4048</v>
      </c>
      <c r="S41">
        <v>4050</v>
      </c>
      <c r="T41">
        <v>12146</v>
      </c>
      <c r="U41">
        <v>6073</v>
      </c>
      <c r="V41">
        <v>52638</v>
      </c>
      <c r="AE41" s="11" t="s">
        <v>275</v>
      </c>
      <c r="AF41">
        <v>13</v>
      </c>
      <c r="AG41">
        <v>2</v>
      </c>
      <c r="AH41">
        <v>3</v>
      </c>
      <c r="AI41">
        <v>5</v>
      </c>
      <c r="AJ41">
        <v>1</v>
      </c>
      <c r="AK41">
        <v>24</v>
      </c>
      <c r="AW41" s="11" t="s">
        <v>275</v>
      </c>
      <c r="AX41">
        <v>5400</v>
      </c>
      <c r="AY41">
        <v>450</v>
      </c>
      <c r="AZ41">
        <v>600</v>
      </c>
      <c r="BA41">
        <v>2150</v>
      </c>
      <c r="BB41">
        <v>100</v>
      </c>
      <c r="BC41">
        <v>8700</v>
      </c>
    </row>
    <row r="42" spans="7:55">
      <c r="P42" s="11" t="s">
        <v>1714</v>
      </c>
      <c r="Q42">
        <v>1575038</v>
      </c>
      <c r="R42">
        <v>236858</v>
      </c>
      <c r="S42">
        <v>433244</v>
      </c>
      <c r="T42">
        <v>680233</v>
      </c>
      <c r="U42">
        <v>111353</v>
      </c>
      <c r="V42">
        <v>3036726</v>
      </c>
      <c r="AE42" s="11" t="s">
        <v>239</v>
      </c>
      <c r="AF42">
        <v>13</v>
      </c>
      <c r="AG42">
        <v>2</v>
      </c>
      <c r="AH42">
        <v>2</v>
      </c>
      <c r="AI42">
        <v>6</v>
      </c>
      <c r="AJ42">
        <v>3</v>
      </c>
      <c r="AK42">
        <v>26</v>
      </c>
      <c r="AW42" s="11" t="s">
        <v>239</v>
      </c>
      <c r="AX42">
        <v>3200</v>
      </c>
      <c r="AY42">
        <v>950</v>
      </c>
      <c r="AZ42">
        <v>350</v>
      </c>
      <c r="BA42">
        <v>2350</v>
      </c>
      <c r="BB42">
        <v>2500</v>
      </c>
      <c r="BC42">
        <v>9350</v>
      </c>
    </row>
    <row r="43" spans="7:55">
      <c r="AE43" s="11" t="s">
        <v>1714</v>
      </c>
      <c r="AF43">
        <v>778</v>
      </c>
      <c r="AG43">
        <v>117</v>
      </c>
      <c r="AH43">
        <v>214</v>
      </c>
      <c r="AI43">
        <v>336</v>
      </c>
      <c r="AJ43">
        <v>55</v>
      </c>
      <c r="AK43">
        <v>1500</v>
      </c>
      <c r="AW43" s="11" t="s">
        <v>1714</v>
      </c>
      <c r="AX43">
        <v>269150</v>
      </c>
      <c r="AY43">
        <v>37050</v>
      </c>
      <c r="AZ43">
        <v>72350</v>
      </c>
      <c r="BA43">
        <v>110150</v>
      </c>
      <c r="BB43">
        <v>19950</v>
      </c>
      <c r="BC43">
        <v>508650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7235E-8E21-410A-AF97-2DB690702C1A}">
  <dimension ref="A1:Z39"/>
  <sheetViews>
    <sheetView showGridLines="0" tabSelected="1" workbookViewId="0">
      <selection activeCell="J18" sqref="J18"/>
    </sheetView>
  </sheetViews>
  <sheetFormatPr defaultRowHeight="14.25"/>
  <sheetData>
    <row r="1" spans="1:26">
      <c r="A1" s="15"/>
      <c r="Z1" s="15"/>
    </row>
    <row r="39" spans="1:26">
      <c r="A39" s="15"/>
      <c r="Z39"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workbookViewId="0">
      <selection activeCell="B27" sqref="B27"/>
    </sheetView>
  </sheetViews>
  <sheetFormatPr defaultRowHeight="14.25"/>
  <cols>
    <col min="1" max="1" width="30" customWidth="1"/>
    <col min="2" max="2" width="26" customWidth="1"/>
    <col min="3" max="4" width="18" customWidth="1"/>
    <col min="5" max="5" width="3" customWidth="1"/>
    <col min="6" max="6" width="22" customWidth="1"/>
    <col min="7" max="8" width="19" customWidth="1"/>
  </cols>
  <sheetData>
    <row r="1" spans="1:8" ht="33.950000000000003" customHeight="1">
      <c r="A1" s="12" t="s">
        <v>0</v>
      </c>
      <c r="B1" s="12"/>
      <c r="C1" s="12"/>
      <c r="D1" s="12"/>
      <c r="E1" s="2"/>
      <c r="F1" s="2"/>
      <c r="G1" s="2"/>
      <c r="H1" s="2"/>
    </row>
    <row r="2" spans="1:8" ht="15">
      <c r="A2" s="13"/>
      <c r="B2" s="13"/>
      <c r="C2" s="13"/>
      <c r="D2" s="13"/>
      <c r="E2" s="8"/>
      <c r="F2" s="8"/>
      <c r="G2" s="8"/>
      <c r="H2" s="8"/>
    </row>
    <row r="3" spans="1:8" ht="15">
      <c r="A3" s="2"/>
      <c r="B3" s="2"/>
      <c r="C3" s="2"/>
      <c r="D3" s="2"/>
      <c r="E3" s="2"/>
      <c r="F3" s="2"/>
      <c r="G3" s="2"/>
      <c r="H3" s="2"/>
    </row>
    <row r="4" spans="1:8" ht="15">
      <c r="A4" s="1" t="s">
        <v>1</v>
      </c>
      <c r="B4" s="1" t="s">
        <v>2</v>
      </c>
      <c r="C4" s="2"/>
      <c r="D4" s="2"/>
      <c r="E4" s="2"/>
      <c r="F4" s="1" t="s">
        <v>3</v>
      </c>
      <c r="G4" s="1" t="s">
        <v>4</v>
      </c>
      <c r="H4" s="1" t="s">
        <v>5</v>
      </c>
    </row>
    <row r="5" spans="1:8" ht="15">
      <c r="A5" s="2" t="s">
        <v>4</v>
      </c>
      <c r="B5" s="2">
        <f>COUNTA('Poultry dataset'!A2:A1501)</f>
        <v>1500</v>
      </c>
      <c r="C5" s="2"/>
      <c r="D5" s="2"/>
      <c r="E5" s="2"/>
      <c r="F5" s="2" t="s">
        <v>6</v>
      </c>
      <c r="G5" s="3">
        <f>COUNTIF('Poultry dataset'!$V$2:$V$1501,F5)</f>
        <v>485</v>
      </c>
      <c r="H5" s="7">
        <f t="shared" ref="H5:H10" si="0">G5/$B$5</f>
        <v>0.32333333333333331</v>
      </c>
    </row>
    <row r="6" spans="1:8" ht="15">
      <c r="A6" s="2" t="s">
        <v>7</v>
      </c>
      <c r="B6" s="3">
        <f>SUM('Poultry dataset'!E2:E1501)</f>
        <v>508650</v>
      </c>
      <c r="C6" s="2"/>
      <c r="D6" s="2"/>
      <c r="E6" s="2"/>
      <c r="F6" s="2" t="s">
        <v>8</v>
      </c>
      <c r="G6" s="3">
        <f>COUNTIF('Poultry dataset'!$V$2:$V$1501,F6)</f>
        <v>246</v>
      </c>
      <c r="H6" s="7">
        <f t="shared" si="0"/>
        <v>0.16400000000000001</v>
      </c>
    </row>
    <row r="7" spans="1:8" ht="15">
      <c r="A7" s="2" t="s">
        <v>9</v>
      </c>
      <c r="B7" s="4">
        <f>SUM('Poultry dataset'!H2:H1501)</f>
        <v>508689686.63000059</v>
      </c>
      <c r="C7" s="2"/>
      <c r="D7" s="2"/>
      <c r="E7" s="2"/>
      <c r="F7" s="2" t="s">
        <v>10</v>
      </c>
      <c r="G7" s="3">
        <f>COUNTIF('Poultry dataset'!$V$2:$V$1501,F7)</f>
        <v>222</v>
      </c>
      <c r="H7" s="7">
        <f t="shared" si="0"/>
        <v>0.14799999999999999</v>
      </c>
    </row>
    <row r="8" spans="1:8" ht="15">
      <c r="A8" s="2" t="s">
        <v>11</v>
      </c>
      <c r="B8" s="4">
        <f>SUM('Poultry dataset'!AA2:AA1501)</f>
        <v>79509965.750000015</v>
      </c>
      <c r="C8" s="2"/>
      <c r="D8" s="2"/>
      <c r="E8" s="2"/>
      <c r="F8" s="2" t="s">
        <v>12</v>
      </c>
      <c r="G8" s="3">
        <f>COUNTIF('Poultry dataset'!$V$2:$V$1501,F8)</f>
        <v>197</v>
      </c>
      <c r="H8" s="7">
        <f t="shared" si="0"/>
        <v>0.13133333333333333</v>
      </c>
    </row>
    <row r="9" spans="1:8" ht="15">
      <c r="A9" s="5" t="s">
        <v>13</v>
      </c>
      <c r="B9" s="6">
        <f>SUM('Poultry dataset'!Q2:Q1501)</f>
        <v>79509965.750000015</v>
      </c>
      <c r="C9" s="2"/>
      <c r="D9" s="2"/>
      <c r="E9" s="2"/>
      <c r="F9" s="2" t="s">
        <v>14</v>
      </c>
      <c r="G9" s="3">
        <f>COUNTIF('Poultry dataset'!$V$2:$V$1501,F9)</f>
        <v>190</v>
      </c>
      <c r="H9" s="7">
        <f t="shared" si="0"/>
        <v>0.12666666666666668</v>
      </c>
    </row>
    <row r="10" spans="1:8" ht="15">
      <c r="A10" s="5" t="s">
        <v>15</v>
      </c>
      <c r="B10" s="6">
        <f>SUM('Poultry dataset'!AC2:AC1501)</f>
        <v>0</v>
      </c>
      <c r="C10" s="2"/>
      <c r="D10" s="2"/>
      <c r="E10" s="2"/>
      <c r="F10" s="2" t="s">
        <v>16</v>
      </c>
      <c r="G10" s="3">
        <f>COUNTIF('Poultry dataset'!$V$2:$V$1501,F10)</f>
        <v>160</v>
      </c>
      <c r="H10" s="7">
        <f t="shared" si="0"/>
        <v>0.10666666666666667</v>
      </c>
    </row>
    <row r="11" spans="1:8" ht="15">
      <c r="A11" s="2"/>
      <c r="B11" s="2"/>
      <c r="C11" s="2"/>
      <c r="D11" s="2"/>
      <c r="E11" s="2"/>
      <c r="F11" s="2"/>
      <c r="G11" s="2"/>
      <c r="H11" s="2"/>
    </row>
    <row r="12" spans="1:8" ht="15">
      <c r="A12" s="2"/>
      <c r="B12" s="2"/>
      <c r="C12" s="2"/>
      <c r="D12" s="2"/>
      <c r="E12" s="2"/>
      <c r="F12" s="2"/>
      <c r="G12" s="2"/>
      <c r="H12" s="2"/>
    </row>
    <row r="13" spans="1:8" ht="15">
      <c r="A13" s="1" t="s">
        <v>17</v>
      </c>
      <c r="B13" s="1" t="s">
        <v>7</v>
      </c>
      <c r="C13" s="1" t="s">
        <v>18</v>
      </c>
      <c r="D13" s="1" t="s">
        <v>4</v>
      </c>
      <c r="E13" s="2"/>
      <c r="F13" s="1" t="s">
        <v>19</v>
      </c>
      <c r="G13" s="1" t="s">
        <v>7</v>
      </c>
      <c r="H13" s="1" t="s">
        <v>20</v>
      </c>
    </row>
    <row r="14" spans="1:8" ht="15">
      <c r="A14" s="2" t="s">
        <v>21</v>
      </c>
      <c r="B14" s="3">
        <f>SUMIF('Poultry dataset'!$D$2:$D$1501,A14,'Poultry dataset'!$E$2:$E$1501)</f>
        <v>269150</v>
      </c>
      <c r="C14" s="7">
        <f>B14/$B$6</f>
        <v>0.52914577803990959</v>
      </c>
      <c r="D14" s="3">
        <f>COUNTIF('Poultry dataset'!$D$2:$D$1501,A14)</f>
        <v>778</v>
      </c>
      <c r="E14" s="2"/>
      <c r="F14" s="2" t="s">
        <v>22</v>
      </c>
      <c r="G14" s="3">
        <f>SUMIF('Poultry dataset'!$Y$2:$Y$1501,F14,'Poultry dataset'!$E$2:$E$1501)</f>
        <v>177200</v>
      </c>
      <c r="H14" s="3">
        <f>COUNTIF('Poultry dataset'!$Y$2:$Y$1501,F14)</f>
        <v>520</v>
      </c>
    </row>
    <row r="15" spans="1:8" ht="15">
      <c r="A15" s="2" t="s">
        <v>23</v>
      </c>
      <c r="B15" s="3">
        <f>SUMIF('Poultry dataset'!$D$2:$D$1501,A15,'Poultry dataset'!$E$2:$E$1501)</f>
        <v>110150</v>
      </c>
      <c r="C15" s="7">
        <f>B15/$B$6</f>
        <v>0.21655362233362824</v>
      </c>
      <c r="D15" s="3">
        <f>COUNTIF('Poultry dataset'!$D$2:$D$1501,A15)</f>
        <v>336</v>
      </c>
      <c r="E15" s="2"/>
      <c r="F15" s="2" t="s">
        <v>24</v>
      </c>
      <c r="G15" s="3">
        <f>SUMIF('Poultry dataset'!$Y$2:$Y$1501,F15,'Poultry dataset'!$E$2:$E$1501)</f>
        <v>76150</v>
      </c>
      <c r="H15" s="3">
        <f>COUNTIF('Poultry dataset'!$Y$2:$Y$1501,F15)</f>
        <v>222</v>
      </c>
    </row>
    <row r="16" spans="1:8" ht="15">
      <c r="A16" s="2" t="s">
        <v>25</v>
      </c>
      <c r="B16" s="3">
        <f>SUMIF('Poultry dataset'!$D$2:$D$1501,A16,'Poultry dataset'!$E$2:$E$1501)</f>
        <v>72350</v>
      </c>
      <c r="C16" s="7">
        <f>B16/$B$6</f>
        <v>0.14223926078836135</v>
      </c>
      <c r="D16" s="3">
        <f>COUNTIF('Poultry dataset'!$D$2:$D$1501,A16)</f>
        <v>214</v>
      </c>
      <c r="E16" s="2"/>
      <c r="F16" s="2" t="s">
        <v>26</v>
      </c>
      <c r="G16" s="3">
        <f>SUMIF('Poultry dataset'!$Y$2:$Y$1501,F16,'Poultry dataset'!$E$2:$E$1501)</f>
        <v>76050</v>
      </c>
      <c r="H16" s="3">
        <f>COUNTIF('Poultry dataset'!$Y$2:$Y$1501,F16)</f>
        <v>219</v>
      </c>
    </row>
    <row r="17" spans="1:8" ht="15">
      <c r="A17" s="2" t="s">
        <v>27</v>
      </c>
      <c r="B17" s="3">
        <f>SUMIF('Poultry dataset'!$D$2:$D$1501,A17,'Poultry dataset'!$E$2:$E$1501)</f>
        <v>37050</v>
      </c>
      <c r="C17" s="7">
        <f>B17/$B$6</f>
        <v>7.2839870244765556E-2</v>
      </c>
      <c r="D17" s="3">
        <f>COUNTIF('Poultry dataset'!$D$2:$D$1501,A17)</f>
        <v>117</v>
      </c>
      <c r="E17" s="2"/>
      <c r="F17" s="2" t="s">
        <v>28</v>
      </c>
      <c r="G17" s="3">
        <f>SUMIF('Poultry dataset'!$Y$2:$Y$1501,F17,'Poultry dataset'!$E$2:$E$1501)</f>
        <v>70700</v>
      </c>
      <c r="H17" s="3">
        <f>COUNTIF('Poultry dataset'!$Y$2:$Y$1501,F17)</f>
        <v>210</v>
      </c>
    </row>
    <row r="18" spans="1:8" ht="15">
      <c r="A18" s="2" t="s">
        <v>29</v>
      </c>
      <c r="B18" s="3">
        <f>SUMIF('Poultry dataset'!$D$2:$D$1501,A18,'Poultry dataset'!$E$2:$E$1501)</f>
        <v>19950</v>
      </c>
      <c r="C18" s="7">
        <f>B18/$B$6</f>
        <v>3.92214685933353E-2</v>
      </c>
      <c r="D18" s="3">
        <f>COUNTIF('Poultry dataset'!$D$2:$D$1501,A18)</f>
        <v>55</v>
      </c>
      <c r="E18" s="2"/>
      <c r="F18" s="2" t="s">
        <v>30</v>
      </c>
      <c r="G18" s="3">
        <f>SUMIF('Poultry dataset'!$Y$2:$Y$1501,F18,'Poultry dataset'!$E$2:$E$1501)</f>
        <v>64050</v>
      </c>
      <c r="H18" s="3">
        <f>COUNTIF('Poultry dataset'!$Y$2:$Y$1501,F18)</f>
        <v>200</v>
      </c>
    </row>
    <row r="19" spans="1:8" ht="15">
      <c r="A19" s="2"/>
      <c r="B19" s="2"/>
      <c r="C19" s="2"/>
      <c r="D19" s="2"/>
      <c r="E19" s="2"/>
      <c r="F19" s="2" t="s">
        <v>31</v>
      </c>
      <c r="G19" s="3">
        <f>SUMIF('Poultry dataset'!$Y$2:$Y$1501,F19,'Poultry dataset'!$E$2:$E$1501)</f>
        <v>44500</v>
      </c>
      <c r="H19" s="3">
        <f>COUNTIF('Poultry dataset'!$Y$2:$Y$1501,F19)</f>
        <v>129</v>
      </c>
    </row>
    <row r="22" spans="1:8">
      <c r="A22" s="14"/>
      <c r="B22" s="14"/>
      <c r="C22" s="14"/>
      <c r="D22" s="14"/>
      <c r="E22" s="14"/>
      <c r="F22" s="14"/>
      <c r="G22" s="14"/>
      <c r="H22" s="14"/>
    </row>
    <row r="23" spans="1:8">
      <c r="A23" s="14"/>
      <c r="B23" s="14"/>
      <c r="C23" s="14"/>
      <c r="D23" s="14"/>
      <c r="E23" s="14"/>
      <c r="F23" s="14"/>
      <c r="G23" s="14"/>
      <c r="H23" s="14"/>
    </row>
  </sheetData>
  <mergeCells count="3">
    <mergeCell ref="A1:D1"/>
    <mergeCell ref="A2:D2"/>
    <mergeCell ref="A22:H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2"/>
  <sheetViews>
    <sheetView workbookViewId="0">
      <pane ySplit="3" topLeftCell="A4" activePane="bottomLeft" state="frozen"/>
      <selection pane="bottomLeft" sqref="A1:C1"/>
    </sheetView>
  </sheetViews>
  <sheetFormatPr defaultRowHeight="14.25"/>
  <cols>
    <col min="1" max="1" width="32" customWidth="1"/>
    <col min="2" max="2" width="98" customWidth="1"/>
    <col min="3" max="3" width="55" customWidth="1"/>
  </cols>
  <sheetData>
    <row r="1" spans="1:3" ht="33.950000000000003" customHeight="1">
      <c r="A1" s="12"/>
      <c r="B1" s="12"/>
      <c r="C1" s="12"/>
    </row>
    <row r="3" spans="1:3">
      <c r="A3" s="1" t="s">
        <v>1653</v>
      </c>
      <c r="B3" s="1" t="s">
        <v>1654</v>
      </c>
      <c r="C3" s="1" t="s">
        <v>1655</v>
      </c>
    </row>
    <row r="4" spans="1:3" ht="33.950000000000003" customHeight="1">
      <c r="A4" s="9" t="s">
        <v>1656</v>
      </c>
      <c r="B4" s="9" t="s">
        <v>1657</v>
      </c>
      <c r="C4" s="9" t="s">
        <v>1658</v>
      </c>
    </row>
    <row r="5" spans="1:3" ht="33.950000000000003" customHeight="1">
      <c r="A5" s="9" t="s">
        <v>1659</v>
      </c>
      <c r="B5" s="9" t="s">
        <v>1660</v>
      </c>
      <c r="C5" s="9" t="s">
        <v>1661</v>
      </c>
    </row>
    <row r="6" spans="1:3" ht="33.950000000000003" customHeight="1">
      <c r="A6" s="9" t="s">
        <v>1662</v>
      </c>
      <c r="B6" s="9" t="s">
        <v>1663</v>
      </c>
      <c r="C6" s="9" t="s">
        <v>1664</v>
      </c>
    </row>
    <row r="7" spans="1:3" ht="33.950000000000003" customHeight="1">
      <c r="A7" s="9" t="s">
        <v>1665</v>
      </c>
      <c r="B7" s="9" t="s">
        <v>1666</v>
      </c>
      <c r="C7" s="9" t="s">
        <v>1667</v>
      </c>
    </row>
    <row r="8" spans="1:3" ht="33.950000000000003" customHeight="1">
      <c r="A8" s="9" t="s">
        <v>1668</v>
      </c>
      <c r="B8" s="9" t="s">
        <v>1669</v>
      </c>
      <c r="C8" s="9" t="s">
        <v>1670</v>
      </c>
    </row>
    <row r="9" spans="1:3" ht="33.950000000000003" customHeight="1">
      <c r="A9" s="9" t="s">
        <v>1671</v>
      </c>
      <c r="B9" s="9" t="s">
        <v>1672</v>
      </c>
      <c r="C9" s="9" t="s">
        <v>1673</v>
      </c>
    </row>
    <row r="10" spans="1:3" ht="33.950000000000003" customHeight="1">
      <c r="A10" s="9" t="s">
        <v>1674</v>
      </c>
      <c r="B10" s="9" t="s">
        <v>1675</v>
      </c>
      <c r="C10" s="9" t="s">
        <v>1676</v>
      </c>
    </row>
    <row r="11" spans="1:3" ht="33.950000000000003" customHeight="1">
      <c r="A11" s="9" t="s">
        <v>1677</v>
      </c>
      <c r="B11" s="9" t="s">
        <v>1678</v>
      </c>
      <c r="C11" s="9" t="s">
        <v>1679</v>
      </c>
    </row>
    <row r="12" spans="1:3" ht="33.950000000000003" customHeight="1">
      <c r="A12" s="9" t="s">
        <v>1680</v>
      </c>
      <c r="B12" s="9" t="s">
        <v>1681</v>
      </c>
      <c r="C12" s="9" t="s">
        <v>1682</v>
      </c>
    </row>
    <row r="13" spans="1:3" ht="33.950000000000003" customHeight="1">
      <c r="A13" s="9" t="s">
        <v>1683</v>
      </c>
      <c r="B13" s="9" t="s">
        <v>1684</v>
      </c>
      <c r="C13" s="9" t="s">
        <v>1685</v>
      </c>
    </row>
    <row r="14" spans="1:3" ht="33.950000000000003" customHeight="1">
      <c r="A14" s="9" t="s">
        <v>1686</v>
      </c>
      <c r="B14" s="9" t="s">
        <v>1687</v>
      </c>
      <c r="C14" s="9" t="s">
        <v>1688</v>
      </c>
    </row>
    <row r="15" spans="1:3" ht="33.950000000000003" customHeight="1">
      <c r="A15" s="9" t="s">
        <v>1689</v>
      </c>
      <c r="B15" s="9" t="s">
        <v>1690</v>
      </c>
      <c r="C15" s="9" t="s">
        <v>1691</v>
      </c>
    </row>
    <row r="16" spans="1:3" ht="33.950000000000003" customHeight="1">
      <c r="A16" s="9" t="s">
        <v>1692</v>
      </c>
      <c r="B16" s="9" t="s">
        <v>1693</v>
      </c>
      <c r="C16" s="9" t="s">
        <v>1694</v>
      </c>
    </row>
    <row r="17" spans="1:3" ht="33.950000000000003" customHeight="1">
      <c r="A17" s="9" t="s">
        <v>1695</v>
      </c>
      <c r="B17" s="9" t="s">
        <v>1696</v>
      </c>
      <c r="C17" s="9" t="s">
        <v>1697</v>
      </c>
    </row>
    <row r="18" spans="1:3" ht="33.950000000000003" customHeight="1">
      <c r="A18" s="9" t="s">
        <v>1698</v>
      </c>
      <c r="B18" s="9" t="s">
        <v>1699</v>
      </c>
      <c r="C18" s="9" t="s">
        <v>1700</v>
      </c>
    </row>
    <row r="19" spans="1:3" ht="33.950000000000003" customHeight="1">
      <c r="A19" s="9" t="s">
        <v>1701</v>
      </c>
      <c r="B19" s="9" t="s">
        <v>1702</v>
      </c>
      <c r="C19" s="9" t="s">
        <v>1703</v>
      </c>
    </row>
    <row r="20" spans="1:3" ht="33.950000000000003" customHeight="1">
      <c r="A20" s="9" t="s">
        <v>1704</v>
      </c>
      <c r="B20" s="9" t="s">
        <v>1705</v>
      </c>
      <c r="C20" s="9" t="s">
        <v>1706</v>
      </c>
    </row>
    <row r="21" spans="1:3" ht="33.950000000000003" customHeight="1">
      <c r="A21" s="9" t="s">
        <v>1707</v>
      </c>
      <c r="B21" s="9" t="s">
        <v>1708</v>
      </c>
      <c r="C21" s="9" t="s">
        <v>1709</v>
      </c>
    </row>
    <row r="22" spans="1:3" ht="33.950000000000003" customHeight="1">
      <c r="A22" s="9" t="s">
        <v>1710</v>
      </c>
      <c r="B22" s="9" t="s">
        <v>1711</v>
      </c>
      <c r="C22" s="9" t="s">
        <v>1706</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Poultry dataset</vt:lpstr>
      <vt:lpstr>Pivot Table</vt:lpstr>
      <vt:lpstr>FUTZAV Dashboard</vt:lpstr>
      <vt:lpstr>Summary</vt:lpstr>
      <vt:lpstr>DAX Measures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Akinkunmi Oladeji</cp:lastModifiedBy>
  <dcterms:modified xsi:type="dcterms:W3CDTF">2026-10-25T11:36:27Z</dcterms:modified>
</cp:coreProperties>
</file>